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Ga\ePU\"/>
    </mc:Choice>
  </mc:AlternateContent>
  <xr:revisionPtr revIDLastSave="0" documentId="13_ncr:1_{415D0436-8779-4002-BC89-C866860C5BDA}" xr6:coauthVersionLast="47" xr6:coauthVersionMax="47" xr10:uidLastSave="{00000000-0000-0000-0000-000000000000}"/>
  <bookViews>
    <workbookView xWindow="-108" yWindow="-108" windowWidth="23256" windowHeight="13176" activeTab="2" xr2:uid="{00000000-000D-0000-FFFF-FFFF00000000}"/>
  </bookViews>
  <sheets>
    <sheet name="Logic Gate Sheet" sheetId="1" r:id="rId1"/>
    <sheet name="ROM" sheetId="3" r:id="rId2"/>
    <sheet name="RAM" sheetId="4" r:id="rId3"/>
    <sheet name="Board" sheetId="2" r:id="rId4"/>
  </sheets>
  <definedNames>
    <definedName name="ADDRESSX">'Logic Gate Sheet'!$AE$86</definedName>
    <definedName name="ADDRESSY">'Logic Gate Sheet'!$AF$86</definedName>
    <definedName name="AND.1">'Logic Gate Sheet'!$K$6</definedName>
    <definedName name="AND.2">'Logic Gate Sheet'!$K$8</definedName>
    <definedName name="CLOCK">'Logic Gate Sheet'!$A$1</definedName>
    <definedName name="DATABIT1">'Logic Gate Sheet'!$AG$82</definedName>
    <definedName name="DATABIT2">'Logic Gate Sheet'!$AF$82</definedName>
    <definedName name="DATABIT3">'Logic Gate Sheet'!$AE$82</definedName>
    <definedName name="DATABIT4">'Logic Gate Sheet'!$AD$82</definedName>
    <definedName name="HIDDENX">'Logic Gate Sheet'!$AJ$83</definedName>
    <definedName name="HIDDENY">'Logic Gate Sheet'!$AL$83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OPBIT">'Logic Gate Sheet'!$AB$81</definedName>
    <definedName name="RAMIN1">RAM!$B$23</definedName>
    <definedName name="RAMIN2">RAM!$B$22</definedName>
    <definedName name="RAMIN3">RAM!$B$21</definedName>
    <definedName name="RAMIN4">RAM!$B$20</definedName>
    <definedName name="RAMOP">RAM!$A$19</definedName>
    <definedName name="RAMX">RAM!$A$20</definedName>
    <definedName name="RAMY">RAM!$A$21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AB81" i="1" l="1"/>
  <c r="A19" i="4" s="1"/>
  <c r="J86" i="1"/>
  <c r="M86" i="1" s="1"/>
  <c r="I86" i="1"/>
  <c r="L86" i="1" s="1"/>
  <c r="J102" i="1"/>
  <c r="U87" i="1"/>
  <c r="U88" i="1" s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I37" i="1" l="1"/>
  <c r="S116" i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D82" i="1" l="1"/>
  <c r="AE82" i="1"/>
  <c r="B21" i="4" s="1"/>
  <c r="AF82" i="1"/>
  <c r="B22" i="4" s="1"/>
  <c r="AG82" i="1"/>
  <c r="B23" i="4" s="1"/>
  <c r="B19" i="4" l="1"/>
  <c r="B20" i="4"/>
  <c r="A1" i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AF80" i="1"/>
  <c r="AG80" i="1"/>
  <c r="AI80" i="1"/>
  <c r="AJ80" i="1"/>
  <c r="V81" i="1" a="1"/>
  <c r="V81" i="1"/>
  <c r="AD83" i="1" a="1"/>
  <c r="AD83" i="1"/>
  <c r="AE83" i="1" a="1"/>
  <c r="AE83" i="1"/>
  <c r="AF83" i="1" a="1"/>
  <c r="AF83" i="1"/>
  <c r="AG83" i="1" a="1"/>
  <c r="AG83" i="1"/>
  <c r="AJ83" i="1"/>
  <c r="AL83" i="1"/>
  <c r="P85" i="1"/>
  <c r="R85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H89" i="1" a="1"/>
  <c r="H89" i="1"/>
  <c r="I89" i="1" a="1"/>
  <c r="I89" i="1"/>
  <c r="J89" i="1" a="1"/>
  <c r="J89" i="1"/>
  <c r="K89" i="1" a="1"/>
  <c r="K89" i="1"/>
  <c r="P89" i="1"/>
  <c r="R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F91" i="1"/>
  <c r="G91" i="1"/>
  <c r="H91" i="1"/>
  <c r="I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F92" i="1"/>
  <c r="G92" i="1"/>
  <c r="H92" i="1"/>
  <c r="I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F93" i="1"/>
  <c r="G93" i="1"/>
  <c r="H93" i="1"/>
  <c r="I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F94" i="1"/>
  <c r="G94" i="1"/>
  <c r="H94" i="1"/>
  <c r="I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1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A20" i="4"/>
  <c r="A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<sst xmlns="http://schemas.openxmlformats.org/spreadsheetml/2006/main" count="280" uniqueCount="110">
  <si>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</si>
  <si>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</si>
  <si>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</si>
  <si>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</si>
  <si>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</si>
  <si>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</si>
  <si>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</si>
  <si>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</si>
  <si>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</si>
  <si>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</si>
  <si>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</si>
  <si>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</si>
  <si>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</si>
  <si>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</si>
  <si>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</si>
  <si>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</si>
  <si>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</si>
  <si>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</si>
  <si>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</si>
  <si>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</si>
  <si>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</si>
  <si>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</si>
  <si>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</si>
  <si>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</si>
  <si>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</si>
  <si>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</si>
  <si>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</si>
  <si>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</si>
  <si>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</si>
  <si>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</si>
  <si>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</si>
  <si>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</si>
  <si>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</si>
  <si>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</si>
  <si>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</si>
  <si>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</si>
  <si>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</si>
  <si>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</si>
  <si>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</si>
  <si>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</si>
  <si>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</si>
  <si>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</si>
  <si>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</si>
  <si>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</si>
  <si>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</si>
  <si>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</si>
  <si>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</si>
  <si>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</si>
  <si>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</si>
  <si>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</si>
  <si>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</si>
  <si>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</si>
  <si>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</si>
  <si>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</si>
  <si>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</si>
  <si>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</si>
  <si>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</si>
  <si>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</si>
  <si>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</si>
  <si>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</si>
  <si>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</si>
  <si>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</si>
  <si>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</si>
  <si>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</si>
  <si>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</si>
  <si>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</si>
  <si>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</si>
  <si>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</si>
  <si>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</si>
  <si>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</si>
  <si>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</si>
  <si>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</si>
  <si>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</si>
  <si>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</si>
  <si>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</si>
  <si>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</si>
  <si>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</si>
  <si>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</si>
  <si>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</si>
  <si>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</si>
  <si>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</si>
  <si>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</si>
  <si>
    <t>X ADDRESS</t>
  </si>
  <si>
    <t>Y ADDRESS</t>
  </si>
  <si>
    <t>READ</t>
  </si>
  <si>
    <t>WRITE</t>
  </si>
  <si>
    <t>00</t>
  </si>
  <si>
    <t>01</t>
  </si>
  <si>
    <t>10</t>
  </si>
  <si>
    <t>11</t>
  </si>
  <si>
    <t>CONCAT</t>
  </si>
  <si>
    <t>HIDDEN IN</t>
  </si>
  <si>
    <t>DATA</t>
  </si>
  <si>
    <t>HIDDEN OUT</t>
  </si>
  <si>
    <t>0000</t>
  </si>
  <si>
    <t>0100</t>
  </si>
  <si>
    <t>0101</t>
  </si>
  <si>
    <t>1000</t>
  </si>
  <si>
    <t>1010</t>
  </si>
  <si>
    <t>1011</t>
  </si>
  <si>
    <t>1101</t>
  </si>
  <si>
    <t>1110</t>
  </si>
  <si>
    <t>1111</t>
  </si>
  <si>
    <t>OP</t>
  </si>
  <si>
    <t>Y</t>
  </si>
  <si>
    <t>X</t>
  </si>
  <si>
    <t>DONE</t>
  </si>
  <si>
    <t>DEPRECIATED</t>
  </si>
  <si>
    <t>HIDDEN X</t>
  </si>
  <si>
    <t>HIDDEN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</si>
</sst>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/>
    <xf numFmtId="0" fontId="6" fillId="2" borderId="1" xfId="0" applyFont="1" applyFill="1" applyBorder="1"/>
    <xf numFmtId="0" fontId="6" fillId="2" borderId="2" xfId="0" applyFont="1" applyFill="1" applyBorder="1"/>
    <xf numFmtId="0" fontId="6" fillId="3" borderId="2" xfId="0" applyFont="1" applyFill="1" applyBorder="1"/>
    <xf numFmtId="0" fontId="6" fillId="0" borderId="3" xfId="0" applyFont="1" applyBorder="1" applyAlignment="1">
      <alignment horizontal="center"/>
    </xf>
    <xf numFmtId="0" fontId="6" fillId="2" borderId="4" xfId="0" applyFont="1" applyFill="1" applyBorder="1"/>
    <xf numFmtId="0" fontId="6" fillId="2" borderId="5" xfId="0" applyFont="1" applyFill="1" applyBorder="1"/>
    <xf numFmtId="0" fontId="6" fillId="0" borderId="6" xfId="0" applyFont="1" applyBorder="1" applyAlignment="1">
      <alignment horizontal="center"/>
    </xf>
    <xf numFmtId="0" fontId="6" fillId="2" borderId="7" xfId="0" applyFont="1" applyFill="1" applyBorder="1"/>
    <xf numFmtId="0" fontId="6" fillId="2" borderId="8" xfId="0" applyFont="1" applyFill="1" applyBorder="1"/>
    <xf numFmtId="0" fontId="6" fillId="3" borderId="9" xfId="0" applyFont="1" applyFill="1" applyBorder="1"/>
    <xf numFmtId="0" fontId="6" fillId="2" borderId="10" xfId="0" applyFont="1" applyFill="1" applyBorder="1"/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6" fillId="2" borderId="15" xfId="0" applyFont="1" applyFill="1" applyBorder="1"/>
    <xf numFmtId="0" fontId="6" fillId="2" borderId="18" xfId="0" applyFont="1" applyFill="1" applyBorder="1"/>
    <xf numFmtId="0" fontId="6" fillId="2" borderId="19" xfId="0" applyFont="1" applyFill="1" applyBorder="1"/>
    <xf numFmtId="0" fontId="6" fillId="2" borderId="22" xfId="0" applyFont="1" applyFill="1" applyBorder="1"/>
    <xf numFmtId="0" fontId="6" fillId="2" borderId="27" xfId="0" applyFont="1" applyFill="1" applyBorder="1"/>
    <xf numFmtId="0" fontId="6" fillId="2" borderId="9" xfId="0" applyFont="1" applyFill="1" applyBorder="1"/>
    <xf numFmtId="0" fontId="6" fillId="2" borderId="28" xfId="0" applyFont="1" applyFill="1" applyBorder="1"/>
    <xf numFmtId="0" fontId="6" fillId="2" borderId="29" xfId="0" applyFont="1" applyFill="1" applyBorder="1"/>
    <xf numFmtId="0" fontId="6" fillId="0" borderId="30" xfId="0" applyFont="1" applyBorder="1" applyAlignment="1">
      <alignment horizontal="center"/>
    </xf>
    <xf numFmtId="0" fontId="6" fillId="2" borderId="34" xfId="0" applyFont="1" applyFill="1" applyBorder="1"/>
    <xf numFmtId="0" fontId="6" fillId="3" borderId="35" xfId="0" applyFont="1" applyFill="1" applyBorder="1"/>
    <xf numFmtId="0" fontId="6" fillId="0" borderId="36" xfId="0" applyFont="1" applyBorder="1" applyAlignment="1">
      <alignment horizontal="center"/>
    </xf>
    <xf numFmtId="0" fontId="6" fillId="2" borderId="37" xfId="0" applyFont="1" applyFill="1" applyBorder="1"/>
    <xf numFmtId="0" fontId="6" fillId="0" borderId="40" xfId="0" applyFont="1" applyBorder="1" applyAlignment="1">
      <alignment horizontal="center"/>
    </xf>
    <xf numFmtId="0" fontId="6" fillId="2" borderId="43" xfId="0" applyFont="1" applyFill="1" applyBorder="1"/>
    <xf numFmtId="0" fontId="6" fillId="2" borderId="44" xfId="0" applyFont="1" applyFill="1" applyBorder="1"/>
    <xf numFmtId="0" fontId="6" fillId="2" borderId="45" xfId="0" applyFont="1" applyFill="1" applyBorder="1"/>
    <xf numFmtId="0" fontId="6" fillId="2" borderId="46" xfId="0" applyFont="1" applyFill="1" applyBorder="1"/>
    <xf numFmtId="0" fontId="6" fillId="2" borderId="48" xfId="0" applyFont="1" applyFill="1" applyBorder="1"/>
    <xf numFmtId="0" fontId="6" fillId="2" borderId="49" xfId="0" applyFont="1" applyFill="1" applyBorder="1"/>
    <xf numFmtId="0" fontId="6" fillId="2" borderId="51" xfId="0" applyFont="1" applyFill="1" applyBorder="1"/>
    <xf numFmtId="0" fontId="6" fillId="2" borderId="54" xfId="0" applyFont="1" applyFill="1" applyBorder="1"/>
    <xf numFmtId="0" fontId="6" fillId="2" borderId="35" xfId="0" applyFont="1" applyFill="1" applyBorder="1"/>
    <xf numFmtId="0" fontId="6" fillId="2" borderId="56" xfId="0" applyFont="1" applyFill="1" applyBorder="1"/>
    <xf numFmtId="0" fontId="6" fillId="2" borderId="57" xfId="0" applyFont="1" applyFill="1" applyBorder="1"/>
    <xf numFmtId="0" fontId="6" fillId="2" borderId="58" xfId="0" applyFont="1" applyFill="1" applyBorder="1"/>
    <xf numFmtId="0" fontId="6" fillId="2" borderId="59" xfId="0" applyFont="1" applyFill="1" applyBorder="1"/>
    <xf numFmtId="0" fontId="6" fillId="2" borderId="60" xfId="0" applyFont="1" applyFill="1" applyBorder="1"/>
    <xf numFmtId="0" fontId="8" fillId="3" borderId="57" xfId="0" applyFont="1" applyFill="1" applyBorder="1"/>
    <xf numFmtId="0" fontId="6" fillId="0" borderId="64" xfId="0" applyFont="1" applyBorder="1" applyAlignment="1">
      <alignment horizontal="center"/>
    </xf>
    <xf numFmtId="0" fontId="6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6" fillId="0" borderId="65" xfId="0" applyFont="1" applyBorder="1" applyAlignment="1">
      <alignment horizontal="center"/>
    </xf>
    <xf numFmtId="0" fontId="6" fillId="0" borderId="61" xfId="0" applyFont="1" applyBorder="1" applyAlignment="1">
      <alignment horizontal="center"/>
    </xf>
    <xf numFmtId="0" fontId="6" fillId="2" borderId="72" xfId="0" applyFont="1" applyFill="1" applyBorder="1"/>
    <xf numFmtId="0" fontId="6" fillId="2" borderId="73" xfId="0" applyFont="1" applyFill="1" applyBorder="1"/>
    <xf numFmtId="0" fontId="6" fillId="3" borderId="74" xfId="0" applyFont="1" applyFill="1" applyBorder="1"/>
    <xf numFmtId="0" fontId="6" fillId="3" borderId="47" xfId="0" applyFont="1" applyFill="1" applyBorder="1"/>
    <xf numFmtId="0" fontId="6" fillId="0" borderId="58" xfId="0" applyFont="1" applyBorder="1" applyAlignment="1">
      <alignment horizontal="center"/>
    </xf>
    <xf numFmtId="0" fontId="6" fillId="2" borderId="76" xfId="0" applyFont="1" applyFill="1" applyBorder="1"/>
    <xf numFmtId="0" fontId="6" fillId="2" borderId="65" xfId="0" applyFont="1" applyFill="1" applyBorder="1"/>
    <xf numFmtId="0" fontId="6" fillId="2" borderId="30" xfId="0" applyFont="1" applyFill="1" applyBorder="1"/>
    <xf numFmtId="0" fontId="6" fillId="2" borderId="61" xfId="0" applyFont="1" applyFill="1" applyBorder="1"/>
    <xf numFmtId="0" fontId="6" fillId="2" borderId="75" xfId="0" applyFont="1" applyFill="1" applyBorder="1"/>
    <xf numFmtId="0" fontId="6" fillId="2" borderId="77" xfId="0" applyFont="1" applyFill="1" applyBorder="1"/>
    <xf numFmtId="0" fontId="5" fillId="0" borderId="0" xfId="0" applyFont="1"/>
    <xf numFmtId="0" fontId="10" fillId="0" borderId="65" xfId="0" applyFont="1" applyBorder="1" applyAlignment="1">
      <alignment horizontal="center"/>
    </xf>
    <xf numFmtId="0" fontId="4" fillId="0" borderId="61" xfId="0" applyFont="1" applyBorder="1"/>
    <xf numFmtId="0" fontId="3" fillId="0" borderId="61" xfId="0" applyFont="1" applyBorder="1"/>
    <xf numFmtId="0" fontId="3" fillId="0" borderId="0" xfId="0" applyFont="1"/>
    <xf numFmtId="0" fontId="3" fillId="0" borderId="69" xfId="0" applyFont="1" applyBorder="1"/>
    <xf numFmtId="0" fontId="3" fillId="0" borderId="67" xfId="0" applyFont="1" applyBorder="1"/>
    <xf numFmtId="0" fontId="4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3" fillId="0" borderId="70" xfId="0" applyNumberFormat="1" applyFont="1" applyBorder="1"/>
    <xf numFmtId="49" fontId="3" fillId="0" borderId="64" xfId="0" applyNumberFormat="1" applyFont="1" applyBorder="1"/>
    <xf numFmtId="49" fontId="0" fillId="0" borderId="68" xfId="0" applyNumberFormat="1" applyBorder="1"/>
    <xf numFmtId="0" fontId="6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2" fillId="0" borderId="61" xfId="0" applyFont="1" applyBorder="1"/>
    <xf numFmtId="0" fontId="13" fillId="3" borderId="61" xfId="0" applyFont="1" applyFill="1" applyBorder="1"/>
    <xf numFmtId="0" fontId="0" fillId="0" borderId="64" xfId="0" applyBorder="1" applyAlignment="1">
      <alignment horizontal="center" vertical="center"/>
    </xf>
    <xf numFmtId="49" fontId="0" fillId="0" borderId="0" xfId="0" applyNumberFormat="1"/>
    <xf numFmtId="49" fontId="1" fillId="0" borderId="0" xfId="0" quotePrefix="1" applyNumberFormat="1" applyFont="1"/>
    <xf numFmtId="0" fontId="3" fillId="0" borderId="65" xfId="0" applyFont="1" applyBorder="1"/>
    <xf numFmtId="49" fontId="0" fillId="0" borderId="65" xfId="0" applyNumberFormat="1" applyBorder="1"/>
    <xf numFmtId="0" fontId="1" fillId="0" borderId="61" xfId="0" applyFont="1" applyBorder="1"/>
    <xf numFmtId="0" fontId="1" fillId="0" borderId="66" xfId="0" applyFont="1" applyBorder="1"/>
    <xf numFmtId="0" fontId="6" fillId="3" borderId="69" xfId="0" applyFont="1" applyFill="1" applyBorder="1"/>
    <xf numFmtId="0" fontId="2" fillId="0" borderId="69" xfId="0" applyFont="1" applyBorder="1"/>
    <xf numFmtId="0" fontId="0" fillId="0" borderId="0" xfId="0" quotePrefix="1"/>
    <xf numFmtId="0" fontId="0" fillId="0" borderId="61" xfId="0" quotePrefix="1" applyBorder="1"/>
    <xf numFmtId="0" fontId="6" fillId="4" borderId="61" xfId="0" applyFont="1" applyFill="1" applyBorder="1" applyAlignment="1">
      <alignment horizontal="center"/>
    </xf>
    <xf numFmtId="0" fontId="3" fillId="0" borderId="70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 wrapText="1"/>
    </xf>
    <xf numFmtId="0" fontId="9" fillId="0" borderId="63" xfId="0" applyFont="1" applyBorder="1"/>
    <xf numFmtId="0" fontId="6" fillId="3" borderId="64" xfId="0" applyFont="1" applyFill="1" applyBorder="1" applyAlignment="1">
      <alignment horizontal="center"/>
    </xf>
    <xf numFmtId="0" fontId="6" fillId="3" borderId="31" xfId="0" applyFont="1" applyFill="1" applyBorder="1" applyAlignment="1">
      <alignment horizontal="center" vertical="center"/>
    </xf>
    <xf numFmtId="0" fontId="9" fillId="0" borderId="61" xfId="0" applyFont="1" applyBorder="1"/>
    <xf numFmtId="0" fontId="6" fillId="3" borderId="61" xfId="0" applyFont="1" applyFill="1" applyBorder="1" applyAlignment="1">
      <alignment horizontal="center"/>
    </xf>
    <xf numFmtId="0" fontId="6" fillId="3" borderId="27" xfId="0" applyFont="1" applyFill="1" applyBorder="1" applyAlignment="1">
      <alignment horizontal="center"/>
    </xf>
    <xf numFmtId="0" fontId="12" fillId="3" borderId="65" xfId="0" applyFont="1" applyFill="1" applyBorder="1" applyAlignment="1">
      <alignment horizontal="center" vertical="center" wrapText="1"/>
    </xf>
    <xf numFmtId="0" fontId="12" fillId="3" borderId="61" xfId="0" applyFont="1" applyFill="1" applyBorder="1" applyAlignment="1">
      <alignment horizontal="center" vertical="center" wrapText="1"/>
    </xf>
    <xf numFmtId="16" fontId="6" fillId="3" borderId="53" xfId="0" applyNumberFormat="1" applyFont="1" applyFill="1" applyBorder="1" applyAlignment="1">
      <alignment horizontal="center" vertical="center" wrapText="1"/>
    </xf>
    <xf numFmtId="0" fontId="9" fillId="0" borderId="25" xfId="0" applyFont="1" applyBorder="1"/>
    <xf numFmtId="0" fontId="9" fillId="0" borderId="55" xfId="0" applyFont="1" applyBorder="1"/>
    <xf numFmtId="0" fontId="6" fillId="3" borderId="17" xfId="0" applyFont="1" applyFill="1" applyBorder="1" applyAlignment="1">
      <alignment horizontal="center" vertical="center" wrapText="1"/>
    </xf>
    <xf numFmtId="0" fontId="9" fillId="0" borderId="21" xfId="0" applyFont="1" applyBorder="1"/>
    <xf numFmtId="0" fontId="9" fillId="0" borderId="23" xfId="0" applyFont="1" applyBorder="1"/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1" fillId="3" borderId="66" xfId="0" applyFont="1" applyFill="1" applyBorder="1" applyAlignment="1">
      <alignment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9" fillId="0" borderId="26" xfId="0" applyFont="1" applyBorder="1"/>
    <xf numFmtId="0" fontId="8" fillId="3" borderId="24" xfId="0" applyFont="1" applyFill="1" applyBorder="1" applyAlignment="1">
      <alignment horizontal="center" vertical="center" wrapText="1"/>
    </xf>
    <xf numFmtId="0" fontId="10" fillId="3" borderId="66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9" fillId="0" borderId="16" xfId="0" applyFont="1" applyBorder="1"/>
    <xf numFmtId="0" fontId="9" fillId="0" borderId="20" xfId="0" applyFont="1" applyBorder="1"/>
    <xf numFmtId="0" fontId="6" fillId="3" borderId="31" xfId="0" applyFont="1" applyFill="1" applyBorder="1" applyAlignment="1">
      <alignment horizontal="center" vertical="center" wrapText="1"/>
    </xf>
    <xf numFmtId="0" fontId="9" fillId="0" borderId="32" xfId="0" applyFont="1" applyBorder="1"/>
    <xf numFmtId="0" fontId="9" fillId="0" borderId="33" xfId="0" applyFont="1" applyBorder="1"/>
    <xf numFmtId="0" fontId="9" fillId="0" borderId="38" xfId="0" applyFont="1" applyBorder="1"/>
    <xf numFmtId="0" fontId="0" fillId="0" borderId="0" xfId="0"/>
    <xf numFmtId="0" fontId="9" fillId="0" borderId="39" xfId="0" applyFont="1" applyBorder="1"/>
    <xf numFmtId="0" fontId="9" fillId="0" borderId="41" xfId="0" applyFont="1" applyBorder="1"/>
    <xf numFmtId="0" fontId="9" fillId="0" borderId="36" xfId="0" applyFont="1" applyBorder="1"/>
    <xf numFmtId="0" fontId="9" fillId="0" borderId="42" xfId="0" applyFont="1" applyBorder="1"/>
    <xf numFmtId="0" fontId="6" fillId="3" borderId="47" xfId="0" applyFont="1" applyFill="1" applyBorder="1" applyAlignment="1">
      <alignment horizontal="center" vertical="center" wrapText="1"/>
    </xf>
    <xf numFmtId="0" fontId="9" fillId="0" borderId="50" xfId="0" applyFont="1" applyBorder="1"/>
    <xf numFmtId="0" fontId="9" fillId="0" borderId="52" xfId="0" applyFont="1" applyBorder="1"/>
    <xf numFmtId="0" fontId="6" fillId="3" borderId="53" xfId="0" applyFont="1" applyFill="1" applyBorder="1" applyAlignment="1">
      <alignment horizontal="center" vertical="center" wrapText="1"/>
    </xf>
    <xf numFmtId="0" fontId="8" fillId="3" borderId="75" xfId="0" applyFont="1" applyFill="1" applyBorder="1" applyAlignment="1">
      <alignment horizontal="center" vertical="center" wrapText="1"/>
    </xf>
    <xf numFmtId="0" fontId="11" fillId="3" borderId="68" xfId="0" applyFont="1" applyFill="1" applyBorder="1" applyAlignment="1">
      <alignment horizontal="center" vertical="center" wrapText="1"/>
    </xf>
    <xf numFmtId="0" fontId="11" fillId="3" borderId="66" xfId="0" applyFont="1" applyFill="1" applyBorder="1" applyAlignment="1">
      <alignment horizontal="center" vertical="center" wrapText="1"/>
    </xf>
    <xf numFmtId="0" fontId="10" fillId="3" borderId="68" xfId="0" applyFont="1" applyFill="1" applyBorder="1" applyAlignment="1">
      <alignment horizontal="center" vertical="center" wrapText="1"/>
    </xf>
  </cellXfs>
  <cellStyles count="1">
    <cellStyle name="Normal" xfId="0" builtinId="0"/>
  </cellStyles>
  <dxfs count="490"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53"/>
  <sheetViews>
    <sheetView topLeftCell="U73" zoomScale="90" zoomScaleNormal="90" workbookViewId="0">
      <selection activeCell="AB84" sqref="AB84"/>
    </sheetView>
  </sheetViews>
  <sheetFormatPr defaultColWidth="8.6640625" defaultRowHeight="15" customHeight="1" x14ac:dyDescent="0.3"/>
  <cols>
    <col min="10" max="11" width="8.6640625" customWidth="1"/>
  </cols>
  <sheetData>
    <row r="1" spans="1:32" ht="15" customHeight="1" x14ac:dyDescent="0.3">
      <c r="A1" s="1">
        <f ca="1">IF(A1 = 1, 0, IF(A1 = 0, 1))</f>
        <v>1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3">
      <c r="A2" s="1"/>
      <c r="C2" s="1"/>
    </row>
    <row r="3" spans="1:32" ht="15" customHeight="1" x14ac:dyDescent="0.3">
      <c r="A3" s="1">
        <f ca="1">IF(A1=1, 1, 0)</f>
        <v>1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3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0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3">
      <c r="A5" s="1">
        <f ca="1">IF(A3 = 1, 0, 1)</f>
        <v>0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0</v>
      </c>
      <c r="K5" s="12"/>
      <c r="L5" s="13"/>
      <c r="M5" s="129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3">
      <c r="A6" s="1"/>
      <c r="G6" s="15"/>
      <c r="H6" s="11"/>
      <c r="I6" s="12"/>
      <c r="J6" s="12"/>
      <c r="K6" s="1">
        <f ca="1">IF(AND(JK.1 = 1, JK.2 = 1), 1, 0)</f>
        <v>0</v>
      </c>
      <c r="L6" s="13"/>
      <c r="M6" s="130"/>
      <c r="N6" s="13"/>
      <c r="O6" s="13"/>
      <c r="P6" s="13"/>
      <c r="Q6" s="14"/>
      <c r="S6" s="15"/>
      <c r="T6" s="13"/>
      <c r="U6" s="13"/>
      <c r="V6" s="13"/>
      <c r="W6" s="13"/>
      <c r="X6" s="119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3">
      <c r="A7" s="1">
        <f ca="1">IF(AND(A3 = 1, C3 = 1), 1, 0)</f>
        <v>1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1</v>
      </c>
      <c r="K7" s="12"/>
      <c r="L7" s="13"/>
      <c r="M7" s="131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20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3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21"/>
      <c r="Z8" s="18"/>
      <c r="AA8" s="12"/>
      <c r="AB8" s="12"/>
      <c r="AC8" s="1">
        <f>IF(AC6 = 1, 0, 1)</f>
        <v>1</v>
      </c>
      <c r="AD8" s="12"/>
      <c r="AE8" s="17"/>
      <c r="AF8" s="125" t="s">
        <v>12</v>
      </c>
    </row>
    <row r="9" spans="1:32" ht="15" customHeight="1" x14ac:dyDescent="0.3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1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17"/>
    </row>
    <row r="10" spans="1:32" ht="15" customHeight="1" x14ac:dyDescent="0.3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26"/>
    </row>
    <row r="11" spans="1:32" ht="15" customHeight="1" x14ac:dyDescent="0.3">
      <c r="A11" s="1">
        <f ca="1">IF(_xlfn.XOR(A3 = 1, C3 = 1), 1, 0)</f>
        <v>0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3">
      <c r="A12" s="1"/>
      <c r="G12" s="25">
        <f ca="1">IF(JK.4 = 1, 0, 1)</f>
        <v>0</v>
      </c>
      <c r="H12" s="12" t="s">
        <v>8</v>
      </c>
      <c r="I12" s="1">
        <f ca="1">IF(JK.3 = 1, 0, 1)</f>
        <v>0</v>
      </c>
      <c r="J12" s="12" t="s">
        <v>8</v>
      </c>
      <c r="K12" s="1">
        <f ca="1">IF(JK.2 = 1, 0, 1)</f>
        <v>1</v>
      </c>
      <c r="L12" s="12" t="s">
        <v>8</v>
      </c>
      <c r="M12" s="1">
        <f ca="1">IF(JK.1 = 1, 0, 1)</f>
        <v>1</v>
      </c>
      <c r="N12" s="12" t="s">
        <v>8</v>
      </c>
      <c r="O12" s="132" t="s">
        <v>15</v>
      </c>
      <c r="P12" s="133"/>
      <c r="Q12" s="134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3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35"/>
      <c r="P13" s="136"/>
      <c r="Q13" s="137"/>
      <c r="Z13" s="16"/>
      <c r="AA13" s="17"/>
      <c r="AB13" s="17"/>
      <c r="AC13" s="17"/>
      <c r="AD13" s="17"/>
      <c r="AE13" s="17"/>
      <c r="AF13" s="14"/>
    </row>
    <row r="14" spans="1:32" ht="15" customHeight="1" x14ac:dyDescent="0.3">
      <c r="A14" s="1"/>
      <c r="G14" s="30">
        <f ca="1">NOT.4</f>
        <v>0</v>
      </c>
      <c r="H14" s="27" t="s">
        <v>18</v>
      </c>
      <c r="I14" s="28">
        <f ca="1">NOT.3</f>
        <v>0</v>
      </c>
      <c r="J14" s="27" t="s">
        <v>19</v>
      </c>
      <c r="K14" s="28">
        <f ca="1">NOT.2</f>
        <v>1</v>
      </c>
      <c r="L14" s="27" t="s">
        <v>20</v>
      </c>
      <c r="M14" s="28">
        <f ca="1">NOT.1</f>
        <v>1</v>
      </c>
      <c r="N14" s="27" t="s">
        <v>21</v>
      </c>
      <c r="O14" s="138"/>
      <c r="P14" s="139"/>
      <c r="Q14" s="140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3">
      <c r="A15" s="1">
        <f ca="1">IF(AND(A3 = 1, C3 = 1), 0, 1)</f>
        <v>0</v>
      </c>
      <c r="B15" s="2" t="s">
        <v>22</v>
      </c>
    </row>
    <row r="16" spans="1:32" ht="15" customHeight="1" x14ac:dyDescent="0.3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41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3">
      <c r="A17" s="1">
        <f ca="1">IF(OR(AND(A3 = 1, C3 = 1), AND(A3 = 0, C3 = 0)), 1, 0)</f>
        <v>1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42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3">
      <c r="G18" s="16"/>
      <c r="H18" s="17"/>
      <c r="I18" s="17"/>
      <c r="J18" s="17"/>
      <c r="K18" s="17"/>
      <c r="L18" s="17"/>
      <c r="M18" s="17"/>
      <c r="N18" s="143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19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44" t="s">
        <v>26</v>
      </c>
    </row>
    <row r="19" spans="1:34" ht="15" customHeight="1" x14ac:dyDescent="0.3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20"/>
      <c r="Y19" s="18"/>
      <c r="Z19" s="1">
        <f>IF(Z16 = 1, 0, 1)</f>
        <v>1</v>
      </c>
      <c r="AA19" s="12"/>
      <c r="AB19" s="12"/>
      <c r="AC19" s="12"/>
      <c r="AD19" s="22"/>
      <c r="AE19" s="117"/>
    </row>
    <row r="20" spans="1:34" ht="15" customHeight="1" x14ac:dyDescent="0.3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21"/>
      <c r="Y20" s="18"/>
      <c r="Z20" s="12"/>
      <c r="AA20" s="12"/>
      <c r="AB20" s="12"/>
      <c r="AC20" s="12"/>
      <c r="AD20" s="22"/>
      <c r="AE20" s="118"/>
    </row>
    <row r="21" spans="1:34" ht="15" customHeight="1" x14ac:dyDescent="0.3">
      <c r="A21" s="1">
        <f ca="1">IF(A1 = 0, A21, IF(AND(A1 = 1, C1 = 1, E1 = 0), 1, IF(AND(A1 = 1, C1 = 0, E1 = 1), 0, IF(AND(A1 = 1, C1 = 0, E1 = 0), A21, IF(AND(A1 = 1, C1 = 1, E1 = 1), IF(A21 = 1, 0, 1))))))</f>
        <v>1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3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3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3">
      <c r="G24" s="16"/>
      <c r="H24" s="18"/>
      <c r="I24" s="12"/>
      <c r="J24" s="12"/>
      <c r="K24" s="1">
        <f>IF(K22 = 1, 0, 1)</f>
        <v>1</v>
      </c>
      <c r="L24" s="12"/>
      <c r="M24" s="17"/>
      <c r="N24" s="125" t="s">
        <v>12</v>
      </c>
      <c r="O24" s="14"/>
    </row>
    <row r="25" spans="1:34" ht="15" customHeight="1" x14ac:dyDescent="0.3">
      <c r="G25" s="16"/>
      <c r="H25" s="18"/>
      <c r="I25" s="1">
        <f>IF(AND(J20 = 1, I23 = 1), 1, 0)</f>
        <v>0</v>
      </c>
      <c r="J25" s="12"/>
      <c r="K25" s="12"/>
      <c r="L25" s="12"/>
      <c r="M25" s="17"/>
      <c r="N25" s="117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3">
      <c r="G26" s="16"/>
      <c r="H26" s="18"/>
      <c r="I26" s="12"/>
      <c r="J26" s="1">
        <f>IF(AND(H20 = 1, K24 = 1), 1, 0)</f>
        <v>0</v>
      </c>
      <c r="K26" s="12"/>
      <c r="L26" s="12"/>
      <c r="M26" s="17"/>
      <c r="N26" s="126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3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16" t="s">
        <v>51</v>
      </c>
    </row>
    <row r="28" spans="1:34" ht="15" customHeight="1" x14ac:dyDescent="0.3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27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17"/>
    </row>
    <row r="29" spans="1:34" ht="15" customHeight="1" x14ac:dyDescent="0.3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17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18"/>
    </row>
    <row r="30" spans="1:34" ht="15" customHeight="1" x14ac:dyDescent="0.3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26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3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19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3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20"/>
      <c r="X32" s="17"/>
      <c r="Y32" s="14"/>
    </row>
    <row r="33" spans="7:35" ht="15" customHeight="1" x14ac:dyDescent="0.3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21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3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3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28" t="s">
        <v>35</v>
      </c>
    </row>
    <row r="36" spans="7:35" ht="15" customHeight="1" x14ac:dyDescent="0.3">
      <c r="G36" s="16"/>
      <c r="H36" s="18"/>
      <c r="I36" s="12"/>
      <c r="J36" s="12"/>
      <c r="K36" s="1">
        <f>IF(K34 = 1, 0, 1)</f>
        <v>1</v>
      </c>
      <c r="L36" s="12"/>
      <c r="M36" s="17"/>
      <c r="N36" s="125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28"/>
    </row>
    <row r="37" spans="7:35" ht="15" customHeight="1" x14ac:dyDescent="0.3">
      <c r="G37" s="16"/>
      <c r="H37" s="18"/>
      <c r="I37" s="1">
        <f>IF(AND(J32 = 1, I35 = 1), 1, 0)</f>
        <v>0</v>
      </c>
      <c r="J37" s="12"/>
      <c r="K37" s="12"/>
      <c r="L37" s="12"/>
      <c r="M37" s="17"/>
      <c r="N37" s="117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28"/>
    </row>
    <row r="38" spans="7:35" ht="15" customHeight="1" x14ac:dyDescent="0.3">
      <c r="G38" s="16"/>
      <c r="H38" s="18"/>
      <c r="I38" s="12"/>
      <c r="J38" s="1">
        <f>IF(AND(H32 = 1, K36 = 1), 1, 0)</f>
        <v>0</v>
      </c>
      <c r="K38" s="12"/>
      <c r="L38" s="12"/>
      <c r="M38" s="17"/>
      <c r="N38" s="126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3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3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3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19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3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20"/>
      <c r="X42" s="17"/>
      <c r="Y42" s="14"/>
      <c r="AA42" s="18"/>
      <c r="AB42" s="22"/>
      <c r="AC42" s="22"/>
      <c r="AD42" s="22"/>
      <c r="AE42" s="22"/>
      <c r="AF42" s="22"/>
      <c r="AG42" s="124" t="s">
        <v>36</v>
      </c>
    </row>
    <row r="43" spans="7:35" ht="15" customHeight="1" x14ac:dyDescent="0.3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21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24"/>
    </row>
    <row r="44" spans="7:35" ht="15" customHeight="1" x14ac:dyDescent="0.3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24"/>
    </row>
    <row r="45" spans="7:35" ht="15" customHeight="1" x14ac:dyDescent="0.3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3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3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3">
      <c r="G48" s="16"/>
      <c r="H48" s="18"/>
      <c r="I48" s="12"/>
      <c r="J48" s="12"/>
      <c r="K48" s="1">
        <f>IF(K46 = 1, 0, 1)</f>
        <v>1</v>
      </c>
      <c r="L48" s="12"/>
      <c r="M48" s="17"/>
      <c r="N48" s="125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3">
      <c r="G49" s="16"/>
      <c r="H49" s="18"/>
      <c r="I49" s="1">
        <f>IF(AND(J44 = 1, I47 = 1), 1, 0)</f>
        <v>0</v>
      </c>
      <c r="J49" s="12"/>
      <c r="K49" s="12"/>
      <c r="L49" s="12"/>
      <c r="M49" s="17"/>
      <c r="N49" s="117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3">
      <c r="G50" s="16"/>
      <c r="H50" s="18"/>
      <c r="I50" s="12"/>
      <c r="J50" s="1">
        <f>IF(AND(H44 = 1, K48 = 1), 1, 0)</f>
        <v>0</v>
      </c>
      <c r="K50" s="12"/>
      <c r="L50" s="12"/>
      <c r="M50" s="17"/>
      <c r="N50" s="126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3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19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3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20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3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21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3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3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3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16" t="s">
        <v>50</v>
      </c>
    </row>
    <row r="57" spans="7:35" ht="15" customHeight="1" x14ac:dyDescent="0.3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17"/>
    </row>
    <row r="58" spans="7:35" ht="15" customHeight="1" x14ac:dyDescent="0.3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18"/>
    </row>
    <row r="59" spans="7:35" ht="15" customHeight="1" x14ac:dyDescent="0.3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3">
      <c r="G60" s="16"/>
      <c r="H60" s="18"/>
      <c r="I60" s="12"/>
      <c r="J60" s="12"/>
      <c r="K60" s="1">
        <f>IF(K58 = 1, 0, 1)</f>
        <v>1</v>
      </c>
      <c r="L60" s="12"/>
      <c r="M60" s="17"/>
      <c r="N60" s="125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3">
      <c r="G61" s="16"/>
      <c r="H61" s="18"/>
      <c r="I61" s="1">
        <f>IF(AND(J56 = 1, I59 = 1), 1, 0)</f>
        <v>0</v>
      </c>
      <c r="J61" s="12"/>
      <c r="K61" s="12"/>
      <c r="L61" s="12"/>
      <c r="M61" s="17"/>
      <c r="N61" s="117"/>
      <c r="O61" s="14"/>
      <c r="Q61" s="16"/>
      <c r="R61" s="15"/>
      <c r="S61" s="13"/>
      <c r="T61" s="13"/>
      <c r="U61" s="13"/>
      <c r="V61" s="13"/>
      <c r="W61" s="119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3">
      <c r="G62" s="16"/>
      <c r="H62" s="18"/>
      <c r="I62" s="12"/>
      <c r="J62" s="1">
        <f>IF(AND(H56 = 1, K60 = 1), 1, 0)</f>
        <v>0</v>
      </c>
      <c r="K62" s="12"/>
      <c r="L62" s="12"/>
      <c r="M62" s="17"/>
      <c r="N62" s="126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20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3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21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3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6" ht="15" customHeight="1" x14ac:dyDescent="0.3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6" ht="15" customHeight="1" x14ac:dyDescent="0.3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6" ht="15" customHeight="1" x14ac:dyDescent="0.3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6" ht="15" customHeight="1" x14ac:dyDescent="0.3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6" ht="15" customHeight="1" x14ac:dyDescent="0.3">
      <c r="Q69" s="16"/>
      <c r="R69" s="17"/>
      <c r="S69" s="17"/>
      <c r="T69" s="17"/>
      <c r="U69" s="17"/>
      <c r="V69" s="17"/>
      <c r="W69" s="17"/>
      <c r="X69" s="17"/>
      <c r="Y69" s="14"/>
    </row>
    <row r="70" spans="4:36" ht="15" customHeight="1" x14ac:dyDescent="0.3">
      <c r="Q70" s="16"/>
      <c r="R70" s="17"/>
      <c r="S70" s="17"/>
      <c r="T70" s="17"/>
      <c r="U70" s="17"/>
      <c r="V70" s="17"/>
      <c r="W70" s="17"/>
      <c r="X70" s="17"/>
      <c r="Y70" s="14"/>
    </row>
    <row r="71" spans="4:36" ht="15" customHeight="1" x14ac:dyDescent="0.3">
      <c r="Q71" s="16"/>
      <c r="R71" s="1">
        <f>IF(_xlfn.XOR(T67 = 1, T57 = 1), 1, 0)</f>
        <v>0</v>
      </c>
      <c r="S71" s="110" t="s">
        <v>32</v>
      </c>
      <c r="T71" s="111"/>
      <c r="U71" s="17"/>
      <c r="V71" s="17"/>
      <c r="W71" s="17"/>
      <c r="X71" s="17"/>
      <c r="Y71" s="14"/>
    </row>
    <row r="72" spans="4:36" ht="15" customHeight="1" x14ac:dyDescent="0.3">
      <c r="Q72" s="31"/>
      <c r="R72" s="28">
        <f>T67</f>
        <v>0</v>
      </c>
      <c r="S72" s="107" t="s">
        <v>33</v>
      </c>
      <c r="T72" s="108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6" ht="15" customHeight="1" x14ac:dyDescent="0.3">
      <c r="E78" s="74" t="s">
        <v>66</v>
      </c>
      <c r="G78" t="s">
        <v>107</v>
      </c>
    </row>
    <row r="79" spans="4:36" ht="15" customHeight="1" x14ac:dyDescent="0.3">
      <c r="D79" s="52"/>
      <c r="E79" s="48"/>
      <c r="F79" s="49"/>
      <c r="G79" s="93" t="s">
        <v>64</v>
      </c>
      <c r="H79" s="94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  <c r="AF79" t="s">
        <v>104</v>
      </c>
      <c r="AG79" t="s">
        <v>105</v>
      </c>
    </row>
    <row r="80" spans="4:36" ht="15" customHeight="1" x14ac:dyDescent="0.3">
      <c r="D80" s="52"/>
      <c r="E80" s="51"/>
      <c r="F80" s="52"/>
      <c r="G80" s="104" t="s">
        <v>49</v>
      </c>
      <c r="H80" s="105"/>
      <c r="I80" s="105"/>
      <c r="J80" s="106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  <c r="AD80" s="95" t="s">
        <v>80</v>
      </c>
      <c r="AE80" s="95"/>
      <c r="AF80" s="95" t="str">
        <f ca="1">AF86</f>
        <v>0011</v>
      </c>
      <c r="AG80" s="95" t="str">
        <f ca="1">AE86</f>
        <v>0001</v>
      </c>
      <c r="AH80" s="95" t="s">
        <v>81</v>
      </c>
      <c r="AI80" s="95">
        <f ca="1">VALUE(BIN2DEC(AF80))</f>
        <v>3</v>
      </c>
      <c r="AJ80" s="95">
        <f ca="1">VALUE(BIN2DEC(AG80))</f>
        <v>1</v>
      </c>
    </row>
    <row r="81" spans="4:46" ht="15" customHeight="1" x14ac:dyDescent="0.3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t="str" cm="1">
        <f t="array" aca="1" ref="V81" ca="1">INDIRECT(ADDRESS(U84, U83 + R85))</f>
        <v xml:space="preserve"> </v>
      </c>
      <c r="W81" s="52" t="s">
        <v>46</v>
      </c>
      <c r="X81" s="53"/>
      <c r="AA81" s="86" t="s">
        <v>90</v>
      </c>
      <c r="AB81" t="str">
        <f>_xlfn.CONCAT(AA82,AB82)</f>
        <v>11</v>
      </c>
      <c r="AD81">
        <v>0</v>
      </c>
      <c r="AE81">
        <v>0</v>
      </c>
      <c r="AF81">
        <v>1</v>
      </c>
      <c r="AG81">
        <v>1</v>
      </c>
      <c r="AH81" s="86" t="s">
        <v>91</v>
      </c>
    </row>
    <row r="82" spans="4:46" ht="15" customHeight="1" x14ac:dyDescent="0.3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  <c r="Z82" s="86" t="s">
        <v>103</v>
      </c>
      <c r="AA82" s="58">
        <v>1</v>
      </c>
      <c r="AB82" s="58">
        <v>1</v>
      </c>
      <c r="AD82" s="58">
        <f>IF(AB81 = "10", AD83, IF(AB81 = "00", AD81, IF(AB81 = "01", AD81, IF(AB81 = "11", AD81, AD82))))</f>
        <v>0</v>
      </c>
      <c r="AE82" s="58">
        <f>IF(AB81 = "10", AE83, IF(AB81 = "00", AE81, IF(AB81 = "01", AE81, IF(AB81 = "11", AE81, AE82))))</f>
        <v>0</v>
      </c>
      <c r="AF82" s="58">
        <f>IF(AB81 = "10", AF83, IF(AB81 = "00", AF81, IF(AB81 = "01", AF81, IF(AB81 = "11", AF81, AF82))))</f>
        <v>1</v>
      </c>
      <c r="AG82" s="58">
        <f>IF(AB81 = "10", AG83, IF(AB81 = "00", AG81, IF(AB81 = "01", AG81, IF(AB81 = "11", AG81, AG82))))</f>
        <v>1</v>
      </c>
      <c r="AH82" s="86" t="s">
        <v>92</v>
      </c>
    </row>
    <row r="83" spans="4:46" ht="15" customHeight="1" x14ac:dyDescent="0.3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  <c r="AD83" s="58" t="str" cm="1">
        <f t="array" aca="1" ref="AD83" ca="1">LEFT(INDIRECT(ADDRESS(AI80 + 86,AJ80 + 31)))</f>
        <v>0</v>
      </c>
      <c r="AE83" s="58" t="str" cm="1">
        <f t="array" aca="1" ref="AE83" ca="1">MID(INDIRECT(ADDRESS(AI80 + 86,AJ80 + 31)), 2, 1)</f>
        <v>0</v>
      </c>
      <c r="AF83" s="58" t="str" cm="1">
        <f t="array" aca="1" ref="AF83" ca="1">MID(INDIRECT(ADDRESS(AI80 + 86,AJ80 + 31)), 3, 1)</f>
        <v>1</v>
      </c>
      <c r="AG83" s="58" t="str" cm="1">
        <f t="array" aca="1" ref="AG83" ca="1">MID(INDIRECT(ADDRESS(AI80 + 86,AJ80 + 31)), 4, 1)</f>
        <v>1</v>
      </c>
      <c r="AH83" s="86" t="s">
        <v>93</v>
      </c>
      <c r="AJ83" s="101" t="str">
        <f ca="1">IF(AND(AA82 = 0, AB82 = 0), _xlfn.CONCAT(AD82,AE82,AF82,AG82), AJ83)</f>
        <v>0001</v>
      </c>
      <c r="AK83" s="86" t="s">
        <v>108</v>
      </c>
      <c r="AL83" s="101" t="str">
        <f ca="1">IF(AND(AA82 = 0, AB82 = 1), _xlfn.CONCAT(AD82,AE82,AF82,AG82), AL83)</f>
        <v>0011</v>
      </c>
      <c r="AM83" s="86" t="s">
        <v>109</v>
      </c>
    </row>
    <row r="84" spans="4:46" ht="15" customHeight="1" x14ac:dyDescent="0.3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46" ht="15" customHeight="1" x14ac:dyDescent="0.3">
      <c r="E85" s="102" t="s">
        <v>62</v>
      </c>
      <c r="F85" s="103"/>
      <c r="G85" s="102" t="s">
        <v>63</v>
      </c>
      <c r="H85" s="122"/>
      <c r="I85" s="122"/>
      <c r="J85" s="123"/>
      <c r="K85" s="52"/>
      <c r="L85" s="52"/>
      <c r="M85" s="53"/>
      <c r="N85" s="52" t="s">
        <v>47</v>
      </c>
      <c r="O85" s="52"/>
      <c r="P85" s="52" t="str">
        <f ca="1">MID(P83, R85, 1)</f>
        <v/>
      </c>
      <c r="Q85" s="52"/>
      <c r="R85" s="52">
        <f ca="1">IF(CLOCK = 1, IF(R85 = (LEN(P83) + 1), 1, R85 + 1),  R85)</f>
        <v>1</v>
      </c>
      <c r="S85" s="52" t="s">
        <v>48</v>
      </c>
      <c r="T85" s="52"/>
      <c r="U85" s="52"/>
      <c r="V85" s="52"/>
      <c r="W85" s="52"/>
      <c r="X85" s="53"/>
      <c r="AE85" s="99" t="s">
        <v>94</v>
      </c>
      <c r="AF85" s="99" t="s">
        <v>73</v>
      </c>
      <c r="AG85" s="99" t="s">
        <v>74</v>
      </c>
      <c r="AH85" s="100" t="s">
        <v>68</v>
      </c>
      <c r="AI85" s="100" t="s">
        <v>95</v>
      </c>
      <c r="AJ85" s="100" t="s">
        <v>96</v>
      </c>
      <c r="AK85" s="100" t="s">
        <v>67</v>
      </c>
      <c r="AL85" s="100" t="s">
        <v>70</v>
      </c>
      <c r="AM85" s="100" t="s">
        <v>97</v>
      </c>
      <c r="AN85" s="100" t="s">
        <v>71</v>
      </c>
      <c r="AO85" s="100" t="s">
        <v>98</v>
      </c>
      <c r="AP85" s="100" t="s">
        <v>99</v>
      </c>
      <c r="AQ85" s="100" t="s">
        <v>72</v>
      </c>
      <c r="AR85" s="100" t="s">
        <v>100</v>
      </c>
      <c r="AS85" s="100" t="s">
        <v>101</v>
      </c>
      <c r="AT85" s="100" t="s">
        <v>102</v>
      </c>
    </row>
    <row r="86" spans="4:46" ht="15" customHeight="1" x14ac:dyDescent="0.3">
      <c r="D86" s="52"/>
      <c r="E86" s="51"/>
      <c r="F86" s="52"/>
      <c r="G86" s="95" t="s">
        <v>80</v>
      </c>
      <c r="H86" s="95"/>
      <c r="I86" s="95">
        <f>VALUE(_xlfn.CONCAT(H87,I87))</f>
        <v>0</v>
      </c>
      <c r="J86" s="95">
        <f>VALUE(_xlfn.CONCAT(J87,K87))</f>
        <v>0</v>
      </c>
      <c r="K86" s="95" t="s">
        <v>81</v>
      </c>
      <c r="L86" s="95">
        <f>VALUE(BIN2DEC(I86))</f>
        <v>0</v>
      </c>
      <c r="M86" s="96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  <c r="AD86" s="99" t="s">
        <v>94</v>
      </c>
      <c r="AE86" s="101" t="str">
        <f ca="1">IF(AND(AA82 = 0, AB82 = 0), _xlfn.CONCAT(AD82,AE82,AF82,AG82), AE86)</f>
        <v>0001</v>
      </c>
      <c r="AF86" s="101" t="str">
        <f ca="1">IF(AND(AA82 = 0, AB82 = 1), _xlfn.CONCAT(AD82,AE82,AF82,AG82), AF86)</f>
        <v>0011</v>
      </c>
      <c r="AG86" s="87" t="str">
        <f ca="1">IF(AND(OPBIT = "11", ADDRESSX = AG85, ADDRESSY = AD86), _xlfn.CONCAT(DATABIT4, DATABIT3, DATABIT2, DATABIT1), AG86)</f>
        <v>1111</v>
      </c>
      <c r="AH86" s="87">
        <f ca="1">IF(AND(OPBIT = "11", ADDRESSX = AH85, ADDRESSY = AD86), _xlfn.CONCAT(DATABIT4, DATABIT3, DATABIT2, DATABIT1), AH86)</f>
        <v>0</v>
      </c>
      <c r="AI86" s="87">
        <f ca="1">IF(AND(OPBIT = "11", ADDRESSX = AI85, ADDRESSY = AD86), _xlfn.CONCAT(DATABIT4, DATABIT3, DATABIT2, DATABIT1), AI86)</f>
        <v>0</v>
      </c>
      <c r="AJ86" s="87">
        <f ca="1">IF(AND(OPBIT = "11", ADDRESSX = AJ85, ADDRESSY = AD86), _xlfn.CONCAT(DATABIT4, DATABIT3, DATABIT2, DATABIT1), AJ86)</f>
        <v>0</v>
      </c>
      <c r="AK86" s="87">
        <f ca="1">IF(AND(OPBIT = "11", ADDRESSX = AK85, ADDRESSY = AD86), _xlfn.CONCAT(DATABIT4, DATABIT3, DATABIT2, DATABIT1), AK86)</f>
        <v>0</v>
      </c>
      <c r="AL86" s="87">
        <f ca="1">IF(AND(OPBIT = "11", ADDRESSX = AL85, ADDRESSY = AD86), _xlfn.CONCAT(DATABIT4, DATABIT3, DATABIT2, DATABIT1), AL86)</f>
        <v>0</v>
      </c>
      <c r="AM86" s="87">
        <f t="shared" ref="AM86:AM101" ca="1" si="0">IF(AND(OPBIT = "11", ADDRESSX = AM85, ADDRESSY = AJ86), _xlfn.CONCAT(DATABIT4, DATABIT3, DATABIT2, DATABIT1), AM86)</f>
        <v>0</v>
      </c>
      <c r="AN86" s="87">
        <f t="shared" ref="AN86:AN101" ca="1" si="1">IF(AND(OPBIT = "11", ADDRESSX = AN85, ADDRESSY = AK86), _xlfn.CONCAT(DATABIT4, DATABIT3, DATABIT2, DATABIT1), AN86)</f>
        <v>0</v>
      </c>
      <c r="AO86" s="87">
        <f t="shared" ref="AO86:AO101" ca="1" si="2">IF(AND(OPBIT = "11", ADDRESSX = AO85, ADDRESSY = AL86), _xlfn.CONCAT(DATABIT4, DATABIT3, DATABIT2, DATABIT1), AO86)</f>
        <v>0</v>
      </c>
      <c r="AP86" s="87">
        <f t="shared" ref="AP86:AP101" ca="1" si="3">IF(AND(OPBIT = "11", ADDRESSX = AP85, ADDRESSY = AM86), _xlfn.CONCAT(DATABIT4, DATABIT3, DATABIT2, DATABIT1), AP86)</f>
        <v>0</v>
      </c>
      <c r="AQ86" s="87">
        <f t="shared" ref="AQ86:AQ101" ca="1" si="4">IF(AND(OPBIT = "11", ADDRESSX = AQ85, ADDRESSY = AN86), _xlfn.CONCAT(DATABIT4, DATABIT3, DATABIT2, DATABIT1), AQ86)</f>
        <v>0</v>
      </c>
      <c r="AR86" s="87">
        <f t="shared" ref="AR86:AR101" ca="1" si="5">IF(AND(OPBIT = "11", ADDRESSX = AR85, ADDRESSY = AO86), _xlfn.CONCAT(DATABIT4, DATABIT3, DATABIT2, DATABIT1), AR86)</f>
        <v>0</v>
      </c>
      <c r="AS86" s="87">
        <f t="shared" ref="AS86:AS101" ca="1" si="6">IF(AND(OPBIT = "11", ADDRESSX = AS85, ADDRESSY = AP86), _xlfn.CONCAT(DATABIT4, DATABIT3, DATABIT2, DATABIT1), AS86)</f>
        <v>0</v>
      </c>
      <c r="AT86" s="87">
        <f t="shared" ref="AT86:AT101" ca="1" si="7">IF(AND(OPBIT = "11", ADDRESSX = AT85, ADDRESSY = AQ86), _xlfn.CONCAT(DATABIT4, DATABIT3, DATABIT2, DATABIT1), AT86)</f>
        <v>0</v>
      </c>
    </row>
    <row r="87" spans="4:46" ht="15" customHeight="1" x14ac:dyDescent="0.3">
      <c r="D87" s="52"/>
      <c r="E87" s="97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  <c r="Z87" s="99" t="s">
        <v>86</v>
      </c>
      <c r="AA87" t="s">
        <v>82</v>
      </c>
      <c r="AD87" s="99" t="s">
        <v>73</v>
      </c>
      <c r="AE87" s="87" t="str">
        <f ca="1">IF(AND(OPBIT = "11", ADDRESSX = AE85, ADDRESSY = AD87), _xlfn.CONCAT(DATABIT4, DATABIT3, DATABIT2, DATABIT1), AE87)</f>
        <v>0001</v>
      </c>
      <c r="AF87" s="87" t="str">
        <f ca="1">IF(AND(OPBIT = "11", ADDRESSX = AF85, ADDRESSY = AD87), _xlfn.CONCAT(DATABIT4, DATABIT3, DATABIT2, DATABIT1), AF87)</f>
        <v>0001</v>
      </c>
      <c r="AG87" s="87">
        <f ca="1">IF(AND(OPBIT = "11", ADDRESSX = AG85, ADDRESSY = AD87), _xlfn.CONCAT(DATABIT4, DATABIT3, DATABIT2, DATABIT1), AG87)</f>
        <v>0</v>
      </c>
      <c r="AH87" s="87">
        <f ca="1">IF(AND(OPBIT = "11", ADDRESSX = AH85, ADDRESSY = AD87), _xlfn.CONCAT(DATABIT4, DATABIT3, DATABIT2, DATABIT1), AH87)</f>
        <v>0</v>
      </c>
      <c r="AI87" s="87">
        <f ca="1">IF(AND(OPBIT = "11", ADDRESSX = AI86, ADDRESSY = AD87), _xlfn.CONCAT(DATABIT4, DATABIT3, DATABIT2, DATABIT1), AI87)</f>
        <v>0</v>
      </c>
      <c r="AJ87" s="87">
        <f ca="1">IF(AND(OPBIT = "11", ADDRESSX = AJ85, ADDRESSY = AD87), _xlfn.CONCAT(DATABIT4, DATABIT3, DATABIT2, DATABIT1), AJ87)</f>
        <v>0</v>
      </c>
      <c r="AK87" s="87">
        <f ca="1">IF(AND(OPBIT = "11", ADDRESSX = AK85, ADDRESSY = AD87), _xlfn.CONCAT(DATABIT4, DATABIT3, DATABIT2, DATABIT1), AK87)</f>
        <v>0</v>
      </c>
      <c r="AL87" s="87">
        <f ca="1">IF(AND(OPBIT = "11", ADDRESSX = AL85, ADDRESSY = AD87), _xlfn.CONCAT(DATABIT4, DATABIT3, DATABIT2, DATABIT1), AL87)</f>
        <v>0</v>
      </c>
      <c r="AM87" s="87">
        <f t="shared" ca="1" si="0"/>
        <v>0</v>
      </c>
      <c r="AN87" s="87">
        <f t="shared" ca="1" si="1"/>
        <v>0</v>
      </c>
      <c r="AO87" s="87">
        <f t="shared" ca="1" si="2"/>
        <v>0</v>
      </c>
      <c r="AP87" s="87">
        <f t="shared" ca="1" si="3"/>
        <v>0</v>
      </c>
      <c r="AQ87" s="87">
        <f t="shared" ca="1" si="4"/>
        <v>0</v>
      </c>
      <c r="AR87" s="87">
        <f t="shared" ca="1" si="5"/>
        <v>0</v>
      </c>
      <c r="AS87" s="87">
        <f t="shared" ca="1" si="6"/>
        <v>0</v>
      </c>
      <c r="AT87" s="87">
        <f t="shared" ca="1" si="7"/>
        <v>0</v>
      </c>
    </row>
    <row r="88" spans="4:46" ht="15" customHeight="1" x14ac:dyDescent="0.3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  <c r="Z88" s="99" t="s">
        <v>87</v>
      </c>
      <c r="AA88" t="s">
        <v>83</v>
      </c>
      <c r="AD88" s="99" t="s">
        <v>74</v>
      </c>
      <c r="AE88" s="87">
        <f ca="1">IF(AND(OPBIT = "11", ADDRESSX = AE85, ADDRESSY = AD88), _xlfn.CONCAT(DATABIT4, DATABIT3, DATABIT2, DATABIT1), AE88)</f>
        <v>0</v>
      </c>
      <c r="AF88" s="87">
        <f ca="1">IF(AND(OPBIT = "11", ADDRESSX = AF85, ADDRESSY = AD88), _xlfn.CONCAT(DATABIT4, DATABIT3, DATABIT2, DATABIT1), AF88)</f>
        <v>0</v>
      </c>
      <c r="AG88" s="87">
        <f ca="1">IF(AND(OPBIT = "11", ADDRESSX = AG85, ADDRESSY = AD88), _xlfn.CONCAT(DATABIT4, DATABIT3, DATABIT2, DATABIT1), AG88)</f>
        <v>0</v>
      </c>
      <c r="AH88" s="87">
        <f ca="1">IF(AND(OPBIT = "11", ADDRESSX = AH85, ADDRESSY = AD88), _xlfn.CONCAT(DATABIT4, DATABIT3, DATABIT2, DATABIT1), AH88)</f>
        <v>0</v>
      </c>
      <c r="AI88" s="87">
        <f ca="1">IF(AND(OPBIT = "11", ADDRESSX = AI85, ADDRESSY = AD88), _xlfn.CONCAT(DATABIT4, DATABIT3, DATABIT2, DATABIT1), AI88)</f>
        <v>0</v>
      </c>
      <c r="AJ88" s="87">
        <f ca="1">IF(AND(OPBIT = "11", ADDRESSX = AJ85, ADDRESSY = AD88), _xlfn.CONCAT(DATABIT4, DATABIT3, DATABIT2, DATABIT1), AJ88)</f>
        <v>0</v>
      </c>
      <c r="AK88" s="87">
        <f ca="1">IF(AND(OPBIT = "11", ADDRESSX = AK85, ADDRESSY = AD88), _xlfn.CONCAT(DATABIT4, DATABIT3, DATABIT2, DATABIT1), AK88)</f>
        <v>0</v>
      </c>
      <c r="AL88" s="87">
        <f ca="1">IF(AND(OPBIT = "11", ADDRESSX = AL85, ADDRESSY = AD88), _xlfn.CONCAT(DATABIT4, DATABIT3, DATABIT2, DATABIT1), AL88)</f>
        <v>0</v>
      </c>
      <c r="AM88" s="87">
        <f t="shared" ca="1" si="0"/>
        <v>0</v>
      </c>
      <c r="AN88" s="87">
        <f t="shared" ca="1" si="1"/>
        <v>0</v>
      </c>
      <c r="AO88" s="87">
        <f t="shared" ca="1" si="2"/>
        <v>0</v>
      </c>
      <c r="AP88" s="87">
        <f t="shared" ca="1" si="3"/>
        <v>0</v>
      </c>
      <c r="AQ88" s="87">
        <f t="shared" ca="1" si="4"/>
        <v>0</v>
      </c>
      <c r="AR88" s="87">
        <f t="shared" ca="1" si="5"/>
        <v>0</v>
      </c>
      <c r="AS88" s="87">
        <f t="shared" ca="1" si="6"/>
        <v>0</v>
      </c>
      <c r="AT88" s="87">
        <f t="shared" ca="1" si="7"/>
        <v>0</v>
      </c>
    </row>
    <row r="89" spans="4:46" ht="15" customHeight="1" x14ac:dyDescent="0.3">
      <c r="D89" s="52"/>
      <c r="E89" s="98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1</v>
      </c>
      <c r="Q89" s="52"/>
      <c r="R89" s="52" t="str">
        <f ca="1">IF(P89 = P87, IF(LEN(R89) = LEN(P83), "", R89 &amp; P85), R89)</f>
        <v/>
      </c>
      <c r="S89" s="52"/>
      <c r="T89" s="52"/>
      <c r="U89" s="52"/>
      <c r="V89" s="52"/>
      <c r="W89" s="52"/>
      <c r="X89" s="53"/>
      <c r="Z89" s="99" t="s">
        <v>88</v>
      </c>
      <c r="AA89" t="s">
        <v>84</v>
      </c>
      <c r="AD89" s="99" t="s">
        <v>68</v>
      </c>
      <c r="AE89" s="87">
        <f ca="1">IF(AND(OPBIT = "11", ADDRESSX = AE85, ADDRESSY = AD89), _xlfn.CONCAT(DATABIT4, DATABIT3, DATABIT2, DATABIT1), AE89)</f>
        <v>0</v>
      </c>
      <c r="AF89" s="87" t="str">
        <f ca="1">IF(AND(OPBIT = "11", ADDRESSX = AF85, ADDRESSY = AD89), _xlfn.CONCAT(DATABIT4, DATABIT3, DATABIT2, DATABIT1), AF89)</f>
        <v>0011</v>
      </c>
      <c r="AG89" s="87">
        <f ca="1">IF(AND(OPBIT = "11", ADDRESSX = AG85, ADDRESSY = AD89), _xlfn.CONCAT(DATABIT4, DATABIT3, DATABIT2, DATABIT1), AG89)</f>
        <v>0</v>
      </c>
      <c r="AH89" s="87">
        <f ca="1">IF(AND(OPBIT = "11", ADDRESSX = AH85, ADDRESSY = AD89), _xlfn.CONCAT(DATABIT4, DATABIT3, DATABIT2, DATABIT1), AH89)</f>
        <v>0</v>
      </c>
      <c r="AI89" s="87">
        <f ca="1">IF(AND(OPBIT = "11", ADDRESSX = AI81, ADDRESSY = AD89), _xlfn.CONCAT(DATABIT4, DATABIT3, DATABIT2, DATABIT1), AI89)</f>
        <v>0</v>
      </c>
      <c r="AJ89" s="87">
        <f ca="1">IF(AND(OPBIT = "11", ADDRESSX = AJ85, ADDRESSY = AD89), _xlfn.CONCAT(DATABIT4, DATABIT3, DATABIT2, DATABIT1), AJ89)</f>
        <v>0</v>
      </c>
      <c r="AK89" s="87">
        <f ca="1">IF(AND(OPBIT = "11", ADDRESSX = AK85, ADDRESSY = AD89), _xlfn.CONCAT(DATABIT4, DATABIT3, DATABIT2, DATABIT1), AK89)</f>
        <v>0</v>
      </c>
      <c r="AL89" s="87">
        <f ca="1">IF(AND(OPBIT = "11", ADDRESSX = AL85, ADDRESSY = AD89), _xlfn.CONCAT(DATABIT4, DATABIT3, DATABIT2, DATABIT1), AL89)</f>
        <v>0</v>
      </c>
      <c r="AM89" s="87">
        <f t="shared" ca="1" si="0"/>
        <v>0</v>
      </c>
      <c r="AN89" s="87">
        <f t="shared" ca="1" si="1"/>
        <v>0</v>
      </c>
      <c r="AO89" s="87">
        <f t="shared" ca="1" si="2"/>
        <v>0</v>
      </c>
      <c r="AP89" s="87">
        <f t="shared" ca="1" si="3"/>
        <v>0</v>
      </c>
      <c r="AQ89" s="87">
        <f t="shared" ca="1" si="4"/>
        <v>0</v>
      </c>
      <c r="AR89" s="87">
        <f t="shared" ca="1" si="5"/>
        <v>0</v>
      </c>
      <c r="AS89" s="87">
        <f t="shared" ca="1" si="6"/>
        <v>0</v>
      </c>
      <c r="AT89" s="87">
        <f t="shared" ca="1" si="7"/>
        <v>0</v>
      </c>
    </row>
    <row r="90" spans="4:46" ht="15" customHeight="1" x14ac:dyDescent="0.3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  <c r="Z90" s="99" t="s">
        <v>89</v>
      </c>
      <c r="AA90" t="s">
        <v>85</v>
      </c>
      <c r="AD90" s="99" t="s">
        <v>95</v>
      </c>
      <c r="AE90" s="87">
        <f ca="1">IF(AND(OPBIT = "11", ADDRESSX = AE85, ADDRESSY = AD90), _xlfn.CONCAT(DATABIT4, DATABIT3, DATABIT2, DATABIT1), AE90)</f>
        <v>0</v>
      </c>
      <c r="AF90" s="87">
        <f ca="1">IF(AND(OPBIT = "11", ADDRESSX = AF85, ADDRESSY = AD90), _xlfn.CONCAT(DATABIT4, DATABIT3, DATABIT2, DATABIT1), AF90)</f>
        <v>0</v>
      </c>
      <c r="AG90" s="87">
        <f ca="1">IF(AND(OPBIT = "11", ADDRESSX = AG85, ADDRESSY = AD90), _xlfn.CONCAT(DATABIT4, DATABIT3, DATABIT2, DATABIT1), AG90)</f>
        <v>0</v>
      </c>
      <c r="AH90" s="87">
        <f ca="1">IF(AND(OPBIT = "11", ADDRESSX = AH85, ADDRESSY = AD90), _xlfn.CONCAT(DATABIT4, DATABIT3, DATABIT2, DATABIT1), AH90)</f>
        <v>0</v>
      </c>
      <c r="AI90" s="87">
        <f ca="1">IF(AND(OPBIT = "11", ADDRESSX = AI85, ADDRESSY = AD90), _xlfn.CONCAT(DATABIT4, DATABIT3, DATABIT2, DATABIT1), AI90)</f>
        <v>0</v>
      </c>
      <c r="AJ90" s="87">
        <f ca="1">IF(AND(OPBIT = "11", ADDRESSX = AJ85, ADDRESSY = AD90), _xlfn.CONCAT(DATABIT4, DATABIT3, DATABIT2, DATABIT1), AJ90)</f>
        <v>0</v>
      </c>
      <c r="AK90" s="87">
        <f ca="1">IF(AND(OPBIT = "11", ADDRESSX = AK85, ADDRESSY = AD90), _xlfn.CONCAT(DATABIT4, DATABIT3, DATABIT2, DATABIT1), AK90)</f>
        <v>0</v>
      </c>
      <c r="AL90" s="87">
        <f ca="1">IF(AND(OPBIT = "11", ADDRESSX = AL85, ADDRESSY = AD90), _xlfn.CONCAT(DATABIT4, DATABIT3, DATABIT2, DATABIT1), AL90)</f>
        <v>0</v>
      </c>
      <c r="AM90" s="87">
        <f t="shared" ca="1" si="0"/>
        <v>0</v>
      </c>
      <c r="AN90" s="87">
        <f t="shared" ca="1" si="1"/>
        <v>0</v>
      </c>
      <c r="AO90" s="87">
        <f t="shared" ca="1" si="2"/>
        <v>0</v>
      </c>
      <c r="AP90" s="87">
        <f t="shared" ca="1" si="3"/>
        <v>0</v>
      </c>
      <c r="AQ90" s="87">
        <f t="shared" ca="1" si="4"/>
        <v>0</v>
      </c>
      <c r="AR90" s="87">
        <f t="shared" ca="1" si="5"/>
        <v>0</v>
      </c>
      <c r="AS90" s="87">
        <f t="shared" ca="1" si="6"/>
        <v>0</v>
      </c>
      <c r="AT90" s="87">
        <f t="shared" ca="1" si="7"/>
        <v>0</v>
      </c>
    </row>
    <row r="91" spans="4:46" ht="15" customHeight="1" x14ac:dyDescent="0.3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  <c r="AD91" s="99" t="s">
        <v>96</v>
      </c>
      <c r="AE91" s="87">
        <f ca="1">IF(AND(OPBIT = "11", ADDRESSX = AE85, ADDRESSY = AD91), _xlfn.CONCAT(DATABIT4, DATABIT3, DATABIT2, DATABIT1), AE91)</f>
        <v>0</v>
      </c>
      <c r="AF91" s="87">
        <f ca="1">IF(AND(OPBIT = "11", ADDRESSX = AF85, ADDRESSY = AD91), _xlfn.CONCAT(DATABIT4, DATABIT3, DATABIT2, DATABIT1), AF91)</f>
        <v>0</v>
      </c>
      <c r="AG91" s="87">
        <f ca="1">IF(AND(OPBIT = "11", ADDRESSX = AG85, ADDRESSY = AD91), _xlfn.CONCAT(DATABIT4, DATABIT3, DATABIT2, DATABIT1), AG91)</f>
        <v>0</v>
      </c>
      <c r="AH91" s="87">
        <f ca="1">IF(AND(OPBIT = "11", ADDRESSX = AH85, ADDRESSY = AD91), _xlfn.CONCAT(DATABIT4, DATABIT3, DATABIT2, DATABIT1), AH91)</f>
        <v>0</v>
      </c>
      <c r="AI91" s="87">
        <f ca="1">IF(AND(OPBIT = "11", ADDRESSX = AI85, ADDRESSY = AD91), _xlfn.CONCAT(DATABIT4, DATABIT3, DATABIT2, DATABIT1), AI91)</f>
        <v>0</v>
      </c>
      <c r="AJ91" s="87">
        <f ca="1">IF(AND(OPBIT = "11", ADDRESSX = AJ85, ADDRESSY = AD91), _xlfn.CONCAT(DATABIT4, DATABIT3, DATABIT2, DATABIT1), AJ91)</f>
        <v>0</v>
      </c>
      <c r="AK91" s="87">
        <f ca="1">IF(AND(OPBIT = "11", ADDRESSX = AK85, ADDRESSY = AD91), _xlfn.CONCAT(DATABIT4, DATABIT3, DATABIT2, DATABIT1), AK91)</f>
        <v>0</v>
      </c>
      <c r="AL91" s="87">
        <f ca="1">IF(AND(OPBIT = "11", ADDRESSX = AL85, ADDRESSY = AD91), _xlfn.CONCAT(DATABIT4, DATABIT3, DATABIT2, DATABIT1), AL91)</f>
        <v>0</v>
      </c>
      <c r="AM91" s="87">
        <f t="shared" ca="1" si="0"/>
        <v>0</v>
      </c>
      <c r="AN91" s="87">
        <f t="shared" ca="1" si="1"/>
        <v>0</v>
      </c>
      <c r="AO91" s="87">
        <f t="shared" ca="1" si="2"/>
        <v>0</v>
      </c>
      <c r="AP91" s="87">
        <f t="shared" ca="1" si="3"/>
        <v>0</v>
      </c>
      <c r="AQ91" s="87">
        <f t="shared" ca="1" si="4"/>
        <v>0</v>
      </c>
      <c r="AR91" s="87">
        <f t="shared" ca="1" si="5"/>
        <v>0</v>
      </c>
      <c r="AS91" s="87">
        <f t="shared" ca="1" si="6"/>
        <v>0</v>
      </c>
      <c r="AT91" s="87">
        <f t="shared" ca="1" si="7"/>
        <v>0</v>
      </c>
    </row>
    <row r="92" spans="4:46" ht="15" customHeight="1" x14ac:dyDescent="0.3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  <c r="AD92" s="99" t="s">
        <v>67</v>
      </c>
      <c r="AE92" s="87">
        <f ca="1">IF(AND(OPBIT = "11", ADDRESSX = AE85, ADDRESSY = AD92), _xlfn.CONCAT(DATABIT4, DATABIT3, DATABIT2, DATABIT1), AE92)</f>
        <v>0</v>
      </c>
      <c r="AF92" s="87">
        <f ca="1">IF(AND(OPBIT = "11", ADDRESSX = AF85, ADDRESSY = AD92), _xlfn.CONCAT(DATABIT4, DATABIT3, DATABIT2, DATABIT1), AF92)</f>
        <v>0</v>
      </c>
      <c r="AG92" s="87">
        <f ca="1">IF(AND(OPBIT = "11", ADDRESSX = AG85, ADDRESSY = AD92), _xlfn.CONCAT(DATABIT4, DATABIT3, DATABIT2, DATABIT1), AG92)</f>
        <v>0</v>
      </c>
      <c r="AH92" s="87">
        <f ca="1">IF(AND(OPBIT = "11", ADDRESSX = AH85, ADDRESSY = AD92), _xlfn.CONCAT(DATABIT4, DATABIT3, DATABIT2, DATABIT1), AH92)</f>
        <v>0</v>
      </c>
      <c r="AI92" s="87">
        <f ca="1">IF(AND(OPBIT = "11", ADDRESSX = AI85, ADDRESSY = AD92), _xlfn.CONCAT(DATABIT4, DATABIT3, DATABIT2, DATABIT1), AI92)</f>
        <v>0</v>
      </c>
      <c r="AJ92" s="87">
        <f ca="1">IF(AND(OPBIT = "11", ADDRESSX = AJ85, ADDRESSY = AD92), _xlfn.CONCAT(DATABIT4, DATABIT3, DATABIT2, DATABIT1), AJ92)</f>
        <v>0</v>
      </c>
      <c r="AK92" s="87">
        <f ca="1">IF(AND(OPBIT = "11", ADDRESSX = AK85, ADDRESSY = AD92), _xlfn.CONCAT(DATABIT4, DATABIT3, DATABIT2, DATABIT1), AK92)</f>
        <v>0</v>
      </c>
      <c r="AL92" s="87">
        <f ca="1">IF(AND(OPBIT = "11", ADDRESSX = AL85, ADDRESSY = AD92), _xlfn.CONCAT(DATABIT4, DATABIT3, DATABIT2, DATABIT1), AL92)</f>
        <v>0</v>
      </c>
      <c r="AM92" s="87">
        <f t="shared" ca="1" si="0"/>
        <v>0</v>
      </c>
      <c r="AN92" s="87">
        <f t="shared" ca="1" si="1"/>
        <v>0</v>
      </c>
      <c r="AO92" s="87">
        <f t="shared" ca="1" si="2"/>
        <v>0</v>
      </c>
      <c r="AP92" s="87">
        <f t="shared" ca="1" si="3"/>
        <v>0</v>
      </c>
      <c r="AQ92" s="87">
        <f t="shared" ca="1" si="4"/>
        <v>0</v>
      </c>
      <c r="AR92" s="87">
        <f t="shared" ca="1" si="5"/>
        <v>0</v>
      </c>
      <c r="AS92" s="87">
        <f t="shared" ca="1" si="6"/>
        <v>0</v>
      </c>
      <c r="AT92" s="87">
        <f t="shared" ca="1" si="7"/>
        <v>0</v>
      </c>
    </row>
    <row r="93" spans="4:46" ht="15" customHeight="1" x14ac:dyDescent="0.3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  <c r="AD93" s="99" t="s">
        <v>70</v>
      </c>
      <c r="AE93" s="87">
        <f ca="1">IF(AND(OPBIT = "11", ADDRESSX = AE85, ADDRESSY = AD93), _xlfn.CONCAT(DATABIT4, DATABIT3, DATABIT2, DATABIT1), AE93)</f>
        <v>0</v>
      </c>
      <c r="AF93" s="87">
        <f ca="1">IF(AND(OPBIT = "11", ADDRESSX = AF85, ADDRESSY = AD93), _xlfn.CONCAT(DATABIT4, DATABIT3, DATABIT2, DATABIT1), AF93)</f>
        <v>0</v>
      </c>
      <c r="AG93" s="87">
        <f ca="1">IF(AND(OPBIT = "11", ADDRESSX = AG85, ADDRESSY = AD93), _xlfn.CONCAT(DATABIT4, DATABIT3, DATABIT2, DATABIT1), AG93)</f>
        <v>0</v>
      </c>
      <c r="AH93" s="87">
        <f ca="1">IF(AND(OPBIT = "11", ADDRESSX = AH85, ADDRESSY = AD93), _xlfn.CONCAT(DATABIT4, DATABIT3, DATABIT2, DATABIT1), AH93)</f>
        <v>0</v>
      </c>
      <c r="AI93" s="87">
        <f ca="1">IF(AND(OPBIT = "11", ADDRESSX = AI85, ADDRESSY = AD93), _xlfn.CONCAT(DATABIT4, DATABIT3, DATABIT2, DATABIT1), AI93)</f>
        <v>0</v>
      </c>
      <c r="AJ93" s="87">
        <f ca="1">IF(AND(OPBIT = "11", ADDRESSX = AJ85, ADDRESSY = AD93), _xlfn.CONCAT(DATABIT4, DATABIT3, DATABIT2, DATABIT1), AJ93)</f>
        <v>0</v>
      </c>
      <c r="AK93" s="87">
        <f ca="1">IF(AND(OPBIT = "11", ADDRESSX = AK85, ADDRESSY = AD93), _xlfn.CONCAT(DATABIT4, DATABIT3, DATABIT2, DATABIT1), AK93)</f>
        <v>0</v>
      </c>
      <c r="AL93" s="87">
        <f ca="1">IF(AND(OPBIT = "11", ADDRESSX = AL85, ADDRESSY = AD93), _xlfn.CONCAT(DATABIT4, DATABIT3, DATABIT2, DATABIT1), AL93)</f>
        <v>0</v>
      </c>
      <c r="AM93" s="87">
        <f t="shared" ca="1" si="0"/>
        <v>0</v>
      </c>
      <c r="AN93" s="87">
        <f t="shared" ca="1" si="1"/>
        <v>0</v>
      </c>
      <c r="AO93" s="87">
        <f t="shared" ca="1" si="2"/>
        <v>0</v>
      </c>
      <c r="AP93" s="87">
        <f t="shared" ca="1" si="3"/>
        <v>0</v>
      </c>
      <c r="AQ93" s="87">
        <f t="shared" ca="1" si="4"/>
        <v>0</v>
      </c>
      <c r="AR93" s="87">
        <f t="shared" ca="1" si="5"/>
        <v>0</v>
      </c>
      <c r="AS93" s="87">
        <f t="shared" ca="1" si="6"/>
        <v>0</v>
      </c>
      <c r="AT93" s="87">
        <f t="shared" ca="1" si="7"/>
        <v>0</v>
      </c>
    </row>
    <row r="94" spans="4:46" ht="15" customHeight="1" x14ac:dyDescent="0.3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  <c r="AD94" s="100" t="s">
        <v>97</v>
      </c>
      <c r="AE94" s="87">
        <f ca="1">IF(AND(OPBIT = "11", ADDRESSX = AE85, ADDRESSY = AD94), _xlfn.CONCAT(DATABIT4, DATABIT3, DATABIT2, DATABIT1), AE94)</f>
        <v>0</v>
      </c>
      <c r="AF94" s="87">
        <f ca="1">IF(AND(OPBIT = "11", ADDRESSX = AF85, ADDRESSY = AD94), _xlfn.CONCAT(DATABIT4, DATABIT3, DATABIT2, DATABIT1), AF94)</f>
        <v>0</v>
      </c>
      <c r="AG94" s="87">
        <f ca="1">IF(AND(OPBIT = "11", ADDRESSX = AG85, ADDRESSY = AD94), _xlfn.CONCAT(DATABIT4, DATABIT3, DATABIT2, DATABIT1), AG94)</f>
        <v>0</v>
      </c>
      <c r="AH94" s="87">
        <f ca="1">IF(AND(OPBIT = "11", ADDRESSX = AH85, ADDRESSY = AD94), _xlfn.CONCAT(DATABIT4, DATABIT3, DATABIT2, DATABIT1), AH94)</f>
        <v>0</v>
      </c>
      <c r="AI94" s="87">
        <f ca="1">IF(AND(OPBIT = "11", ADDRESSX = AI85, ADDRESSY = AD94), _xlfn.CONCAT(DATABIT4, DATABIT3, DATABIT2, DATABIT1), AI94)</f>
        <v>0</v>
      </c>
      <c r="AJ94" s="87">
        <f ca="1">IF(AND(OPBIT = "11", ADDRESSX = AJ85, ADDRESSY = AD94), _xlfn.CONCAT(DATABIT4, DATABIT3, DATABIT2, DATABIT1), AJ94)</f>
        <v>0</v>
      </c>
      <c r="AK94" s="87">
        <f ca="1">IF(AND(OPBIT = "11", ADDRESSX = AK85, ADDRESSY = AD94), _xlfn.CONCAT(DATABIT4, DATABIT3, DATABIT2, DATABIT1), AK94)</f>
        <v>0</v>
      </c>
      <c r="AL94" s="87">
        <f ca="1">IF(AND(OPBIT = "11", ADDRESSX = AL85, ADDRESSY = AD94), _xlfn.CONCAT(DATABIT4, DATABIT3, DATABIT2, DATABIT1), AL94)</f>
        <v>0</v>
      </c>
      <c r="AM94" s="87">
        <f t="shared" ca="1" si="0"/>
        <v>0</v>
      </c>
      <c r="AN94" s="87">
        <f t="shared" ca="1" si="1"/>
        <v>0</v>
      </c>
      <c r="AO94" s="87">
        <f t="shared" ca="1" si="2"/>
        <v>0</v>
      </c>
      <c r="AP94" s="87">
        <f t="shared" ca="1" si="3"/>
        <v>0</v>
      </c>
      <c r="AQ94" s="87">
        <f t="shared" ca="1" si="4"/>
        <v>0</v>
      </c>
      <c r="AR94" s="87">
        <f t="shared" ca="1" si="5"/>
        <v>0</v>
      </c>
      <c r="AS94" s="87">
        <f t="shared" ca="1" si="6"/>
        <v>0</v>
      </c>
      <c r="AT94" s="87">
        <f t="shared" ca="1" si="7"/>
        <v>0</v>
      </c>
    </row>
    <row r="95" spans="4:46" ht="15" customHeight="1" x14ac:dyDescent="0.3">
      <c r="N95" s="70"/>
      <c r="AD95" s="100" t="s">
        <v>71</v>
      </c>
      <c r="AE95" s="87">
        <f ca="1">IF(AND(OPBIT = "11", ADDRESSX = AE85, ADDRESSY = AD95), _xlfn.CONCAT(DATABIT4, DATABIT3, DATABIT2, DATABIT1), AE95)</f>
        <v>0</v>
      </c>
      <c r="AF95" s="87">
        <f ca="1">IF(AND(OPBIT = "11", ADDRESSX = AF85, ADDRESSY = AD95), _xlfn.CONCAT(DATABIT4, DATABIT3, DATABIT2, DATABIT1), AF95)</f>
        <v>0</v>
      </c>
      <c r="AG95" s="87">
        <f ca="1">IF(AND(OPBIT = "11", ADDRESSX = AG85, ADDRESSY = AD95), _xlfn.CONCAT(DATABIT4, DATABIT3, DATABIT2, DATABIT1), AG95)</f>
        <v>0</v>
      </c>
      <c r="AH95" s="87">
        <f ca="1">IF(AND(OPBIT = "11", ADDRESSX = AH85, ADDRESSY = AD95), _xlfn.CONCAT(DATABIT4, DATABIT3, DATABIT2, DATABIT1), AH95)</f>
        <v>0</v>
      </c>
      <c r="AI95" s="87">
        <f ca="1">IF(AND(OPBIT = "11", ADDRESSX = AI85, ADDRESSY = AD95), _xlfn.CONCAT(DATABIT4, DATABIT3, DATABIT2, DATABIT1), AI95)</f>
        <v>0</v>
      </c>
      <c r="AJ95" s="87">
        <f ca="1">IF(AND(OPBIT = "11", ADDRESSX = AJ85, ADDRESSY = AD95), _xlfn.CONCAT(DATABIT4, DATABIT3, DATABIT2, DATABIT1), AJ95)</f>
        <v>0</v>
      </c>
      <c r="AK95" s="87">
        <f ca="1">IF(AND(OPBIT = "11", ADDRESSX = AK85, ADDRESSY = AD95), _xlfn.CONCAT(DATABIT4, DATABIT3, DATABIT2, DATABIT1), AK95)</f>
        <v>0</v>
      </c>
      <c r="AL95" s="87">
        <f ca="1">IF(AND(OPBIT = "11", ADDRESSX = AL85, ADDRESSY = AD95), _xlfn.CONCAT(DATABIT4, DATABIT3, DATABIT2, DATABIT1), AL95)</f>
        <v>0</v>
      </c>
      <c r="AM95" s="87">
        <f t="shared" ca="1" si="0"/>
        <v>0</v>
      </c>
      <c r="AN95" s="87">
        <f t="shared" ca="1" si="1"/>
        <v>0</v>
      </c>
      <c r="AO95" s="87">
        <f t="shared" ca="1" si="2"/>
        <v>0</v>
      </c>
      <c r="AP95" s="87">
        <f t="shared" ca="1" si="3"/>
        <v>0</v>
      </c>
      <c r="AQ95" s="87">
        <f t="shared" ca="1" si="4"/>
        <v>0</v>
      </c>
      <c r="AR95" s="87">
        <f t="shared" ca="1" si="5"/>
        <v>0</v>
      </c>
      <c r="AS95" s="87">
        <f t="shared" ca="1" si="6"/>
        <v>0</v>
      </c>
      <c r="AT95" s="87">
        <f t="shared" ca="1" si="7"/>
        <v>0</v>
      </c>
    </row>
    <row r="96" spans="4:46" ht="15" customHeight="1" x14ac:dyDescent="0.3">
      <c r="AD96" s="100" t="s">
        <v>98</v>
      </c>
      <c r="AE96" s="87">
        <f ca="1">IF(AND(OPBIT = "11", ADDRESSX = AE85, ADDRESSY = AD96), _xlfn.CONCAT(DATABIT4, DATABIT3, DATABIT2, DATABIT1), AE96)</f>
        <v>0</v>
      </c>
      <c r="AF96" s="87">
        <f ca="1">IF(AND(OPBIT = "11", ADDRESSX = AF85, ADDRESSY = AD96), _xlfn.CONCAT(DATABIT4, DATABIT3, DATABIT2, DATABIT1), AF96)</f>
        <v>0</v>
      </c>
      <c r="AG96" s="87">
        <f ca="1">IF(AND(OPBIT = "11", ADDRESSX = AG85, ADDRESSY = AD96), _xlfn.CONCAT(DATABIT4, DATABIT3, DATABIT2, DATABIT1), AG96)</f>
        <v>0</v>
      </c>
      <c r="AH96" s="87">
        <f ca="1">IF(AND(OPBIT = "11", ADDRESSX = AH85, ADDRESSY = AD96), _xlfn.CONCAT(DATABIT4, DATABIT3, DATABIT2, DATABIT1), AH96)</f>
        <v>0</v>
      </c>
      <c r="AI96" s="87">
        <f ca="1">IF(AND(OPBIT = "11", ADDRESSX = AI85, ADDRESSY = AD96), _xlfn.CONCAT(DATABIT4, DATABIT3, DATABIT2, DATABIT1), AI96)</f>
        <v>0</v>
      </c>
      <c r="AJ96" s="87">
        <f ca="1">IF(AND(OPBIT = "11", ADDRESSX = AJ85, ADDRESSY = AD96), _xlfn.CONCAT(DATABIT4, DATABIT3, DATABIT2, DATABIT1), AJ96)</f>
        <v>0</v>
      </c>
      <c r="AK96" s="87">
        <f ca="1">IF(AND(OPBIT = "11", ADDRESSX = AK85, ADDRESSY = AD96), _xlfn.CONCAT(DATABIT4, DATABIT3, DATABIT2, DATABIT1), AK96)</f>
        <v>0</v>
      </c>
      <c r="AL96" s="87">
        <f ca="1">IF(AND(OPBIT = "11", ADDRESSX = AL85, ADDRESSY = AD96), _xlfn.CONCAT(DATABIT4, DATABIT3, DATABIT2, DATABIT1), AL96)</f>
        <v>0</v>
      </c>
      <c r="AM96" s="87">
        <f t="shared" ca="1" si="0"/>
        <v>0</v>
      </c>
      <c r="AN96" s="87">
        <f t="shared" ca="1" si="1"/>
        <v>0</v>
      </c>
      <c r="AO96" s="87">
        <f t="shared" ca="1" si="2"/>
        <v>0</v>
      </c>
      <c r="AP96" s="87">
        <f t="shared" ca="1" si="3"/>
        <v>0</v>
      </c>
      <c r="AQ96" s="87">
        <f t="shared" ca="1" si="4"/>
        <v>0</v>
      </c>
      <c r="AR96" s="87">
        <f t="shared" ca="1" si="5"/>
        <v>0</v>
      </c>
      <c r="AS96" s="87">
        <f t="shared" ca="1" si="6"/>
        <v>0</v>
      </c>
      <c r="AT96" s="87">
        <f t="shared" ca="1" si="7"/>
        <v>0</v>
      </c>
    </row>
    <row r="97" spans="7:46" ht="15" customHeight="1" x14ac:dyDescent="0.3">
      <c r="G97" s="59"/>
      <c r="H97" s="71">
        <v>0</v>
      </c>
      <c r="I97" s="65"/>
      <c r="J97" s="57">
        <v>0</v>
      </c>
      <c r="K97" s="114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  <c r="AD97" s="100" t="s">
        <v>99</v>
      </c>
      <c r="AE97" s="87">
        <f ca="1">IF(AND(OPBIT = "11", ADDRESSX = AE85, ADDRESSY = AD97), _xlfn.CONCAT(DATABIT4, DATABIT3, DATABIT2, DATABIT1), AE97)</f>
        <v>0</v>
      </c>
      <c r="AF97" s="87">
        <f ca="1">IF(AND(OPBIT = "11", ADDRESSX = AF85, ADDRESSY = AD97), _xlfn.CONCAT(DATABIT4, DATABIT3, DATABIT2, DATABIT1), AF97)</f>
        <v>0</v>
      </c>
      <c r="AG97" s="87">
        <f ca="1">IF(AND(OPBIT = "11", ADDRESSX = AG85, ADDRESSY = AD97), _xlfn.CONCAT(DATABIT4, DATABIT3, DATABIT2, DATABIT1), AG97)</f>
        <v>0</v>
      </c>
      <c r="AH97" s="87">
        <f ca="1">IF(AND(OPBIT = "11", ADDRESSX = AH85, ADDRESSY = AD97), _xlfn.CONCAT(DATABIT4, DATABIT3, DATABIT2, DATABIT1), AH97)</f>
        <v>0</v>
      </c>
      <c r="AI97" s="87">
        <f ca="1">IF(AND(OPBIT = "11", ADDRESSX = AI85, ADDRESSY = AD97), _xlfn.CONCAT(DATABIT4, DATABIT3, DATABIT2, DATABIT1), AI97)</f>
        <v>0</v>
      </c>
      <c r="AJ97" s="87">
        <f ca="1">IF(AND(OPBIT = "11", ADDRESSX = AJ85, ADDRESSY = AD97), _xlfn.CONCAT(DATABIT4, DATABIT3, DATABIT2, DATABIT1), AJ97)</f>
        <v>0</v>
      </c>
      <c r="AK97" s="87">
        <f ca="1">IF(AND(OPBIT = "11", ADDRESSX = AK85, ADDRESSY = AD97), _xlfn.CONCAT(DATABIT4, DATABIT3, DATABIT2, DATABIT1), AK97)</f>
        <v>0</v>
      </c>
      <c r="AL97" s="87">
        <f ca="1">IF(AND(OPBIT = "11", ADDRESSX = AL85, ADDRESSY = AD97), _xlfn.CONCAT(DATABIT4, DATABIT3, DATABIT2, DATABIT1), AL97)</f>
        <v>0</v>
      </c>
      <c r="AM97" s="87">
        <f t="shared" ca="1" si="0"/>
        <v>0</v>
      </c>
      <c r="AN97" s="87">
        <f t="shared" ca="1" si="1"/>
        <v>0</v>
      </c>
      <c r="AO97" s="87">
        <f t="shared" ca="1" si="2"/>
        <v>0</v>
      </c>
      <c r="AP97" s="87">
        <f t="shared" ca="1" si="3"/>
        <v>0</v>
      </c>
      <c r="AQ97" s="87">
        <f t="shared" ca="1" si="4"/>
        <v>0</v>
      </c>
      <c r="AR97" s="87">
        <f t="shared" ca="1" si="5"/>
        <v>0</v>
      </c>
      <c r="AS97" s="87">
        <f t="shared" ca="1" si="6"/>
        <v>0</v>
      </c>
      <c r="AT97" s="87">
        <f t="shared" ca="1" si="7"/>
        <v>0</v>
      </c>
    </row>
    <row r="98" spans="7:46" ht="15" customHeight="1" x14ac:dyDescent="0.3">
      <c r="G98" s="16"/>
      <c r="H98" s="112" t="s">
        <v>54</v>
      </c>
      <c r="I98" s="113"/>
      <c r="J98" s="17"/>
      <c r="K98" s="115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  <c r="AD98" s="100" t="s">
        <v>72</v>
      </c>
      <c r="AE98" s="87">
        <f ca="1">IF(AND(OPBIT = "11", ADDRESSX = AE85, ADDRESSY = AD98), _xlfn.CONCAT(DATABIT4, DATABIT3, DATABIT2, DATABIT1), AE98)</f>
        <v>0</v>
      </c>
      <c r="AF98" s="87">
        <f ca="1">IF(AND(OPBIT = "11", ADDRESSX = AF85, ADDRESSY = AD98), _xlfn.CONCAT(DATABIT4, DATABIT3, DATABIT2, DATABIT1), AF98)</f>
        <v>0</v>
      </c>
      <c r="AG98" s="87">
        <f ca="1">IF(AND(OPBIT = "11", ADDRESSX = AG85, ADDRESSY = AD98), _xlfn.CONCAT(DATABIT4, DATABIT3, DATABIT2, DATABIT1), AG98)</f>
        <v>0</v>
      </c>
      <c r="AH98" s="87">
        <f ca="1">IF(AND(OPBIT = "11", ADDRESSX = AH85, ADDRESSY = AD98), _xlfn.CONCAT(DATABIT4, DATABIT3, DATABIT2, DATABIT1), AH98)</f>
        <v>0</v>
      </c>
      <c r="AI98" s="87">
        <f ca="1">IF(AND(OPBIT = "11", ADDRESSX = AI85, ADDRESSY = AD98), _xlfn.CONCAT(DATABIT4, DATABIT3, DATABIT2, DATABIT1), AI98)</f>
        <v>0</v>
      </c>
      <c r="AJ98" s="87">
        <f ca="1">IF(AND(OPBIT = "11", ADDRESSX = AJ85, ADDRESSY = AD98), _xlfn.CONCAT(DATABIT4, DATABIT3, DATABIT2, DATABIT1), AJ98)</f>
        <v>0</v>
      </c>
      <c r="AK98" s="87">
        <f ca="1">IF(AND(OPBIT = "11", ADDRESSX = AK85, ADDRESSY = AD98), _xlfn.CONCAT(DATABIT4, DATABIT3, DATABIT2, DATABIT1), AK98)</f>
        <v>0</v>
      </c>
      <c r="AL98" s="87">
        <f ca="1">IF(AND(OPBIT = "11", ADDRESSX = AL85, ADDRESSY = AD98), _xlfn.CONCAT(DATABIT4, DATABIT3, DATABIT2, DATABIT1), AL98)</f>
        <v>0</v>
      </c>
      <c r="AM98" s="87">
        <f t="shared" ca="1" si="0"/>
        <v>0</v>
      </c>
      <c r="AN98" s="87">
        <f t="shared" ca="1" si="1"/>
        <v>0</v>
      </c>
      <c r="AO98" s="87">
        <f t="shared" ca="1" si="2"/>
        <v>0</v>
      </c>
      <c r="AP98" s="87">
        <f t="shared" ca="1" si="3"/>
        <v>0</v>
      </c>
      <c r="AQ98" s="87">
        <f t="shared" ca="1" si="4"/>
        <v>0</v>
      </c>
      <c r="AR98" s="87">
        <f t="shared" ca="1" si="5"/>
        <v>0</v>
      </c>
      <c r="AS98" s="87">
        <f t="shared" ca="1" si="6"/>
        <v>0</v>
      </c>
      <c r="AT98" s="87">
        <f t="shared" ca="1" si="7"/>
        <v>0</v>
      </c>
    </row>
    <row r="99" spans="7:46" ht="15" customHeight="1" x14ac:dyDescent="0.3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  <c r="AD99" s="100" t="s">
        <v>100</v>
      </c>
      <c r="AE99" s="87">
        <f ca="1">IF(AND(OPBIT = "11", ADDRESSX = AE85, ADDRESSY = AD99), _xlfn.CONCAT(DATABIT4, DATABIT3, DATABIT2, DATABIT1), AE99)</f>
        <v>0</v>
      </c>
      <c r="AF99" s="87">
        <f ca="1">IF(AND(OPBIT = "11", ADDRESSX = AF85, ADDRESSY = AD99), _xlfn.CONCAT(DATABIT4, DATABIT3, DATABIT2, DATABIT1), AF99)</f>
        <v>0</v>
      </c>
      <c r="AG99" s="87">
        <f ca="1">IF(AND(OPBIT = "11", ADDRESSX = AG85, ADDRESSY = AD99), _xlfn.CONCAT(DATABIT4, DATABIT3, DATABIT2, DATABIT1), AG99)</f>
        <v>0</v>
      </c>
      <c r="AH99" s="87">
        <f ca="1">IF(AND(OPBIT = "11", ADDRESSX = AH85, ADDRESSY = AD99), _xlfn.CONCAT(DATABIT4, DATABIT3, DATABIT2, DATABIT1), AH99)</f>
        <v>0</v>
      </c>
      <c r="AI99" s="87">
        <f ca="1">IF(AND(OPBIT = "11", ADDRESSX = AI85, ADDRESSY = AD99), _xlfn.CONCAT(DATABIT4, DATABIT3, DATABIT2, DATABIT1), AI99)</f>
        <v>0</v>
      </c>
      <c r="AJ99" s="87">
        <f ca="1">IF(AND(OPBIT = "11", ADDRESSX = AJ85, ADDRESSY = AD99), _xlfn.CONCAT(DATABIT4, DATABIT3, DATABIT2, DATABIT1), AJ99)</f>
        <v>0</v>
      </c>
      <c r="AK99" s="87">
        <f ca="1">IF(AND(OPBIT = "11", ADDRESSX = AK85, ADDRESSY = AD99), _xlfn.CONCAT(DATABIT4, DATABIT3, DATABIT2, DATABIT1), AK99)</f>
        <v>0</v>
      </c>
      <c r="AL99" s="87">
        <f ca="1">IF(AND(OPBIT = "11", ADDRESSX = AL85, ADDRESSY = AD99), _xlfn.CONCAT(DATABIT4, DATABIT3, DATABIT2, DATABIT1), AL99)</f>
        <v>0</v>
      </c>
      <c r="AM99" s="87">
        <f t="shared" ca="1" si="0"/>
        <v>0</v>
      </c>
      <c r="AN99" s="87">
        <f t="shared" ca="1" si="1"/>
        <v>0</v>
      </c>
      <c r="AO99" s="87">
        <f t="shared" ca="1" si="2"/>
        <v>0</v>
      </c>
      <c r="AP99" s="87">
        <f t="shared" ca="1" si="3"/>
        <v>0</v>
      </c>
      <c r="AQ99" s="87">
        <f t="shared" ca="1" si="4"/>
        <v>0</v>
      </c>
      <c r="AR99" s="87">
        <f t="shared" ca="1" si="5"/>
        <v>0</v>
      </c>
      <c r="AS99" s="87">
        <f t="shared" ca="1" si="6"/>
        <v>0</v>
      </c>
      <c r="AT99" s="87">
        <f t="shared" ca="1" si="7"/>
        <v>0</v>
      </c>
    </row>
    <row r="100" spans="7:46" ht="15" customHeight="1" x14ac:dyDescent="0.3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45" t="s">
        <v>30</v>
      </c>
      <c r="Q100" s="13"/>
      <c r="R100" s="64"/>
      <c r="S100" s="65"/>
      <c r="T100" s="65"/>
      <c r="U100" s="65"/>
      <c r="V100" s="65"/>
      <c r="W100" s="65"/>
      <c r="X100" s="146" t="s">
        <v>36</v>
      </c>
      <c r="Y100" s="13"/>
      <c r="Z100" s="22"/>
      <c r="AA100" s="37"/>
      <c r="AD100" s="100" t="s">
        <v>101</v>
      </c>
      <c r="AE100" s="87">
        <f ca="1">IF(AND(OPBIT = "11", ADDRESSX = AE85, ADDRESSY = AD100), _xlfn.CONCAT(DATABIT4, DATABIT3, DATABIT2, DATABIT1), AE100)</f>
        <v>0</v>
      </c>
      <c r="AF100" s="87">
        <f ca="1">IF(AND(OPBIT = "11", ADDRESSX = AF85, ADDRESSY = AD100), _xlfn.CONCAT(DATABIT4, DATABIT3, DATABIT2, DATABIT1), AF100)</f>
        <v>0</v>
      </c>
      <c r="AG100" s="87">
        <f ca="1">IF(AND(OPBIT = "11", ADDRESSX = AG85, ADDRESSY = AD100), _xlfn.CONCAT(DATABIT4, DATABIT3, DATABIT2, DATABIT1), AG100)</f>
        <v>0</v>
      </c>
      <c r="AH100" s="87">
        <f ca="1">IF(AND(OPBIT = "11", ADDRESSX = AH85, ADDRESSY = AD100), _xlfn.CONCAT(DATABIT4, DATABIT3, DATABIT2, DATABIT1), AH100)</f>
        <v>0</v>
      </c>
      <c r="AI100" s="87">
        <f ca="1">IF(AND(OPBIT = "11", ADDRESSX = AI85, ADDRESSY = AD100), _xlfn.CONCAT(DATABIT4, DATABIT3, DATABIT2, DATABIT1), AI100)</f>
        <v>0</v>
      </c>
      <c r="AJ100" s="87">
        <f ca="1">IF(AND(OPBIT = "11", ADDRESSX = AJ85, ADDRESSY = AD100), _xlfn.CONCAT(DATABIT4, DATABIT3, DATABIT2, DATABIT1), AJ100)</f>
        <v>0</v>
      </c>
      <c r="AK100" s="87">
        <f ca="1">IF(AND(OPBIT = "11", ADDRESSX = AK85, ADDRESSY = AD100), _xlfn.CONCAT(DATABIT4, DATABIT3, DATABIT2, DATABIT1), AK100)</f>
        <v>0</v>
      </c>
      <c r="AL100" s="87">
        <f ca="1">IF(AND(OPBIT = "11", ADDRESSX = AL85, ADDRESSY = AD100), _xlfn.CONCAT(DATABIT4, DATABIT3, DATABIT2, DATABIT1), AL100)</f>
        <v>0</v>
      </c>
      <c r="AM100" s="87">
        <f t="shared" ca="1" si="0"/>
        <v>0</v>
      </c>
      <c r="AN100" s="87">
        <f t="shared" ca="1" si="1"/>
        <v>0</v>
      </c>
      <c r="AO100" s="87">
        <f t="shared" ca="1" si="2"/>
        <v>0</v>
      </c>
      <c r="AP100" s="87">
        <f t="shared" ca="1" si="3"/>
        <v>0</v>
      </c>
      <c r="AQ100" s="87">
        <f t="shared" ca="1" si="4"/>
        <v>0</v>
      </c>
      <c r="AR100" s="87">
        <f t="shared" ca="1" si="5"/>
        <v>0</v>
      </c>
      <c r="AS100" s="87">
        <f t="shared" ca="1" si="6"/>
        <v>0</v>
      </c>
      <c r="AT100" s="87">
        <f t="shared" ca="1" si="7"/>
        <v>0</v>
      </c>
    </row>
    <row r="101" spans="7:46" ht="15" customHeight="1" x14ac:dyDescent="0.3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18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47"/>
      <c r="Y101" s="13"/>
      <c r="Z101" s="22"/>
      <c r="AA101" s="37"/>
      <c r="AD101" s="100" t="s">
        <v>102</v>
      </c>
      <c r="AE101" s="87">
        <f ca="1">IF(AND(OPBIT = "11", ADDRESSX = AE85, ADDRESSY = AD101), _xlfn.CONCAT(DATABIT4, DATABIT3, DATABIT2, DATABIT1), AE101)</f>
        <v>0</v>
      </c>
      <c r="AF101" s="87">
        <f ca="1">IF(AND(OPBIT = "11", ADDRESSX = AF85, ADDRESSY = AD101), _xlfn.CONCAT(DATABIT4, DATABIT3, DATABIT2, DATABIT1), AF101)</f>
        <v>0</v>
      </c>
      <c r="AG101" s="87">
        <f ca="1">IF(AND(OPBIT = "11", ADDRESSX = AG85, ADDRESSY = AD101), _xlfn.CONCAT(DATABIT4, DATABIT3, DATABIT2, DATABIT1), AG101)</f>
        <v>0</v>
      </c>
      <c r="AH101" s="87">
        <f ca="1">IF(AND(OPBIT = "11", ADDRESSX = AH85, ADDRESSY = AD101), _xlfn.CONCAT(DATABIT4, DATABIT3, DATABIT2, DATABIT1), AH101)</f>
        <v>0</v>
      </c>
      <c r="AI101" s="87">
        <f ca="1">IF(AND(OPBIT = "11", ADDRESSX = AI85, ADDRESSY = AD101), _xlfn.CONCAT(DATABIT4, DATABIT3, DATABIT2, DATABIT1), AI101)</f>
        <v>0</v>
      </c>
      <c r="AJ101" s="87">
        <f ca="1">IF(AND(OPBIT = "11", ADDRESSX = AJ85, ADDRESSY = AD101), _xlfn.CONCAT(DATABIT4, DATABIT3, DATABIT2, DATABIT1), AJ101)</f>
        <v>0</v>
      </c>
      <c r="AK101" s="87">
        <f ca="1">IF(AND(OPBIT = "11", ADDRESSX = AK85, ADDRESSY = AD101), _xlfn.CONCAT(DATABIT4, DATABIT3, DATABIT2, DATABIT1), AK101)</f>
        <v>0</v>
      </c>
      <c r="AL101" s="87">
        <f ca="1">IF(AND(OPBIT = "11", ADDRESSX = AL85, ADDRESSY = AD101), _xlfn.CONCAT(DATABIT4, DATABIT3, DATABIT2, DATABIT1), AL101)</f>
        <v>0</v>
      </c>
      <c r="AM101" s="87">
        <f t="shared" ca="1" si="0"/>
        <v>0</v>
      </c>
      <c r="AN101" s="87">
        <f t="shared" ca="1" si="1"/>
        <v>0</v>
      </c>
      <c r="AO101" s="87">
        <f t="shared" ca="1" si="2"/>
        <v>0</v>
      </c>
      <c r="AP101" s="87">
        <f t="shared" ca="1" si="3"/>
        <v>0</v>
      </c>
      <c r="AQ101" s="87">
        <f t="shared" ca="1" si="4"/>
        <v>0</v>
      </c>
      <c r="AR101" s="87">
        <f t="shared" ca="1" si="5"/>
        <v>0</v>
      </c>
      <c r="AS101" s="87">
        <f t="shared" ca="1" si="6"/>
        <v>0</v>
      </c>
      <c r="AT101" s="87">
        <f t="shared" ca="1" si="7"/>
        <v>0</v>
      </c>
    </row>
    <row r="102" spans="7:46" ht="15" customHeight="1" x14ac:dyDescent="0.3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26"/>
      <c r="Q102" s="13"/>
      <c r="R102" s="66"/>
      <c r="S102" s="67"/>
      <c r="T102" s="67"/>
      <c r="U102" s="67"/>
      <c r="V102" s="67"/>
      <c r="W102" s="67"/>
      <c r="X102" s="147"/>
      <c r="Y102" s="13"/>
      <c r="Z102" s="22"/>
      <c r="AA102" s="37"/>
      <c r="AE102" t="s">
        <v>106</v>
      </c>
      <c r="AF102" t="s">
        <v>106</v>
      </c>
      <c r="AG102" t="s">
        <v>106</v>
      </c>
      <c r="AH102" t="s">
        <v>106</v>
      </c>
      <c r="AI102" t="s">
        <v>106</v>
      </c>
      <c r="AJ102" t="s">
        <v>106</v>
      </c>
      <c r="AK102" t="s">
        <v>106</v>
      </c>
      <c r="AL102" t="s">
        <v>106</v>
      </c>
    </row>
    <row r="103" spans="7:46" ht="15" customHeight="1" x14ac:dyDescent="0.3">
      <c r="G103" s="16"/>
      <c r="H103" s="16"/>
      <c r="I103" s="15"/>
      <c r="J103" s="13"/>
      <c r="K103" s="13"/>
      <c r="L103" s="13"/>
      <c r="M103" s="13"/>
      <c r="N103" s="119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28" t="s">
        <v>53</v>
      </c>
    </row>
    <row r="104" spans="7:46" ht="15" customHeight="1" x14ac:dyDescent="0.3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20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28"/>
    </row>
    <row r="105" spans="7:46" ht="15" customHeight="1" x14ac:dyDescent="0.3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21"/>
      <c r="O105" s="17"/>
      <c r="P105" s="14"/>
      <c r="Q105" s="13"/>
      <c r="R105" s="64"/>
      <c r="S105" s="65"/>
      <c r="T105" s="65"/>
      <c r="U105" s="65"/>
      <c r="V105" s="65"/>
      <c r="W105" s="65"/>
      <c r="X105" s="148" t="s">
        <v>35</v>
      </c>
      <c r="Y105" s="13"/>
      <c r="Z105" s="22"/>
      <c r="AA105" s="128"/>
    </row>
    <row r="106" spans="7:46" ht="15" customHeight="1" x14ac:dyDescent="0.3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28"/>
      <c r="Y106" s="13"/>
      <c r="Z106" s="22"/>
      <c r="AA106" s="37"/>
    </row>
    <row r="107" spans="7:46" ht="15" customHeight="1" x14ac:dyDescent="0.3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28"/>
      <c r="Y107" s="13"/>
      <c r="Z107" s="22"/>
      <c r="AA107" s="37"/>
    </row>
    <row r="108" spans="7:46" ht="15" customHeight="1" x14ac:dyDescent="0.3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46" ht="15" customHeight="1" x14ac:dyDescent="0.3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46" ht="15" customHeight="1" x14ac:dyDescent="0.3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46" ht="15" customHeight="1" x14ac:dyDescent="0.3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46" ht="15" customHeight="1" x14ac:dyDescent="0.3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3">
      <c r="G113" s="16"/>
      <c r="H113" s="16"/>
      <c r="I113" s="15"/>
      <c r="J113" s="13"/>
      <c r="K113" s="13"/>
      <c r="L113" s="13"/>
      <c r="M113" s="13"/>
      <c r="N113" s="119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3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20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3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21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3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16" t="s">
        <v>50</v>
      </c>
      <c r="AA116" s="37"/>
    </row>
    <row r="117" spans="7:27" ht="15" customHeight="1" x14ac:dyDescent="0.3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17"/>
      <c r="AA117" s="37"/>
    </row>
    <row r="118" spans="7:27" ht="15" customHeight="1" x14ac:dyDescent="0.3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18"/>
      <c r="AA118" s="37"/>
    </row>
    <row r="119" spans="7:27" ht="15" customHeight="1" x14ac:dyDescent="0.3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3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3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3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3">
      <c r="G123" s="16"/>
      <c r="H123" s="16"/>
      <c r="I123" s="15"/>
      <c r="J123" s="13"/>
      <c r="K123" s="13"/>
      <c r="L123" s="13"/>
      <c r="M123" s="13"/>
      <c r="N123" s="119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3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20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3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21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3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3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3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3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3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3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3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3">
      <c r="G133" s="16"/>
      <c r="H133" s="16"/>
      <c r="I133" s="15"/>
      <c r="J133" s="13"/>
      <c r="K133" s="13"/>
      <c r="L133" s="13"/>
      <c r="M133" s="13"/>
      <c r="N133" s="119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3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20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16" t="s">
        <v>50</v>
      </c>
      <c r="AA134" s="37"/>
    </row>
    <row r="135" spans="7:27" ht="15" customHeight="1" x14ac:dyDescent="0.3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21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17"/>
      <c r="AA135" s="37"/>
    </row>
    <row r="136" spans="7:27" ht="15" customHeight="1" x14ac:dyDescent="0.3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18"/>
      <c r="AA136" s="37"/>
    </row>
    <row r="137" spans="7:27" ht="15" customHeight="1" x14ac:dyDescent="0.3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3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3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3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3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3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3">
      <c r="G143" s="16"/>
      <c r="H143" s="16"/>
      <c r="I143" s="1">
        <f>IF(_xlfn.XOR(K139 = 1, K129 = 1), 1, 0)</f>
        <v>0</v>
      </c>
      <c r="J143" s="110" t="s">
        <v>32</v>
      </c>
      <c r="K143" s="111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3">
      <c r="G144" s="16"/>
      <c r="H144" s="31"/>
      <c r="I144" s="28">
        <f>K139</f>
        <v>0</v>
      </c>
      <c r="J144" s="107" t="s">
        <v>33</v>
      </c>
      <c r="K144" s="108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3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3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3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3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3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3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3">
      <c r="G151" s="40"/>
      <c r="H151" s="39"/>
      <c r="I151" s="39"/>
      <c r="J151" s="46">
        <f>S144</f>
        <v>0</v>
      </c>
      <c r="K151" s="109" t="s">
        <v>52</v>
      </c>
      <c r="L151" s="109"/>
      <c r="M151" s="28">
        <f>I144</f>
        <v>0</v>
      </c>
      <c r="N151" s="107" t="s">
        <v>33</v>
      </c>
      <c r="O151" s="108"/>
      <c r="P151" s="28">
        <f>I143</f>
        <v>0</v>
      </c>
      <c r="Q151" s="107" t="s">
        <v>32</v>
      </c>
      <c r="R151" s="108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3">
      <c r="P153" s="70" t="s">
        <v>45</v>
      </c>
    </row>
  </sheetData>
  <mergeCells count="42"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Z134:Z136"/>
    <mergeCell ref="N133:N135"/>
    <mergeCell ref="G85:J85"/>
    <mergeCell ref="W51:W53"/>
    <mergeCell ref="AG42:AG44"/>
    <mergeCell ref="W41:W43"/>
    <mergeCell ref="N48:N50"/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</mergeCells>
  <conditionalFormatting sqref="A1 U12:V12">
    <cfRule type="cellIs" dxfId="489" priority="422" operator="equal">
      <formula>0</formula>
    </cfRule>
    <cfRule type="cellIs" dxfId="488" priority="423" operator="equal">
      <formula>1</formula>
    </cfRule>
  </conditionalFormatting>
  <conditionalFormatting sqref="A3">
    <cfRule type="cellIs" dxfId="487" priority="424" operator="equal">
      <formula>0</formula>
    </cfRule>
    <cfRule type="cellIs" dxfId="486" priority="425" operator="equal">
      <formula>1</formula>
    </cfRule>
  </conditionalFormatting>
  <conditionalFormatting sqref="A5">
    <cfRule type="cellIs" dxfId="485" priority="426" operator="equal">
      <formula>0</formula>
    </cfRule>
    <cfRule type="cellIs" dxfId="484" priority="427" operator="equal">
      <formula>1</formula>
    </cfRule>
  </conditionalFormatting>
  <conditionalFormatting sqref="A7">
    <cfRule type="cellIs" dxfId="483" priority="428" operator="equal">
      <formula>0</formula>
    </cfRule>
    <cfRule type="cellIs" dxfId="482" priority="429" operator="equal">
      <formula>1</formula>
    </cfRule>
  </conditionalFormatting>
  <conditionalFormatting sqref="A9">
    <cfRule type="cellIs" dxfId="481" priority="430" operator="equal">
      <formula>0</formula>
    </cfRule>
    <cfRule type="cellIs" dxfId="480" priority="431" operator="equal">
      <formula>1</formula>
    </cfRule>
  </conditionalFormatting>
  <conditionalFormatting sqref="A11 R71:R72">
    <cfRule type="cellIs" dxfId="479" priority="432" operator="equal">
      <formula>0</formula>
    </cfRule>
    <cfRule type="cellIs" dxfId="478" priority="433" operator="equal">
      <formula>1</formula>
    </cfRule>
  </conditionalFormatting>
  <conditionalFormatting sqref="A13">
    <cfRule type="cellIs" dxfId="477" priority="434" operator="equal">
      <formula>0</formula>
    </cfRule>
    <cfRule type="cellIs" dxfId="476" priority="435" operator="equal">
      <formula>1</formula>
    </cfRule>
  </conditionalFormatting>
  <conditionalFormatting sqref="A15">
    <cfRule type="cellIs" dxfId="475" priority="436" operator="equal">
      <formula>0</formula>
    </cfRule>
    <cfRule type="cellIs" dxfId="474" priority="437" operator="equal">
      <formula>1</formula>
    </cfRule>
  </conditionalFormatting>
  <conditionalFormatting sqref="A17">
    <cfRule type="cellIs" dxfId="473" priority="438" operator="equal">
      <formula>0</formula>
    </cfRule>
    <cfRule type="cellIs" dxfId="472" priority="439" operator="equal">
      <formula>1</formula>
    </cfRule>
  </conditionalFormatting>
  <conditionalFormatting sqref="A19">
    <cfRule type="cellIs" dxfId="471" priority="440" operator="equal">
      <formula>0</formula>
    </cfRule>
    <cfRule type="cellIs" dxfId="470" priority="441" operator="equal">
      <formula>1</formula>
    </cfRule>
  </conditionalFormatting>
  <conditionalFormatting sqref="A21">
    <cfRule type="cellIs" dxfId="469" priority="442" operator="equal">
      <formula>0</formula>
    </cfRule>
    <cfRule type="cellIs" dxfId="468" priority="443" operator="equal">
      <formula>1</formula>
    </cfRule>
  </conditionalFormatting>
  <conditionalFormatting sqref="C1">
    <cfRule type="cellIs" dxfId="467" priority="444" operator="equal">
      <formula>0</formula>
    </cfRule>
    <cfRule type="cellIs" dxfId="466" priority="445" operator="equal">
      <formula>1</formula>
    </cfRule>
  </conditionalFormatting>
  <conditionalFormatting sqref="C3">
    <cfRule type="cellIs" dxfId="465" priority="446" operator="equal">
      <formula>0</formula>
    </cfRule>
    <cfRule type="cellIs" dxfId="464" priority="447" operator="equal">
      <formula>1</formula>
    </cfRule>
  </conditionalFormatting>
  <conditionalFormatting sqref="E1">
    <cfRule type="cellIs" dxfId="463" priority="448" operator="equal">
      <formula>0</formula>
    </cfRule>
    <cfRule type="cellIs" dxfId="462" priority="449" operator="equal">
      <formula>1</formula>
    </cfRule>
  </conditionalFormatting>
  <conditionalFormatting sqref="F87">
    <cfRule type="cellIs" dxfId="461" priority="56" operator="equal">
      <formula>0</formula>
    </cfRule>
    <cfRule type="cellIs" dxfId="460" priority="57" operator="equal">
      <formula>1</formula>
    </cfRule>
  </conditionalFormatting>
  <conditionalFormatting sqref="F91:I94">
    <cfRule type="containsText" dxfId="459" priority="39" operator="containsText" text="0000">
      <formula>NOT(ISERROR(SEARCH("0000",F91)))</formula>
    </cfRule>
    <cfRule type="cellIs" dxfId="458" priority="40" operator="greaterThan">
      <formula>0</formula>
    </cfRule>
  </conditionalFormatting>
  <conditionalFormatting sqref="G12">
    <cfRule type="cellIs" dxfId="457" priority="450" operator="equal">
      <formula>0</formula>
    </cfRule>
    <cfRule type="cellIs" dxfId="456" priority="451" operator="equal">
      <formula>1</formula>
    </cfRule>
  </conditionalFormatting>
  <conditionalFormatting sqref="G14">
    <cfRule type="cellIs" dxfId="455" priority="452" operator="equal">
      <formula>0</formula>
    </cfRule>
    <cfRule type="cellIs" dxfId="454" priority="453" operator="equal">
      <formula>1</formula>
    </cfRule>
  </conditionalFormatting>
  <conditionalFormatting sqref="H20">
    <cfRule type="cellIs" dxfId="453" priority="512" operator="equal">
      <formula>0</formula>
    </cfRule>
    <cfRule type="cellIs" dxfId="452" priority="513" operator="equal">
      <formula>1</formula>
    </cfRule>
  </conditionalFormatting>
  <conditionalFormatting sqref="H32">
    <cfRule type="cellIs" dxfId="451" priority="536" operator="equal">
      <formula>0</formula>
    </cfRule>
    <cfRule type="cellIs" dxfId="450" priority="537" operator="equal">
      <formula>1</formula>
    </cfRule>
  </conditionalFormatting>
  <conditionalFormatting sqref="H44">
    <cfRule type="cellIs" dxfId="449" priority="560" operator="equal">
      <formula>0</formula>
    </cfRule>
    <cfRule type="cellIs" dxfId="448" priority="561" operator="equal">
      <formula>1</formula>
    </cfRule>
  </conditionalFormatting>
  <conditionalFormatting sqref="H56">
    <cfRule type="cellIs" dxfId="447" priority="584" operator="equal">
      <formula>0</formula>
    </cfRule>
    <cfRule type="cellIs" dxfId="446" priority="585" operator="equal">
      <formula>1</formula>
    </cfRule>
  </conditionalFormatting>
  <conditionalFormatting sqref="H68">
    <cfRule type="cellIs" dxfId="445" priority="600" operator="equal">
      <formula>0</formula>
    </cfRule>
    <cfRule type="cellIs" dxfId="444" priority="601" operator="equal">
      <formula>1</formula>
    </cfRule>
  </conditionalFormatting>
  <conditionalFormatting sqref="H97">
    <cfRule type="cellIs" dxfId="443" priority="210" operator="equal">
      <formula>0</formula>
    </cfRule>
    <cfRule type="cellIs" dxfId="442" priority="211" operator="equal">
      <formula>1</formula>
    </cfRule>
  </conditionalFormatting>
  <conditionalFormatting sqref="H16:K17">
    <cfRule type="cellIs" dxfId="441" priority="598" operator="equal">
      <formula>0</formula>
    </cfRule>
    <cfRule type="cellIs" dxfId="440" priority="599" operator="equal">
      <formula>1</formula>
    </cfRule>
  </conditionalFormatting>
  <conditionalFormatting sqref="H87:K89">
    <cfRule type="cellIs" dxfId="439" priority="31" operator="equal">
      <formula>0</formula>
    </cfRule>
    <cfRule type="cellIs" dxfId="438" priority="32" operator="greaterThanOrEqual">
      <formula>1</formula>
    </cfRule>
  </conditionalFormatting>
  <conditionalFormatting sqref="I12">
    <cfRule type="cellIs" dxfId="437" priority="458" operator="equal">
      <formula>0</formula>
    </cfRule>
    <cfRule type="cellIs" dxfId="436" priority="459" operator="equal">
      <formula>1</formula>
    </cfRule>
  </conditionalFormatting>
  <conditionalFormatting sqref="I14">
    <cfRule type="cellIs" dxfId="435" priority="460" operator="equal">
      <formula>0</formula>
    </cfRule>
    <cfRule type="cellIs" dxfId="434" priority="461" operator="equal">
      <formula>1</formula>
    </cfRule>
  </conditionalFormatting>
  <conditionalFormatting sqref="I23">
    <cfRule type="cellIs" dxfId="433" priority="502" operator="equal">
      <formula>0</formula>
    </cfRule>
    <cfRule type="cellIs" dxfId="432" priority="503" operator="equal">
      <formula>1</formula>
    </cfRule>
  </conditionalFormatting>
  <conditionalFormatting sqref="I25">
    <cfRule type="cellIs" dxfId="431" priority="510" operator="equal">
      <formula>0</formula>
    </cfRule>
    <cfRule type="cellIs" dxfId="430" priority="511" operator="equal">
      <formula>1</formula>
    </cfRule>
  </conditionalFormatting>
  <conditionalFormatting sqref="I28">
    <cfRule type="cellIs" dxfId="429" priority="518" operator="equal">
      <formula>0</formula>
    </cfRule>
    <cfRule type="cellIs" dxfId="428" priority="519" operator="equal">
      <formula>1</formula>
    </cfRule>
  </conditionalFormatting>
  <conditionalFormatting sqref="I30">
    <cfRule type="cellIs" dxfId="427" priority="524" operator="equal">
      <formula>0</formula>
    </cfRule>
    <cfRule type="cellIs" dxfId="426" priority="525" operator="equal">
      <formula>1</formula>
    </cfRule>
  </conditionalFormatting>
  <conditionalFormatting sqref="I35">
    <cfRule type="cellIs" dxfId="425" priority="526" operator="equal">
      <formula>0</formula>
    </cfRule>
    <cfRule type="cellIs" dxfId="424" priority="527" operator="equal">
      <formula>1</formula>
    </cfRule>
  </conditionalFormatting>
  <conditionalFormatting sqref="I37">
    <cfRule type="cellIs" dxfId="423" priority="534" operator="equal">
      <formula>0</formula>
    </cfRule>
    <cfRule type="cellIs" dxfId="422" priority="535" operator="equal">
      <formula>1</formula>
    </cfRule>
  </conditionalFormatting>
  <conditionalFormatting sqref="I40">
    <cfRule type="cellIs" dxfId="421" priority="542" operator="equal">
      <formula>0</formula>
    </cfRule>
    <cfRule type="cellIs" dxfId="420" priority="543" operator="equal">
      <formula>1</formula>
    </cfRule>
  </conditionalFormatting>
  <conditionalFormatting sqref="I42">
    <cfRule type="cellIs" dxfId="419" priority="548" operator="equal">
      <formula>0</formula>
    </cfRule>
    <cfRule type="cellIs" dxfId="418" priority="549" operator="equal">
      <formula>1</formula>
    </cfRule>
  </conditionalFormatting>
  <conditionalFormatting sqref="I47">
    <cfRule type="cellIs" dxfId="417" priority="550" operator="equal">
      <formula>0</formula>
    </cfRule>
    <cfRule type="cellIs" dxfId="416" priority="551" operator="equal">
      <formula>1</formula>
    </cfRule>
  </conditionalFormatting>
  <conditionalFormatting sqref="I49">
    <cfRule type="cellIs" dxfId="415" priority="558" operator="equal">
      <formula>0</formula>
    </cfRule>
    <cfRule type="cellIs" dxfId="414" priority="559" operator="equal">
      <formula>1</formula>
    </cfRule>
  </conditionalFormatting>
  <conditionalFormatting sqref="I52">
    <cfRule type="cellIs" dxfId="413" priority="566" operator="equal">
      <formula>0</formula>
    </cfRule>
    <cfRule type="cellIs" dxfId="412" priority="567" operator="equal">
      <formula>1</formula>
    </cfRule>
  </conditionalFormatting>
  <conditionalFormatting sqref="I54">
    <cfRule type="cellIs" dxfId="411" priority="572" operator="equal">
      <formula>0</formula>
    </cfRule>
    <cfRule type="cellIs" dxfId="410" priority="573" operator="equal">
      <formula>1</formula>
    </cfRule>
  </conditionalFormatting>
  <conditionalFormatting sqref="I59">
    <cfRule type="cellIs" dxfId="409" priority="574" operator="equal">
      <formula>0</formula>
    </cfRule>
    <cfRule type="cellIs" dxfId="408" priority="575" operator="equal">
      <formula>1</formula>
    </cfRule>
  </conditionalFormatting>
  <conditionalFormatting sqref="I61">
    <cfRule type="cellIs" dxfId="407" priority="582" operator="equal">
      <formula>0</formula>
    </cfRule>
    <cfRule type="cellIs" dxfId="406" priority="583" operator="equal">
      <formula>1</formula>
    </cfRule>
  </conditionalFormatting>
  <conditionalFormatting sqref="I64">
    <cfRule type="cellIs" dxfId="405" priority="590" operator="equal">
      <formula>0</formula>
    </cfRule>
    <cfRule type="cellIs" dxfId="404" priority="591" operator="equal">
      <formula>1</formula>
    </cfRule>
  </conditionalFormatting>
  <conditionalFormatting sqref="I66">
    <cfRule type="cellIs" dxfId="403" priority="596" operator="equal">
      <formula>0</formula>
    </cfRule>
    <cfRule type="cellIs" dxfId="402" priority="597" operator="equal">
      <formula>1</formula>
    </cfRule>
  </conditionalFormatting>
  <conditionalFormatting sqref="I143:I144">
    <cfRule type="cellIs" dxfId="401" priority="148" operator="equal">
      <formula>0</formula>
    </cfRule>
    <cfRule type="cellIs" dxfId="400" priority="149" operator="equal">
      <formula>1</formula>
    </cfRule>
  </conditionalFormatting>
  <conditionalFormatting sqref="J4:J5">
    <cfRule type="cellIs" dxfId="399" priority="466" operator="equal">
      <formula>0</formula>
    </cfRule>
    <cfRule type="cellIs" dxfId="398" priority="467" operator="equal">
      <formula>1</formula>
    </cfRule>
  </conditionalFormatting>
  <conditionalFormatting sqref="J7">
    <cfRule type="cellIs" dxfId="397" priority="468" operator="equal">
      <formula>0</formula>
    </cfRule>
    <cfRule type="cellIs" dxfId="396" priority="469" operator="equal">
      <formula>1</formula>
    </cfRule>
  </conditionalFormatting>
  <conditionalFormatting sqref="J9">
    <cfRule type="cellIs" dxfId="395" priority="470" operator="equal">
      <formula>0</formula>
    </cfRule>
    <cfRule type="cellIs" dxfId="394" priority="471" operator="equal">
      <formula>1</formula>
    </cfRule>
  </conditionalFormatting>
  <conditionalFormatting sqref="J20">
    <cfRule type="cellIs" dxfId="393" priority="514" operator="equal">
      <formula>0</formula>
    </cfRule>
    <cfRule type="cellIs" dxfId="392" priority="515" operator="equal">
      <formula>1</formula>
    </cfRule>
  </conditionalFormatting>
  <conditionalFormatting sqref="J26">
    <cfRule type="cellIs" dxfId="391" priority="508" operator="equal">
      <formula>0</formula>
    </cfRule>
    <cfRule type="cellIs" dxfId="390" priority="509" operator="equal">
      <formula>1</formula>
    </cfRule>
  </conditionalFormatting>
  <conditionalFormatting sqref="J32">
    <cfRule type="cellIs" dxfId="389" priority="538" operator="equal">
      <formula>0</formula>
    </cfRule>
    <cfRule type="cellIs" dxfId="388" priority="539" operator="equal">
      <formula>1</formula>
    </cfRule>
  </conditionalFormatting>
  <conditionalFormatting sqref="J38">
    <cfRule type="cellIs" dxfId="387" priority="532" operator="equal">
      <formula>0</formula>
    </cfRule>
    <cfRule type="cellIs" dxfId="386" priority="533" operator="equal">
      <formula>1</formula>
    </cfRule>
  </conditionalFormatting>
  <conditionalFormatting sqref="J44">
    <cfRule type="cellIs" dxfId="385" priority="562" operator="equal">
      <formula>0</formula>
    </cfRule>
    <cfRule type="cellIs" dxfId="384" priority="563" operator="equal">
      <formula>1</formula>
    </cfRule>
  </conditionalFormatting>
  <conditionalFormatting sqref="J50">
    <cfRule type="cellIs" dxfId="383" priority="556" operator="equal">
      <formula>0</formula>
    </cfRule>
    <cfRule type="cellIs" dxfId="382" priority="557" operator="equal">
      <formula>1</formula>
    </cfRule>
  </conditionalFormatting>
  <conditionalFormatting sqref="J56">
    <cfRule type="cellIs" dxfId="381" priority="586" operator="equal">
      <formula>0</formula>
    </cfRule>
    <cfRule type="cellIs" dxfId="380" priority="587" operator="equal">
      <formula>1</formula>
    </cfRule>
  </conditionalFormatting>
  <conditionalFormatting sqref="J62">
    <cfRule type="cellIs" dxfId="379" priority="580" operator="equal">
      <formula>0</formula>
    </cfRule>
    <cfRule type="cellIs" dxfId="378" priority="581" operator="equal">
      <formula>1</formula>
    </cfRule>
  </conditionalFormatting>
  <conditionalFormatting sqref="J97">
    <cfRule type="cellIs" dxfId="377" priority="208" operator="equal">
      <formula>0</formula>
    </cfRule>
    <cfRule type="cellIs" dxfId="376" priority="209" operator="equal">
      <formula>1</formula>
    </cfRule>
  </conditionalFormatting>
  <conditionalFormatting sqref="J151">
    <cfRule type="cellIs" dxfId="375" priority="62" operator="equal">
      <formula>0</formula>
    </cfRule>
    <cfRule type="cellIs" dxfId="374" priority="63" operator="equal">
      <formula>1</formula>
    </cfRule>
  </conditionalFormatting>
  <conditionalFormatting sqref="J105:K105">
    <cfRule type="cellIs" dxfId="373" priority="152" operator="equal">
      <formula>0</formula>
    </cfRule>
    <cfRule type="cellIs" dxfId="372" priority="153" operator="equal">
      <formula>1</formula>
    </cfRule>
  </conditionalFormatting>
  <conditionalFormatting sqref="J115:K115">
    <cfRule type="cellIs" dxfId="371" priority="166" operator="equal">
      <formula>0</formula>
    </cfRule>
    <cfRule type="cellIs" dxfId="370" priority="167" operator="equal">
      <formula>1</formula>
    </cfRule>
  </conditionalFormatting>
  <conditionalFormatting sqref="J125:K125">
    <cfRule type="cellIs" dxfId="369" priority="180" operator="equal">
      <formula>0</formula>
    </cfRule>
    <cfRule type="cellIs" dxfId="368" priority="181" operator="equal">
      <formula>1</formula>
    </cfRule>
  </conditionalFormatting>
  <conditionalFormatting sqref="J135:K135">
    <cfRule type="cellIs" dxfId="367" priority="194" operator="equal">
      <formula>0</formula>
    </cfRule>
    <cfRule type="cellIs" dxfId="366" priority="195" operator="equal">
      <formula>1</formula>
    </cfRule>
  </conditionalFormatting>
  <conditionalFormatting sqref="J102:L102">
    <cfRule type="cellIs" dxfId="365" priority="154" operator="equal">
      <formula>0</formula>
    </cfRule>
    <cfRule type="cellIs" dxfId="364" priority="155" operator="equal">
      <formula>1</formula>
    </cfRule>
  </conditionalFormatting>
  <conditionalFormatting sqref="J112:L112">
    <cfRule type="cellIs" dxfId="363" priority="168" operator="equal">
      <formula>0</formula>
    </cfRule>
    <cfRule type="cellIs" dxfId="362" priority="169" operator="equal">
      <formula>1</formula>
    </cfRule>
  </conditionalFormatting>
  <conditionalFormatting sqref="J122:L122">
    <cfRule type="cellIs" dxfId="361" priority="182" operator="equal">
      <formula>0</formula>
    </cfRule>
    <cfRule type="cellIs" dxfId="360" priority="183" operator="equal">
      <formula>1</formula>
    </cfRule>
  </conditionalFormatting>
  <conditionalFormatting sqref="J132:L132">
    <cfRule type="cellIs" dxfId="359" priority="196" operator="equal">
      <formula>0</formula>
    </cfRule>
    <cfRule type="cellIs" dxfId="358" priority="197" operator="equal">
      <formula>1</formula>
    </cfRule>
  </conditionalFormatting>
  <conditionalFormatting sqref="J68:M68">
    <cfRule type="cellIs" dxfId="357" priority="602" operator="equal">
      <formula>0</formula>
    </cfRule>
    <cfRule type="cellIs" dxfId="356" priority="603" operator="equal">
      <formula>1</formula>
    </cfRule>
  </conditionalFormatting>
  <conditionalFormatting sqref="K6">
    <cfRule type="cellIs" dxfId="355" priority="476" operator="equal">
      <formula>0</formula>
    </cfRule>
    <cfRule type="cellIs" dxfId="354" priority="477" operator="equal">
      <formula>1</formula>
    </cfRule>
  </conditionalFormatting>
  <conditionalFormatting sqref="K8">
    <cfRule type="cellIs" dxfId="353" priority="478" operator="equal">
      <formula>0</formula>
    </cfRule>
    <cfRule type="cellIs" dxfId="352" priority="479" operator="equal">
      <formula>1</formula>
    </cfRule>
  </conditionalFormatting>
  <conditionalFormatting sqref="K12">
    <cfRule type="cellIs" dxfId="351" priority="480" operator="equal">
      <formula>0</formula>
    </cfRule>
    <cfRule type="cellIs" dxfId="350" priority="481" operator="equal">
      <formula>1</formula>
    </cfRule>
  </conditionalFormatting>
  <conditionalFormatting sqref="K14">
    <cfRule type="cellIs" dxfId="349" priority="482" operator="equal">
      <formula>0</formula>
    </cfRule>
    <cfRule type="cellIs" dxfId="348" priority="483" operator="equal">
      <formula>1</formula>
    </cfRule>
  </conditionalFormatting>
  <conditionalFormatting sqref="K22">
    <cfRule type="cellIs" dxfId="347" priority="504" operator="equal">
      <formula>0</formula>
    </cfRule>
    <cfRule type="cellIs" dxfId="346" priority="505" operator="equal">
      <formula>1</formula>
    </cfRule>
  </conditionalFormatting>
  <conditionalFormatting sqref="K24">
    <cfRule type="cellIs" dxfId="345" priority="506" operator="equal">
      <formula>0</formula>
    </cfRule>
    <cfRule type="cellIs" dxfId="344" priority="507" operator="equal">
      <formula>1</formula>
    </cfRule>
  </conditionalFormatting>
  <conditionalFormatting sqref="K30">
    <cfRule type="cellIs" dxfId="343" priority="522" operator="equal">
      <formula>0</formula>
    </cfRule>
    <cfRule type="cellIs" dxfId="342" priority="523" operator="equal">
      <formula>1</formula>
    </cfRule>
  </conditionalFormatting>
  <conditionalFormatting sqref="K34">
    <cfRule type="cellIs" dxfId="341" priority="528" operator="equal">
      <formula>0</formula>
    </cfRule>
    <cfRule type="cellIs" dxfId="340" priority="529" operator="equal">
      <formula>1</formula>
    </cfRule>
  </conditionalFormatting>
  <conditionalFormatting sqref="K36">
    <cfRule type="cellIs" dxfId="339" priority="530" operator="equal">
      <formula>0</formula>
    </cfRule>
    <cfRule type="cellIs" dxfId="338" priority="531" operator="equal">
      <formula>1</formula>
    </cfRule>
  </conditionalFormatting>
  <conditionalFormatting sqref="K42">
    <cfRule type="cellIs" dxfId="337" priority="546" operator="equal">
      <formula>0</formula>
    </cfRule>
    <cfRule type="cellIs" dxfId="336" priority="547" operator="equal">
      <formula>1</formula>
    </cfRule>
  </conditionalFormatting>
  <conditionalFormatting sqref="K46">
    <cfRule type="cellIs" dxfId="335" priority="552" operator="equal">
      <formula>0</formula>
    </cfRule>
    <cfRule type="cellIs" dxfId="334" priority="553" operator="equal">
      <formula>1</formula>
    </cfRule>
  </conditionalFormatting>
  <conditionalFormatting sqref="K48">
    <cfRule type="cellIs" dxfId="333" priority="554" operator="equal">
      <formula>0</formula>
    </cfRule>
    <cfRule type="cellIs" dxfId="332" priority="555" operator="equal">
      <formula>1</formula>
    </cfRule>
  </conditionalFormatting>
  <conditionalFormatting sqref="K54">
    <cfRule type="cellIs" dxfId="331" priority="570" operator="equal">
      <formula>0</formula>
    </cfRule>
    <cfRule type="cellIs" dxfId="330" priority="571" operator="equal">
      <formula>1</formula>
    </cfRule>
  </conditionalFormatting>
  <conditionalFormatting sqref="K58">
    <cfRule type="cellIs" dxfId="329" priority="576" operator="equal">
      <formula>0</formula>
    </cfRule>
    <cfRule type="cellIs" dxfId="328" priority="577" operator="equal">
      <formula>1</formula>
    </cfRule>
  </conditionalFormatting>
  <conditionalFormatting sqref="K60">
    <cfRule type="cellIs" dxfId="327" priority="578" operator="equal">
      <formula>0</formula>
    </cfRule>
    <cfRule type="cellIs" dxfId="326" priority="579" operator="equal">
      <formula>1</formula>
    </cfRule>
  </conditionalFormatting>
  <conditionalFormatting sqref="K66">
    <cfRule type="cellIs" dxfId="325" priority="594" operator="equal">
      <formula>0</formula>
    </cfRule>
    <cfRule type="cellIs" dxfId="324" priority="595" operator="equal">
      <formula>1</formula>
    </cfRule>
  </conditionalFormatting>
  <conditionalFormatting sqref="K107">
    <cfRule type="cellIs" dxfId="323" priority="156" operator="equal">
      <formula>0</formula>
    </cfRule>
    <cfRule type="cellIs" dxfId="322" priority="157" operator="equal">
      <formula>1</formula>
    </cfRule>
  </conditionalFormatting>
  <conditionalFormatting sqref="K109">
    <cfRule type="cellIs" dxfId="321" priority="158" operator="equal">
      <formula>0</formula>
    </cfRule>
    <cfRule type="cellIs" dxfId="320" priority="159" operator="equal">
      <formula>1</formula>
    </cfRule>
  </conditionalFormatting>
  <conditionalFormatting sqref="K117">
    <cfRule type="cellIs" dxfId="319" priority="170" operator="equal">
      <formula>0</formula>
    </cfRule>
    <cfRule type="cellIs" dxfId="318" priority="171" operator="equal">
      <formula>1</formula>
    </cfRule>
  </conditionalFormatting>
  <conditionalFormatting sqref="K119">
    <cfRule type="cellIs" dxfId="317" priority="172" operator="equal">
      <formula>0</formula>
    </cfRule>
    <cfRule type="cellIs" dxfId="316" priority="173" operator="equal">
      <formula>1</formula>
    </cfRule>
  </conditionalFormatting>
  <conditionalFormatting sqref="K127">
    <cfRule type="cellIs" dxfId="315" priority="184" operator="equal">
      <formula>0</formula>
    </cfRule>
    <cfRule type="cellIs" dxfId="314" priority="185" operator="equal">
      <formula>1</formula>
    </cfRule>
  </conditionalFormatting>
  <conditionalFormatting sqref="K129">
    <cfRule type="cellIs" dxfId="313" priority="186" operator="equal">
      <formula>0</formula>
    </cfRule>
    <cfRule type="cellIs" dxfId="312" priority="187" operator="equal">
      <formula>1</formula>
    </cfRule>
  </conditionalFormatting>
  <conditionalFormatting sqref="K137">
    <cfRule type="cellIs" dxfId="311" priority="198" operator="equal">
      <formula>0</formula>
    </cfRule>
    <cfRule type="cellIs" dxfId="310" priority="199" operator="equal">
      <formula>1</formula>
    </cfRule>
  </conditionalFormatting>
  <conditionalFormatting sqref="K139:L139">
    <cfRule type="cellIs" dxfId="309" priority="192" operator="equal">
      <formula>0</formula>
    </cfRule>
    <cfRule type="cellIs" dxfId="308" priority="193" operator="equal">
      <formula>1</formula>
    </cfRule>
  </conditionalFormatting>
  <conditionalFormatting sqref="L20">
    <cfRule type="cellIs" dxfId="307" priority="516" operator="equal">
      <formula>0</formula>
    </cfRule>
    <cfRule type="cellIs" dxfId="306" priority="517" operator="equal">
      <formula>1</formula>
    </cfRule>
  </conditionalFormatting>
  <conditionalFormatting sqref="L23">
    <cfRule type="cellIs" dxfId="305" priority="520" operator="equal">
      <formula>0</formula>
    </cfRule>
    <cfRule type="cellIs" dxfId="304" priority="521" operator="equal">
      <formula>1</formula>
    </cfRule>
  </conditionalFormatting>
  <conditionalFormatting sqref="L32">
    <cfRule type="cellIs" dxfId="303" priority="540" operator="equal">
      <formula>0</formula>
    </cfRule>
    <cfRule type="cellIs" dxfId="302" priority="541" operator="equal">
      <formula>1</formula>
    </cfRule>
  </conditionalFormatting>
  <conditionalFormatting sqref="L35">
    <cfRule type="cellIs" dxfId="301" priority="544" operator="equal">
      <formula>0</formula>
    </cfRule>
    <cfRule type="cellIs" dxfId="300" priority="545" operator="equal">
      <formula>1</formula>
    </cfRule>
  </conditionalFormatting>
  <conditionalFormatting sqref="L44">
    <cfRule type="cellIs" dxfId="299" priority="564" operator="equal">
      <formula>0</formula>
    </cfRule>
    <cfRule type="cellIs" dxfId="298" priority="565" operator="equal">
      <formula>1</formula>
    </cfRule>
  </conditionalFormatting>
  <conditionalFormatting sqref="L47">
    <cfRule type="cellIs" dxfId="297" priority="568" operator="equal">
      <formula>0</formula>
    </cfRule>
    <cfRule type="cellIs" dxfId="296" priority="569" operator="equal">
      <formula>1</formula>
    </cfRule>
  </conditionalFormatting>
  <conditionalFormatting sqref="L56">
    <cfRule type="cellIs" dxfId="295" priority="588" operator="equal">
      <formula>0</formula>
    </cfRule>
    <cfRule type="cellIs" dxfId="294" priority="589" operator="equal">
      <formula>1</formula>
    </cfRule>
  </conditionalFormatting>
  <conditionalFormatting sqref="L59">
    <cfRule type="cellIs" dxfId="293" priority="592" operator="equal">
      <formula>0</formula>
    </cfRule>
    <cfRule type="cellIs" dxfId="292" priority="593" operator="equal">
      <formula>1</formula>
    </cfRule>
  </conditionalFormatting>
  <conditionalFormatting sqref="L100">
    <cfRule type="cellIs" dxfId="291" priority="206" operator="equal">
      <formula>0</formula>
    </cfRule>
    <cfRule type="cellIs" dxfId="290" priority="207" operator="equal">
      <formula>1</formula>
    </cfRule>
  </conditionalFormatting>
  <conditionalFormatting sqref="L104">
    <cfRule type="cellIs" dxfId="289" priority="160" operator="equal">
      <formula>0</formula>
    </cfRule>
    <cfRule type="cellIs" dxfId="288" priority="161" operator="equal">
      <formula>1</formula>
    </cfRule>
  </conditionalFormatting>
  <conditionalFormatting sqref="L106">
    <cfRule type="cellIs" dxfId="287" priority="162" operator="equal">
      <formula>0</formula>
    </cfRule>
    <cfRule type="cellIs" dxfId="286" priority="163" operator="equal">
      <formula>1</formula>
    </cfRule>
  </conditionalFormatting>
  <conditionalFormatting sqref="L109:L110">
    <cfRule type="cellIs" dxfId="285" priority="150" operator="equal">
      <formula>0</formula>
    </cfRule>
    <cfRule type="cellIs" dxfId="284" priority="151" operator="equal">
      <formula>1</formula>
    </cfRule>
  </conditionalFormatting>
  <conditionalFormatting sqref="L114">
    <cfRule type="cellIs" dxfId="283" priority="174" operator="equal">
      <formula>0</formula>
    </cfRule>
    <cfRule type="cellIs" dxfId="282" priority="175" operator="equal">
      <formula>1</formula>
    </cfRule>
  </conditionalFormatting>
  <conditionalFormatting sqref="L116">
    <cfRule type="cellIs" dxfId="281" priority="176" operator="equal">
      <formula>0</formula>
    </cfRule>
    <cfRule type="cellIs" dxfId="280" priority="177" operator="equal">
      <formula>1</formula>
    </cfRule>
  </conditionalFormatting>
  <conditionalFormatting sqref="L119:L120">
    <cfRule type="cellIs" dxfId="279" priority="164" operator="equal">
      <formula>0</formula>
    </cfRule>
    <cfRule type="cellIs" dxfId="278" priority="165" operator="equal">
      <formula>1</formula>
    </cfRule>
  </conditionalFormatting>
  <conditionalFormatting sqref="L124">
    <cfRule type="cellIs" dxfId="277" priority="188" operator="equal">
      <formula>0</formula>
    </cfRule>
    <cfRule type="cellIs" dxfId="276" priority="189" operator="equal">
      <formula>1</formula>
    </cfRule>
  </conditionalFormatting>
  <conditionalFormatting sqref="L126">
    <cfRule type="cellIs" dxfId="275" priority="190" operator="equal">
      <formula>0</formula>
    </cfRule>
    <cfRule type="cellIs" dxfId="274" priority="191" operator="equal">
      <formula>1</formula>
    </cfRule>
  </conditionalFormatting>
  <conditionalFormatting sqref="L129:L130">
    <cfRule type="cellIs" dxfId="273" priority="178" operator="equal">
      <formula>0</formula>
    </cfRule>
    <cfRule type="cellIs" dxfId="272" priority="179" operator="equal">
      <formula>1</formula>
    </cfRule>
  </conditionalFormatting>
  <conditionalFormatting sqref="L134">
    <cfRule type="cellIs" dxfId="271" priority="200" operator="equal">
      <formula>0</formula>
    </cfRule>
    <cfRule type="cellIs" dxfId="270" priority="201" operator="equal">
      <formula>1</formula>
    </cfRule>
  </conditionalFormatting>
  <conditionalFormatting sqref="L136">
    <cfRule type="cellIs" dxfId="269" priority="202" operator="equal">
      <formula>0</formula>
    </cfRule>
    <cfRule type="cellIs" dxfId="268" priority="203" operator="equal">
      <formula>1</formula>
    </cfRule>
  </conditionalFormatting>
  <conditionalFormatting sqref="L97:O98">
    <cfRule type="cellIs" dxfId="267" priority="212" operator="equal">
      <formula>0</formula>
    </cfRule>
    <cfRule type="cellIs" dxfId="266" priority="213" operator="equal">
      <formula>1</formula>
    </cfRule>
  </conditionalFormatting>
  <conditionalFormatting sqref="L144:O144">
    <cfRule type="cellIs" dxfId="265" priority="204" operator="equal">
      <formula>0</formula>
    </cfRule>
    <cfRule type="cellIs" dxfId="264" priority="205" operator="equal">
      <formula>1</formula>
    </cfRule>
  </conditionalFormatting>
  <conditionalFormatting sqref="M12">
    <cfRule type="cellIs" dxfId="263" priority="484" operator="equal">
      <formula>0</formula>
    </cfRule>
    <cfRule type="cellIs" dxfId="262" priority="485" operator="equal">
      <formula>1</formula>
    </cfRule>
  </conditionalFormatting>
  <conditionalFormatting sqref="M14">
    <cfRule type="cellIs" dxfId="261" priority="486" operator="equal">
      <formula>0</formula>
    </cfRule>
    <cfRule type="cellIs" dxfId="260" priority="487" operator="equal">
      <formula>1</formula>
    </cfRule>
  </conditionalFormatting>
  <conditionalFormatting sqref="M151">
    <cfRule type="cellIs" dxfId="259" priority="64" operator="equal">
      <formula>0</formula>
    </cfRule>
    <cfRule type="cellIs" dxfId="258" priority="65" operator="equal">
      <formula>1</formula>
    </cfRule>
  </conditionalFormatting>
  <conditionalFormatting sqref="P151">
    <cfRule type="cellIs" dxfId="257" priority="66" operator="equal">
      <formula>0</formula>
    </cfRule>
    <cfRule type="cellIs" dxfId="256" priority="67" operator="equal">
      <formula>1</formula>
    </cfRule>
  </conditionalFormatting>
  <conditionalFormatting sqref="R16">
    <cfRule type="cellIs" dxfId="255" priority="404" operator="equal">
      <formula>0</formula>
    </cfRule>
    <cfRule type="cellIs" dxfId="254" priority="405" operator="equal">
      <formula>1</formula>
    </cfRule>
  </conditionalFormatting>
  <conditionalFormatting sqref="R23">
    <cfRule type="cellIs" dxfId="253" priority="700" operator="equal">
      <formula>0</formula>
    </cfRule>
    <cfRule type="cellIs" dxfId="252" priority="701" operator="equal">
      <formula>1</formula>
    </cfRule>
  </conditionalFormatting>
  <conditionalFormatting sqref="R25:U26">
    <cfRule type="cellIs" dxfId="251" priority="660" operator="equal">
      <formula>0</formula>
    </cfRule>
    <cfRule type="cellIs" dxfId="250" priority="661" operator="equal">
      <formula>1</formula>
    </cfRule>
  </conditionalFormatting>
  <conditionalFormatting sqref="S20">
    <cfRule type="cellIs" dxfId="249" priority="704" operator="equal">
      <formula>0</formula>
    </cfRule>
    <cfRule type="cellIs" dxfId="248" priority="705" operator="equal">
      <formula>1</formula>
    </cfRule>
  </conditionalFormatting>
  <conditionalFormatting sqref="S110">
    <cfRule type="cellIs" dxfId="247" priority="132" operator="equal">
      <formula>0</formula>
    </cfRule>
    <cfRule type="cellIs" dxfId="246" priority="133" operator="equal">
      <formula>1</formula>
    </cfRule>
  </conditionalFormatting>
  <conditionalFormatting sqref="S112">
    <cfRule type="cellIs" dxfId="245" priority="128" operator="equal">
      <formula>0</formula>
    </cfRule>
    <cfRule type="cellIs" dxfId="244" priority="129" operator="equal">
      <formula>1</formula>
    </cfRule>
  </conditionalFormatting>
  <conditionalFormatting sqref="S114">
    <cfRule type="cellIs" dxfId="243" priority="126" operator="equal">
      <formula>0</formula>
    </cfRule>
    <cfRule type="cellIs" dxfId="242" priority="127" operator="equal">
      <formula>1</formula>
    </cfRule>
  </conditionalFormatting>
  <conditionalFormatting sqref="S116">
    <cfRule type="cellIs" dxfId="241" priority="122" operator="equal">
      <formula>0</formula>
    </cfRule>
    <cfRule type="cellIs" dxfId="240" priority="123" operator="equal">
      <formula>1</formula>
    </cfRule>
  </conditionalFormatting>
  <conditionalFormatting sqref="S118">
    <cfRule type="cellIs" dxfId="239" priority="120" operator="equal">
      <formula>0</formula>
    </cfRule>
    <cfRule type="cellIs" dxfId="238" priority="121" operator="equal">
      <formula>1</formula>
    </cfRule>
  </conditionalFormatting>
  <conditionalFormatting sqref="S120">
    <cfRule type="cellIs" dxfId="237" priority="116" operator="equal">
      <formula>0</formula>
    </cfRule>
    <cfRule type="cellIs" dxfId="236" priority="117" operator="equal">
      <formula>1</formula>
    </cfRule>
  </conditionalFormatting>
  <conditionalFormatting sqref="S122">
    <cfRule type="cellIs" dxfId="235" priority="114" operator="equal">
      <formula>0</formula>
    </cfRule>
    <cfRule type="cellIs" dxfId="234" priority="115" operator="equal">
      <formula>1</formula>
    </cfRule>
  </conditionalFormatting>
  <conditionalFormatting sqref="S124">
    <cfRule type="cellIs" dxfId="233" priority="110" operator="equal">
      <formula>0</formula>
    </cfRule>
    <cfRule type="cellIs" dxfId="232" priority="111" operator="equal">
      <formula>1</formula>
    </cfRule>
  </conditionalFormatting>
  <conditionalFormatting sqref="S128">
    <cfRule type="cellIs" dxfId="231" priority="106" operator="equal">
      <formula>0</formula>
    </cfRule>
    <cfRule type="cellIs" dxfId="230" priority="107" operator="equal">
      <formula>1</formula>
    </cfRule>
  </conditionalFormatting>
  <conditionalFormatting sqref="S130">
    <cfRule type="cellIs" dxfId="229" priority="102" operator="equal">
      <formula>0</formula>
    </cfRule>
    <cfRule type="cellIs" dxfId="228" priority="103" operator="equal">
      <formula>1</formula>
    </cfRule>
  </conditionalFormatting>
  <conditionalFormatting sqref="S132">
    <cfRule type="cellIs" dxfId="227" priority="100" operator="equal">
      <formula>0</formula>
    </cfRule>
    <cfRule type="cellIs" dxfId="226" priority="101" operator="equal">
      <formula>1</formula>
    </cfRule>
  </conditionalFormatting>
  <conditionalFormatting sqref="S134">
    <cfRule type="cellIs" dxfId="225" priority="96" operator="equal">
      <formula>0</formula>
    </cfRule>
    <cfRule type="cellIs" dxfId="224" priority="97" operator="equal">
      <formula>1</formula>
    </cfRule>
  </conditionalFormatting>
  <conditionalFormatting sqref="S136">
    <cfRule type="cellIs" dxfId="223" priority="94" operator="equal">
      <formula>0</formula>
    </cfRule>
    <cfRule type="cellIs" dxfId="222" priority="95" operator="equal">
      <formula>1</formula>
    </cfRule>
  </conditionalFormatting>
  <conditionalFormatting sqref="S138">
    <cfRule type="cellIs" dxfId="221" priority="90" operator="equal">
      <formula>0</formula>
    </cfRule>
    <cfRule type="cellIs" dxfId="220" priority="91" operator="equal">
      <formula>1</formula>
    </cfRule>
  </conditionalFormatting>
  <conditionalFormatting sqref="S140">
    <cfRule type="cellIs" dxfId="219" priority="88" operator="equal">
      <formula>0</formula>
    </cfRule>
    <cfRule type="cellIs" dxfId="218" priority="89" operator="equal">
      <formula>1</formula>
    </cfRule>
  </conditionalFormatting>
  <conditionalFormatting sqref="S142">
    <cfRule type="cellIs" dxfId="217" priority="84" operator="equal">
      <formula>0</formula>
    </cfRule>
    <cfRule type="cellIs" dxfId="216" priority="85" operator="equal">
      <formula>1</formula>
    </cfRule>
  </conditionalFormatting>
  <conditionalFormatting sqref="S146:S149">
    <cfRule type="cellIs" dxfId="215" priority="74" operator="equal">
      <formula>0</formula>
    </cfRule>
    <cfRule type="cellIs" dxfId="214" priority="75" operator="equal">
      <formula>1</formula>
    </cfRule>
  </conditionalFormatting>
  <conditionalFormatting sqref="S151">
    <cfRule type="cellIs" dxfId="213" priority="72" operator="equal">
      <formula>0</formula>
    </cfRule>
    <cfRule type="cellIs" dxfId="212" priority="73" operator="equal">
      <formula>1</formula>
    </cfRule>
  </conditionalFormatting>
  <conditionalFormatting sqref="S33:T33">
    <cfRule type="cellIs" dxfId="211" priority="606" operator="equal">
      <formula>0</formula>
    </cfRule>
    <cfRule type="cellIs" dxfId="210" priority="607" operator="equal">
      <formula>1</formula>
    </cfRule>
  </conditionalFormatting>
  <conditionalFormatting sqref="S43:T43">
    <cfRule type="cellIs" dxfId="209" priority="620" operator="equal">
      <formula>0</formula>
    </cfRule>
    <cfRule type="cellIs" dxfId="208" priority="621" operator="equal">
      <formula>1</formula>
    </cfRule>
  </conditionalFormatting>
  <conditionalFormatting sqref="S53:T53">
    <cfRule type="cellIs" dxfId="207" priority="634" operator="equal">
      <formula>0</formula>
    </cfRule>
    <cfRule type="cellIs" dxfId="206" priority="635" operator="equal">
      <formula>1</formula>
    </cfRule>
  </conditionalFormatting>
  <conditionalFormatting sqref="S63:T63">
    <cfRule type="cellIs" dxfId="205" priority="648" operator="equal">
      <formula>0</formula>
    </cfRule>
    <cfRule type="cellIs" dxfId="204" priority="649" operator="equal">
      <formula>1</formula>
    </cfRule>
  </conditionalFormatting>
  <conditionalFormatting sqref="S30:U30">
    <cfRule type="cellIs" dxfId="203" priority="608" operator="equal">
      <formula>0</formula>
    </cfRule>
    <cfRule type="cellIs" dxfId="202" priority="609" operator="equal">
      <formula>1</formula>
    </cfRule>
  </conditionalFormatting>
  <conditionalFormatting sqref="S40:U40">
    <cfRule type="cellIs" dxfId="201" priority="622" operator="equal">
      <formula>0</formula>
    </cfRule>
    <cfRule type="cellIs" dxfId="200" priority="623" operator="equal">
      <formula>1</formula>
    </cfRule>
  </conditionalFormatting>
  <conditionalFormatting sqref="S50:U50">
    <cfRule type="cellIs" dxfId="199" priority="636" operator="equal">
      <formula>0</formula>
    </cfRule>
    <cfRule type="cellIs" dxfId="198" priority="637" operator="equal">
      <formula>1</formula>
    </cfRule>
  </conditionalFormatting>
  <conditionalFormatting sqref="S60:U60">
    <cfRule type="cellIs" dxfId="197" priority="650" operator="equal">
      <formula>0</formula>
    </cfRule>
    <cfRule type="cellIs" dxfId="196" priority="651" operator="equal">
      <formula>1</formula>
    </cfRule>
  </conditionalFormatting>
  <conditionalFormatting sqref="S101:V101">
    <cfRule type="cellIs" dxfId="195" priority="142" operator="equal">
      <formula>0</formula>
    </cfRule>
    <cfRule type="cellIs" dxfId="194" priority="143" operator="equal">
      <formula>1</formula>
    </cfRule>
  </conditionalFormatting>
  <conditionalFormatting sqref="S103:V103">
    <cfRule type="cellIs" dxfId="193" priority="144" operator="equal">
      <formula>0</formula>
    </cfRule>
    <cfRule type="cellIs" dxfId="192" priority="145" operator="equal">
      <formula>1</formula>
    </cfRule>
  </conditionalFormatting>
  <conditionalFormatting sqref="S106:V106">
    <cfRule type="cellIs" dxfId="191" priority="136" operator="equal">
      <formula>0</formula>
    </cfRule>
    <cfRule type="cellIs" dxfId="190" priority="137" operator="equal">
      <formula>1</formula>
    </cfRule>
  </conditionalFormatting>
  <conditionalFormatting sqref="S108:V108">
    <cfRule type="cellIs" dxfId="189" priority="138" operator="equal">
      <formula>0</formula>
    </cfRule>
    <cfRule type="cellIs" dxfId="188" priority="139" operator="equal">
      <formula>1</formula>
    </cfRule>
  </conditionalFormatting>
  <conditionalFormatting sqref="S126:V126">
    <cfRule type="cellIs" dxfId="187" priority="134" operator="equal">
      <formula>0</formula>
    </cfRule>
    <cfRule type="cellIs" dxfId="186" priority="135" operator="equal">
      <formula>1</formula>
    </cfRule>
  </conditionalFormatting>
  <conditionalFormatting sqref="S144:V144">
    <cfRule type="cellIs" dxfId="185" priority="108" operator="equal">
      <formula>0</formula>
    </cfRule>
    <cfRule type="cellIs" dxfId="184" priority="109" operator="equal">
      <formula>1</formula>
    </cfRule>
  </conditionalFormatting>
  <conditionalFormatting sqref="T16">
    <cfRule type="cellIs" dxfId="183" priority="402" operator="equal">
      <formula>0</formula>
    </cfRule>
    <cfRule type="cellIs" dxfId="182" priority="403" operator="equal">
      <formula>1</formula>
    </cfRule>
  </conditionalFormatting>
  <conditionalFormatting sqref="T18">
    <cfRule type="cellIs" dxfId="181" priority="706" operator="equal">
      <formula>0</formula>
    </cfRule>
    <cfRule type="cellIs" dxfId="180" priority="707" operator="equal">
      <formula>1</formula>
    </cfRule>
  </conditionalFormatting>
  <conditionalFormatting sqref="T23">
    <cfRule type="cellIs" dxfId="179" priority="702" operator="equal">
      <formula>0</formula>
    </cfRule>
    <cfRule type="cellIs" dxfId="178" priority="703" operator="equal">
      <formula>1</formula>
    </cfRule>
  </conditionalFormatting>
  <conditionalFormatting sqref="T35">
    <cfRule type="cellIs" dxfId="177" priority="610" operator="equal">
      <formula>0</formula>
    </cfRule>
    <cfRule type="cellIs" dxfId="176" priority="611" operator="equal">
      <formula>1</formula>
    </cfRule>
  </conditionalFormatting>
  <conditionalFormatting sqref="T37">
    <cfRule type="cellIs" dxfId="175" priority="612" operator="equal">
      <formula>0</formula>
    </cfRule>
    <cfRule type="cellIs" dxfId="174" priority="613" operator="equal">
      <formula>1</formula>
    </cfRule>
  </conditionalFormatting>
  <conditionalFormatting sqref="T45">
    <cfRule type="cellIs" dxfId="173" priority="624" operator="equal">
      <formula>0</formula>
    </cfRule>
    <cfRule type="cellIs" dxfId="172" priority="625" operator="equal">
      <formula>1</formula>
    </cfRule>
  </conditionalFormatting>
  <conditionalFormatting sqref="T47">
    <cfRule type="cellIs" dxfId="171" priority="626" operator="equal">
      <formula>0</formula>
    </cfRule>
    <cfRule type="cellIs" dxfId="170" priority="627" operator="equal">
      <formula>1</formula>
    </cfRule>
  </conditionalFormatting>
  <conditionalFormatting sqref="T55">
    <cfRule type="cellIs" dxfId="169" priority="638" operator="equal">
      <formula>0</formula>
    </cfRule>
    <cfRule type="cellIs" dxfId="168" priority="639" operator="equal">
      <formula>1</formula>
    </cfRule>
  </conditionalFormatting>
  <conditionalFormatting sqref="T57">
    <cfRule type="cellIs" dxfId="167" priority="640" operator="equal">
      <formula>0</formula>
    </cfRule>
    <cfRule type="cellIs" dxfId="166" priority="641" operator="equal">
      <formula>1</formula>
    </cfRule>
  </conditionalFormatting>
  <conditionalFormatting sqref="T65">
    <cfRule type="cellIs" dxfId="165" priority="652" operator="equal">
      <formula>0</formula>
    </cfRule>
    <cfRule type="cellIs" dxfId="164" priority="653" operator="equal">
      <formula>1</formula>
    </cfRule>
  </conditionalFormatting>
  <conditionalFormatting sqref="T8:U8">
    <cfRule type="cellIs" dxfId="163" priority="454" operator="equal">
      <formula>0</formula>
    </cfRule>
    <cfRule type="cellIs" dxfId="162" priority="455" operator="equal">
      <formula>1</formula>
    </cfRule>
  </conditionalFormatting>
  <conditionalFormatting sqref="T67:U67">
    <cfRule type="cellIs" dxfId="161" priority="646" operator="equal">
      <formula>0</formula>
    </cfRule>
    <cfRule type="cellIs" dxfId="160" priority="647" operator="equal">
      <formula>1</formula>
    </cfRule>
  </conditionalFormatting>
  <conditionalFormatting sqref="T111:U111">
    <cfRule type="cellIs" dxfId="159" priority="130" operator="equal">
      <formula>0</formula>
    </cfRule>
    <cfRule type="cellIs" dxfId="158" priority="131" operator="equal">
      <formula>1</formula>
    </cfRule>
  </conditionalFormatting>
  <conditionalFormatting sqref="T115:U115">
    <cfRule type="cellIs" dxfId="157" priority="124" operator="equal">
      <formula>0</formula>
    </cfRule>
    <cfRule type="cellIs" dxfId="156" priority="125" operator="equal">
      <formula>1</formula>
    </cfRule>
  </conditionalFormatting>
  <conditionalFormatting sqref="T119:U119">
    <cfRule type="cellIs" dxfId="155" priority="118" operator="equal">
      <formula>0</formula>
    </cfRule>
    <cfRule type="cellIs" dxfId="154" priority="119" operator="equal">
      <formula>1</formula>
    </cfRule>
  </conditionalFormatting>
  <conditionalFormatting sqref="T123:U123">
    <cfRule type="cellIs" dxfId="153" priority="112" operator="equal">
      <formula>0</formula>
    </cfRule>
    <cfRule type="cellIs" dxfId="152" priority="113" operator="equal">
      <formula>1</formula>
    </cfRule>
  </conditionalFormatting>
  <conditionalFormatting sqref="T129:U129">
    <cfRule type="cellIs" dxfId="151" priority="104" operator="equal">
      <formula>0</formula>
    </cfRule>
    <cfRule type="cellIs" dxfId="150" priority="105" operator="equal">
      <formula>1</formula>
    </cfRule>
  </conditionalFormatting>
  <conditionalFormatting sqref="T133:U133">
    <cfRule type="cellIs" dxfId="149" priority="98" operator="equal">
      <formula>0</formula>
    </cfRule>
    <cfRule type="cellIs" dxfId="148" priority="99" operator="equal">
      <formula>1</formula>
    </cfRule>
  </conditionalFormatting>
  <conditionalFormatting sqref="T137:U137">
    <cfRule type="cellIs" dxfId="147" priority="92" operator="equal">
      <formula>0</formula>
    </cfRule>
    <cfRule type="cellIs" dxfId="146" priority="93" operator="equal">
      <formula>1</formula>
    </cfRule>
  </conditionalFormatting>
  <conditionalFormatting sqref="T141:U141">
    <cfRule type="cellIs" dxfId="145" priority="86" operator="equal">
      <formula>0</formula>
    </cfRule>
    <cfRule type="cellIs" dxfId="144" priority="87" operator="equal">
      <formula>1</formula>
    </cfRule>
  </conditionalFormatting>
  <conditionalFormatting sqref="T5:V5">
    <cfRule type="cellIs" dxfId="143" priority="456" operator="equal">
      <formula>0</formula>
    </cfRule>
    <cfRule type="cellIs" dxfId="142" priority="457" operator="equal">
      <formula>1</formula>
    </cfRule>
  </conditionalFormatting>
  <conditionalFormatting sqref="U10">
    <cfRule type="cellIs" dxfId="141" priority="462" operator="equal">
      <formula>0</formula>
    </cfRule>
    <cfRule type="cellIs" dxfId="140" priority="463" operator="equal">
      <formula>1</formula>
    </cfRule>
  </conditionalFormatting>
  <conditionalFormatting sqref="U28">
    <cfRule type="cellIs" dxfId="139" priority="668" operator="equal">
      <formula>0</formula>
    </cfRule>
    <cfRule type="cellIs" dxfId="138" priority="669" operator="equal">
      <formula>1</formula>
    </cfRule>
  </conditionalFormatting>
  <conditionalFormatting sqref="U32">
    <cfRule type="cellIs" dxfId="137" priority="614" operator="equal">
      <formula>0</formula>
    </cfRule>
    <cfRule type="cellIs" dxfId="136" priority="615" operator="equal">
      <formula>1</formula>
    </cfRule>
  </conditionalFormatting>
  <conditionalFormatting sqref="U34">
    <cfRule type="cellIs" dxfId="135" priority="616" operator="equal">
      <formula>0</formula>
    </cfRule>
    <cfRule type="cellIs" dxfId="134" priority="617" operator="equal">
      <formula>1</formula>
    </cfRule>
  </conditionalFormatting>
  <conditionalFormatting sqref="U37:U38">
    <cfRule type="cellIs" dxfId="133" priority="604" operator="equal">
      <formula>0</formula>
    </cfRule>
    <cfRule type="cellIs" dxfId="132" priority="605" operator="equal">
      <formula>1</formula>
    </cfRule>
  </conditionalFormatting>
  <conditionalFormatting sqref="U42">
    <cfRule type="cellIs" dxfId="131" priority="628" operator="equal">
      <formula>0</formula>
    </cfRule>
    <cfRule type="cellIs" dxfId="130" priority="629" operator="equal">
      <formula>1</formula>
    </cfRule>
  </conditionalFormatting>
  <conditionalFormatting sqref="U44">
    <cfRule type="cellIs" dxfId="129" priority="630" operator="equal">
      <formula>0</formula>
    </cfRule>
    <cfRule type="cellIs" dxfId="128" priority="631" operator="equal">
      <formula>1</formula>
    </cfRule>
  </conditionalFormatting>
  <conditionalFormatting sqref="U47:U48">
    <cfRule type="cellIs" dxfId="127" priority="618" operator="equal">
      <formula>0</formula>
    </cfRule>
    <cfRule type="cellIs" dxfId="126" priority="619" operator="equal">
      <formula>1</formula>
    </cfRule>
  </conditionalFormatting>
  <conditionalFormatting sqref="U52">
    <cfRule type="cellIs" dxfId="125" priority="642" operator="equal">
      <formula>0</formula>
    </cfRule>
    <cfRule type="cellIs" dxfId="124" priority="643" operator="equal">
      <formula>1</formula>
    </cfRule>
  </conditionalFormatting>
  <conditionalFormatting sqref="U54">
    <cfRule type="cellIs" dxfId="123" priority="644" operator="equal">
      <formula>0</formula>
    </cfRule>
    <cfRule type="cellIs" dxfId="122" priority="645" operator="equal">
      <formula>1</formula>
    </cfRule>
  </conditionalFormatting>
  <conditionalFormatting sqref="U57:U58">
    <cfRule type="cellIs" dxfId="121" priority="632" operator="equal">
      <formula>0</formula>
    </cfRule>
    <cfRule type="cellIs" dxfId="120" priority="633" operator="equal">
      <formula>1</formula>
    </cfRule>
  </conditionalFormatting>
  <conditionalFormatting sqref="U62">
    <cfRule type="cellIs" dxfId="119" priority="656" operator="equal">
      <formula>0</formula>
    </cfRule>
    <cfRule type="cellIs" dxfId="118" priority="657" operator="equal">
      <formula>1</formula>
    </cfRule>
  </conditionalFormatting>
  <conditionalFormatting sqref="U64">
    <cfRule type="cellIs" dxfId="117" priority="658" operator="equal">
      <formula>0</formula>
    </cfRule>
    <cfRule type="cellIs" dxfId="116" priority="659" operator="equal">
      <formula>1</formula>
    </cfRule>
  </conditionalFormatting>
  <conditionalFormatting sqref="U72:X72">
    <cfRule type="cellIs" dxfId="115" priority="666" operator="equal">
      <formula>0</formula>
    </cfRule>
    <cfRule type="cellIs" dxfId="114" priority="667" operator="equal">
      <formula>1</formula>
    </cfRule>
  </conditionalFormatting>
  <conditionalFormatting sqref="U151:X151">
    <cfRule type="cellIs" dxfId="113" priority="70" operator="equal">
      <formula>0</formula>
    </cfRule>
    <cfRule type="cellIs" dxfId="112" priority="71" operator="equal">
      <formula>1</formula>
    </cfRule>
  </conditionalFormatting>
  <conditionalFormatting sqref="V7">
    <cfRule type="cellIs" dxfId="111" priority="472" operator="equal">
      <formula>0</formula>
    </cfRule>
    <cfRule type="cellIs" dxfId="110" priority="473" operator="equal">
      <formula>1</formula>
    </cfRule>
  </conditionalFormatting>
  <conditionalFormatting sqref="V9">
    <cfRule type="cellIs" dxfId="109" priority="474" operator="equal">
      <formula>0</formula>
    </cfRule>
    <cfRule type="cellIs" dxfId="108" priority="475" operator="equal">
      <formula>1</formula>
    </cfRule>
  </conditionalFormatting>
  <conditionalFormatting sqref="W25">
    <cfRule type="cellIs" dxfId="107" priority="662" operator="equal">
      <formula>0</formula>
    </cfRule>
    <cfRule type="cellIs" dxfId="106" priority="663" operator="equal">
      <formula>1</formula>
    </cfRule>
  </conditionalFormatting>
  <conditionalFormatting sqref="Z4">
    <cfRule type="cellIs" dxfId="105" priority="686" operator="equal">
      <formula>0</formula>
    </cfRule>
    <cfRule type="cellIs" dxfId="104" priority="687" operator="equal">
      <formula>1</formula>
    </cfRule>
  </conditionalFormatting>
  <conditionalFormatting sqref="Z16">
    <cfRule type="cellIs" dxfId="103" priority="488" operator="equal">
      <formula>0</formula>
    </cfRule>
    <cfRule type="cellIs" dxfId="102" priority="489" operator="equal">
      <formula>1</formula>
    </cfRule>
  </conditionalFormatting>
  <conditionalFormatting sqref="Z19">
    <cfRule type="cellIs" dxfId="101" priority="492" operator="equal">
      <formula>0</formula>
    </cfRule>
    <cfRule type="cellIs" dxfId="100" priority="493" operator="equal">
      <formula>1</formula>
    </cfRule>
  </conditionalFormatting>
  <conditionalFormatting sqref="Z21">
    <cfRule type="cellIs" dxfId="99" priority="494" operator="equal">
      <formula>0</formula>
    </cfRule>
    <cfRule type="cellIs" dxfId="98" priority="495" operator="equal">
      <formula>1</formula>
    </cfRule>
  </conditionalFormatting>
  <conditionalFormatting sqref="Z23">
    <cfRule type="cellIs" dxfId="97" priority="496" operator="equal">
      <formula>0</formula>
    </cfRule>
    <cfRule type="cellIs" dxfId="96" priority="497" operator="equal">
      <formula>1</formula>
    </cfRule>
  </conditionalFormatting>
  <conditionalFormatting sqref="AA7">
    <cfRule type="cellIs" dxfId="95" priority="676" operator="equal">
      <formula>0</formula>
    </cfRule>
    <cfRule type="cellIs" dxfId="94" priority="677" operator="equal">
      <formula>1</formula>
    </cfRule>
  </conditionalFormatting>
  <conditionalFormatting sqref="AA9">
    <cfRule type="cellIs" dxfId="93" priority="684" operator="equal">
      <formula>0</formula>
    </cfRule>
    <cfRule type="cellIs" dxfId="92" priority="685" operator="equal">
      <formula>1</formula>
    </cfRule>
  </conditionalFormatting>
  <conditionalFormatting sqref="AA12">
    <cfRule type="cellIs" dxfId="91" priority="692" operator="equal">
      <formula>0</formula>
    </cfRule>
    <cfRule type="cellIs" dxfId="90" priority="693" operator="equal">
      <formula>1</formula>
    </cfRule>
  </conditionalFormatting>
  <conditionalFormatting sqref="AA14">
    <cfRule type="cellIs" dxfId="89" priority="698" operator="equal">
      <formula>0</formula>
    </cfRule>
    <cfRule type="cellIs" dxfId="88" priority="699" operator="equal">
      <formula>1</formula>
    </cfRule>
  </conditionalFormatting>
  <conditionalFormatting sqref="AA82:AB82">
    <cfRule type="cellIs" dxfId="87" priority="17" operator="equal">
      <formula>0</formula>
    </cfRule>
    <cfRule type="cellIs" dxfId="86" priority="18" operator="greaterThanOrEqual">
      <formula>1</formula>
    </cfRule>
  </conditionalFormatting>
  <conditionalFormatting sqref="AB4">
    <cfRule type="cellIs" dxfId="85" priority="688" operator="equal">
      <formula>0</formula>
    </cfRule>
    <cfRule type="cellIs" dxfId="84" priority="689" operator="equal">
      <formula>1</formula>
    </cfRule>
  </conditionalFormatting>
  <conditionalFormatting sqref="AB10">
    <cfRule type="cellIs" dxfId="83" priority="682" operator="equal">
      <formula>0</formula>
    </cfRule>
    <cfRule type="cellIs" dxfId="82" priority="683" operator="equal">
      <formula>1</formula>
    </cfRule>
  </conditionalFormatting>
  <conditionalFormatting sqref="AB16">
    <cfRule type="cellIs" dxfId="81" priority="490" operator="equal">
      <formula>0</formula>
    </cfRule>
    <cfRule type="cellIs" dxfId="80" priority="491" operator="equal">
      <formula>1</formula>
    </cfRule>
  </conditionalFormatting>
  <conditionalFormatting sqref="AB18">
    <cfRule type="cellIs" dxfId="79" priority="498" operator="equal">
      <formula>0</formula>
    </cfRule>
    <cfRule type="cellIs" dxfId="78" priority="499" operator="equal">
      <formula>1</formula>
    </cfRule>
  </conditionalFormatting>
  <conditionalFormatting sqref="AB23">
    <cfRule type="cellIs" dxfId="77" priority="500" operator="equal">
      <formula>0</formula>
    </cfRule>
    <cfRule type="cellIs" dxfId="76" priority="501" operator="equal">
      <formula>1</formula>
    </cfRule>
  </conditionalFormatting>
  <conditionalFormatting sqref="AB25">
    <cfRule type="cellIs" dxfId="75" priority="420" operator="equal">
      <formula>0</formula>
    </cfRule>
    <cfRule type="cellIs" dxfId="74" priority="421" operator="equal">
      <formula>1</formula>
    </cfRule>
  </conditionalFormatting>
  <conditionalFormatting sqref="AB50">
    <cfRule type="cellIs" dxfId="73" priority="254" operator="equal">
      <formula>0</formula>
    </cfRule>
    <cfRule type="cellIs" dxfId="72" priority="255" operator="equal">
      <formula>1</formula>
    </cfRule>
  </conditionalFormatting>
  <conditionalFormatting sqref="AB52">
    <cfRule type="cellIs" dxfId="71" priority="250" operator="equal">
      <formula>0</formula>
    </cfRule>
    <cfRule type="cellIs" dxfId="70" priority="251" operator="equal">
      <formula>1</formula>
    </cfRule>
  </conditionalFormatting>
  <conditionalFormatting sqref="AB54">
    <cfRule type="cellIs" dxfId="69" priority="230" operator="equal">
      <formula>0</formula>
    </cfRule>
    <cfRule type="cellIs" dxfId="68" priority="231" operator="equal">
      <formula>1</formula>
    </cfRule>
  </conditionalFormatting>
  <conditionalFormatting sqref="AB56">
    <cfRule type="cellIs" dxfId="67" priority="226" operator="equal">
      <formula>0</formula>
    </cfRule>
    <cfRule type="cellIs" dxfId="66" priority="227" operator="equal">
      <formula>1</formula>
    </cfRule>
  </conditionalFormatting>
  <conditionalFormatting sqref="AB58">
    <cfRule type="cellIs" dxfId="65" priority="224" operator="equal">
      <formula>0</formula>
    </cfRule>
    <cfRule type="cellIs" dxfId="64" priority="225" operator="equal">
      <formula>1</formula>
    </cfRule>
  </conditionalFormatting>
  <conditionalFormatting sqref="AB60">
    <cfRule type="cellIs" dxfId="63" priority="220" operator="equal">
      <formula>0</formula>
    </cfRule>
    <cfRule type="cellIs" dxfId="62" priority="221" operator="equal">
      <formula>1</formula>
    </cfRule>
  </conditionalFormatting>
  <conditionalFormatting sqref="AB62">
    <cfRule type="cellIs" dxfId="61" priority="218" operator="equal">
      <formula>0</formula>
    </cfRule>
    <cfRule type="cellIs" dxfId="60" priority="219" operator="equal">
      <formula>1</formula>
    </cfRule>
  </conditionalFormatting>
  <conditionalFormatting sqref="AB64">
    <cfRule type="cellIs" dxfId="59" priority="214" operator="equal">
      <formula>0</formula>
    </cfRule>
    <cfRule type="cellIs" dxfId="58" priority="215" operator="equal">
      <formula>1</formula>
    </cfRule>
  </conditionalFormatting>
  <conditionalFormatting sqref="AB33:AE34">
    <cfRule type="cellIs" dxfId="57" priority="332" operator="equal">
      <formula>0</formula>
    </cfRule>
    <cfRule type="cellIs" dxfId="56" priority="333" operator="equal">
      <formula>1</formula>
    </cfRule>
  </conditionalFormatting>
  <conditionalFormatting sqref="AB36:AE36">
    <cfRule type="cellIs" dxfId="55" priority="262" operator="equal">
      <formula>0</formula>
    </cfRule>
    <cfRule type="cellIs" dxfId="54" priority="263" operator="equal">
      <formula>1</formula>
    </cfRule>
  </conditionalFormatting>
  <conditionalFormatting sqref="AB38:AE38">
    <cfRule type="cellIs" dxfId="53" priority="276" operator="equal">
      <formula>0</formula>
    </cfRule>
    <cfRule type="cellIs" dxfId="52" priority="277" operator="equal">
      <formula>1</formula>
    </cfRule>
  </conditionalFormatting>
  <conditionalFormatting sqref="AB40:AE41">
    <cfRule type="cellIs" dxfId="51" priority="316" operator="equal">
      <formula>0</formula>
    </cfRule>
    <cfRule type="cellIs" dxfId="50" priority="317" operator="equal">
      <formula>1</formula>
    </cfRule>
  </conditionalFormatting>
  <conditionalFormatting sqref="AB43:AE43">
    <cfRule type="cellIs" dxfId="49" priority="282" operator="equal">
      <formula>0</formula>
    </cfRule>
    <cfRule type="cellIs" dxfId="48" priority="283" operator="equal">
      <formula>1</formula>
    </cfRule>
  </conditionalFormatting>
  <conditionalFormatting sqref="AB45:AE45">
    <cfRule type="cellIs" dxfId="47" priority="294" operator="equal">
      <formula>0</formula>
    </cfRule>
    <cfRule type="cellIs" dxfId="46" priority="295" operator="equal">
      <formula>1</formula>
    </cfRule>
  </conditionalFormatting>
  <conditionalFormatting sqref="AB47:AE48">
    <cfRule type="cellIs" dxfId="45" priority="260" operator="equal">
      <formula>0</formula>
    </cfRule>
    <cfRule type="cellIs" dxfId="44" priority="261" operator="equal">
      <formula>1</formula>
    </cfRule>
  </conditionalFormatting>
  <conditionalFormatting sqref="AB66:AE66">
    <cfRule type="cellIs" dxfId="43" priority="256" operator="equal">
      <formula>0</formula>
    </cfRule>
    <cfRule type="cellIs" dxfId="42" priority="257" operator="equal">
      <formula>1</formula>
    </cfRule>
  </conditionalFormatting>
  <conditionalFormatting sqref="AC6">
    <cfRule type="cellIs" dxfId="41" priority="678" operator="equal">
      <formula>0</formula>
    </cfRule>
    <cfRule type="cellIs" dxfId="40" priority="679" operator="equal">
      <formula>1</formula>
    </cfRule>
  </conditionalFormatting>
  <conditionalFormatting sqref="AC8">
    <cfRule type="cellIs" dxfId="39" priority="680" operator="equal">
      <formula>0</formula>
    </cfRule>
    <cfRule type="cellIs" dxfId="38" priority="681" operator="equal">
      <formula>1</formula>
    </cfRule>
  </conditionalFormatting>
  <conditionalFormatting sqref="AC14">
    <cfRule type="cellIs" dxfId="37" priority="696" operator="equal">
      <formula>0</formula>
    </cfRule>
    <cfRule type="cellIs" dxfId="36" priority="697" operator="equal">
      <formula>1</formula>
    </cfRule>
  </conditionalFormatting>
  <conditionalFormatting sqref="AC27">
    <cfRule type="cellIs" dxfId="35" priority="414" operator="equal">
      <formula>0</formula>
    </cfRule>
    <cfRule type="cellIs" dxfId="34" priority="415" operator="equal">
      <formula>1</formula>
    </cfRule>
  </conditionalFormatting>
  <conditionalFormatting sqref="AC29">
    <cfRule type="cellIs" dxfId="33" priority="408" operator="equal">
      <formula>0</formula>
    </cfRule>
    <cfRule type="cellIs" dxfId="32" priority="409" operator="equal">
      <formula>1</formula>
    </cfRule>
  </conditionalFormatting>
  <conditionalFormatting sqref="AC31">
    <cfRule type="cellIs" dxfId="31" priority="406" operator="equal">
      <formula>0</formula>
    </cfRule>
    <cfRule type="cellIs" dxfId="30" priority="407" operator="equal">
      <formula>1</formula>
    </cfRule>
  </conditionalFormatting>
  <conditionalFormatting sqref="AC51:AD51">
    <cfRule type="cellIs" dxfId="29" priority="252" operator="equal">
      <formula>0</formula>
    </cfRule>
    <cfRule type="cellIs" dxfId="28" priority="253" operator="equal">
      <formula>1</formula>
    </cfRule>
  </conditionalFormatting>
  <conditionalFormatting sqref="AC55:AD55">
    <cfRule type="cellIs" dxfId="27" priority="228" operator="equal">
      <formula>0</formula>
    </cfRule>
    <cfRule type="cellIs" dxfId="26" priority="229" operator="equal">
      <formula>1</formula>
    </cfRule>
  </conditionalFormatting>
  <conditionalFormatting sqref="AC59:AD59">
    <cfRule type="cellIs" dxfId="25" priority="222" operator="equal">
      <formula>0</formula>
    </cfRule>
    <cfRule type="cellIs" dxfId="24" priority="223" operator="equal">
      <formula>1</formula>
    </cfRule>
  </conditionalFormatting>
  <conditionalFormatting sqref="AC63:AD63">
    <cfRule type="cellIs" dxfId="23" priority="216" operator="equal">
      <formula>0</formula>
    </cfRule>
    <cfRule type="cellIs" dxfId="22" priority="217" operator="equal">
      <formula>1</formula>
    </cfRule>
  </conditionalFormatting>
  <conditionalFormatting sqref="AD4">
    <cfRule type="cellIs" dxfId="21" priority="690" operator="equal">
      <formula>0</formula>
    </cfRule>
    <cfRule type="cellIs" dxfId="20" priority="691" operator="equal">
      <formula>1</formula>
    </cfRule>
  </conditionalFormatting>
  <conditionalFormatting sqref="AD7">
    <cfRule type="cellIs" dxfId="19" priority="694" operator="equal">
      <formula>0</formula>
    </cfRule>
    <cfRule type="cellIs" dxfId="18" priority="695" operator="equal">
      <formula>1</formula>
    </cfRule>
  </conditionalFormatting>
  <conditionalFormatting sqref="AD25">
    <cfRule type="cellIs" dxfId="17" priority="418" operator="equal">
      <formula>0</formula>
    </cfRule>
    <cfRule type="cellIs" dxfId="16" priority="419" operator="equal">
      <formula>1</formula>
    </cfRule>
  </conditionalFormatting>
  <conditionalFormatting sqref="AD28:AE28">
    <cfRule type="cellIs" dxfId="15" priority="410" operator="equal">
      <formula>0</formula>
    </cfRule>
    <cfRule type="cellIs" dxfId="14" priority="411" operator="equal">
      <formula>1</formula>
    </cfRule>
  </conditionalFormatting>
  <conditionalFormatting sqref="AD82:AG83">
    <cfRule type="cellIs" dxfId="13" priority="7" operator="equal">
      <formula>0</formula>
    </cfRule>
    <cfRule type="cellIs" dxfId="12" priority="8" operator="greaterThanOrEqual">
      <formula>1</formula>
    </cfRule>
  </conditionalFormatting>
  <conditionalFormatting sqref="AE87:AG101">
    <cfRule type="containsText" dxfId="11" priority="1" operator="containsText" text="0000">
      <formula>NOT(ISERROR(SEARCH("0000",AE87)))</formula>
    </cfRule>
    <cfRule type="cellIs" dxfId="10" priority="2" operator="greaterThan">
      <formula>0</formula>
    </cfRule>
  </conditionalFormatting>
  <conditionalFormatting sqref="AF25">
    <cfRule type="cellIs" dxfId="9" priority="416" operator="equal">
      <formula>0</formula>
    </cfRule>
    <cfRule type="cellIs" dxfId="8" priority="417" operator="equal">
      <formula>1</formula>
    </cfRule>
  </conditionalFormatting>
  <conditionalFormatting sqref="AG47">
    <cfRule type="cellIs" dxfId="7" priority="258" operator="equal">
      <formula>0</formula>
    </cfRule>
    <cfRule type="cellIs" dxfId="6" priority="259" operator="equal">
      <formula>1</formula>
    </cfRule>
  </conditionalFormatting>
  <conditionalFormatting sqref="AG86">
    <cfRule type="containsText" dxfId="5" priority="9" operator="containsText" text="0000">
      <formula>NOT(ISERROR(SEARCH("0000",AG86)))</formula>
    </cfRule>
    <cfRule type="cellIs" dxfId="4" priority="10" operator="greaterThan">
      <formula>0</formula>
    </cfRule>
  </conditionalFormatting>
  <conditionalFormatting sqref="AH86:AT101">
    <cfRule type="containsText" dxfId="3" priority="3" operator="containsText" text="0000">
      <formula>NOT(ISERROR(SEARCH("0000",AH86)))</formula>
    </cfRule>
    <cfRule type="cellIs" dxfId="2" priority="4" operator="greaterThan">
      <formula>0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  <ignoredError sqref="AH8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>
      <selection activeCell="AC50" sqref="AC50"/>
    </sheetView>
  </sheetViews>
  <sheetFormatPr defaultColWidth="9.109375" defaultRowHeight="14.4" x14ac:dyDescent="0.3"/>
  <cols>
    <col min="1" max="5" width="9.109375" style="91"/>
    <col min="6" max="7" width="9.109375" style="91" customWidth="1"/>
    <col min="8" max="16384" width="9.109375" style="91"/>
  </cols>
  <sheetData>
    <row r="1" spans="1:1" x14ac:dyDescent="0.3">
      <c r="A1" s="92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46844-C73D-4D2F-BDE4-E3700F7AA59E}">
  <dimension ref="A1:P23"/>
  <sheetViews>
    <sheetView tabSelected="1" workbookViewId="0">
      <selection activeCell="D23" sqref="D23"/>
    </sheetView>
  </sheetViews>
  <sheetFormatPr defaultRowHeight="14.4" x14ac:dyDescent="0.3"/>
  <sheetData>
    <row r="1" spans="1:16" x14ac:dyDescent="0.3">
      <c r="A1" s="87">
        <f ca="1">IF(AND(RAMOP="11",RAMX=DEC2BIN(COLUMN(A1)-1),RAMY=DEC2BIN(ROW(A1)-1)),_xlfn.CONCAT(RAMIN4,RAMIN3,RAMIN2,RAMIN1),A1)</f>
        <v>0</v>
      </c>
      <c r="B1" s="87">
        <f ca="1">IF(AND(RAMOP="11",RAMX=DEC2BIN(COLUMN(B1)-1),RAMY=DEC2BIN(ROW(B1)-1)),_xlfn.CONCAT(RAMIN4,RAMIN3,RAMIN2,RAMIN1),B1)</f>
        <v>0</v>
      </c>
      <c r="C1" s="87">
        <f ca="1">IF(AND(RAMOP="11",RAMX=DEC2BIN(COLUMN(C1)-1),RAMY=DEC2BIN(ROW(C1)-1)),_xlfn.CONCAT(RAMIN4,RAMIN3,RAMIN2,RAMIN1),C1)</f>
        <v>0</v>
      </c>
      <c r="D1" s="87">
        <f ca="1">IF(AND(RAMOP="11",RAMX=DEC2BIN(COLUMN(D1)-1),RAMY=DEC2BIN(ROW(D1)-1)),_xlfn.CONCAT(RAMIN4,RAMIN3,RAMIN2,RAMIN1),D1)</f>
        <v>0</v>
      </c>
      <c r="E1" s="87">
        <f ca="1">IF(AND(RAMOP="11",RAMX=DEC2BIN(COLUMN(E1)-1),RAMY=DEC2BIN(ROW(E1)-1)),_xlfn.CONCAT(RAMIN4,RAMIN3,RAMIN2,RAMIN1),E1)</f>
        <v>0</v>
      </c>
      <c r="F1" s="87">
        <f ca="1">IF(AND(RAMOP="11",RAMX=DEC2BIN(COLUMN(F1)-1),RAMY=DEC2BIN(ROW(F1)-1)),_xlfn.CONCAT(RAMIN4,RAMIN3,RAMIN2,RAMIN1),F1)</f>
        <v>0</v>
      </c>
      <c r="G1" s="87">
        <f ca="1">IF(AND(RAMOP="11",RAMX=DEC2BIN(COLUMN(G1)-1),RAMY=DEC2BIN(ROW(G1)-1)),_xlfn.CONCAT(RAMIN4,RAMIN3,RAMIN2,RAMIN1),G1)</f>
        <v>0</v>
      </c>
      <c r="H1" s="87">
        <f ca="1">IF(AND(RAMOP="11",RAMX=DEC2BIN(COLUMN(H1)-1),RAMY=DEC2BIN(ROW(H1)-1)),_xlfn.CONCAT(RAMIN4,RAMIN3,RAMIN2,RAMIN1),H1)</f>
        <v>0</v>
      </c>
      <c r="I1" s="87">
        <f ca="1">IF(AND(RAMOP="11",RAMX=DEC2BIN(COLUMN(I1)-1),RAMY=DEC2BIN(ROW(I1)-1)),_xlfn.CONCAT(RAMIN4,RAMIN3,RAMIN2,RAMIN1),I1)</f>
        <v>0</v>
      </c>
      <c r="J1" s="87">
        <f ca="1">IF(AND(RAMOP="11",RAMX=DEC2BIN(COLUMN(J1)-1),RAMY=DEC2BIN(ROW(J1)-1)),_xlfn.CONCAT(RAMIN4,RAMIN3,RAMIN2,RAMIN1),J1)</f>
        <v>0</v>
      </c>
      <c r="K1" s="87">
        <f ca="1">IF(AND(RAMOP="11",RAMX=DEC2BIN(COLUMN(K1)-1),RAMY=DEC2BIN(ROW(K1)-1)),_xlfn.CONCAT(RAMIN4,RAMIN3,RAMIN2,RAMIN1),K1)</f>
        <v>0</v>
      </c>
      <c r="L1" s="87">
        <f ca="1">IF(AND(RAMOP="11",RAMX=DEC2BIN(COLUMN(L1)-1),RAMY=DEC2BIN(ROW(L1)-1)),_xlfn.CONCAT(RAMIN4,RAMIN3,RAMIN2,RAMIN1),L1)</f>
        <v>0</v>
      </c>
      <c r="M1" s="87">
        <f ca="1">IF(AND(RAMOP="11",RAMX=DEC2BIN(COLUMN(M1)-1),RAMY=DEC2BIN(ROW(M1)-1)),_xlfn.CONCAT(RAMIN4,RAMIN3,RAMIN2,RAMIN1),M1)</f>
        <v>0</v>
      </c>
      <c r="N1" s="87">
        <f ca="1">IF(AND(RAMOP="11",RAMX=DEC2BIN(COLUMN(N1)-1),RAMY=DEC2BIN(ROW(N1)-1)),_xlfn.CONCAT(RAMIN4,RAMIN3,RAMIN2,RAMIN1),N1)</f>
        <v>0</v>
      </c>
      <c r="O1" s="87">
        <f ca="1">IF(AND(RAMOP="11",RAMX=DEC2BIN(COLUMN(O1)-1),RAMY=DEC2BIN(ROW(O1)-1)),_xlfn.CONCAT(RAMIN4,RAMIN3,RAMIN2,RAMIN1),O1)</f>
        <v>0</v>
      </c>
      <c r="P1" s="87">
        <f ca="1">IF(AND(RAMOP="11",RAMX=DEC2BIN(COLUMN(P1)-1),RAMY=DEC2BIN(ROW(P1)-1)),_xlfn.CONCAT(RAMIN4,RAMIN3,RAMIN2,RAMIN1),P1)</f>
        <v>0</v>
      </c>
    </row>
    <row r="2" spans="1:16" x14ac:dyDescent="0.3">
      <c r="A2" s="87">
        <f ca="1">IF(AND(RAMOP="11",RAMX=DEC2BIN(COLUMN(A2)-1),RAMY=DEC2BIN(ROW(A2)-1)),_xlfn.CONCAT(RAMIN4,RAMIN3,RAMIN2,RAMIN1),A2)</f>
        <v>0</v>
      </c>
      <c r="B2" s="87">
        <f ca="1">IF(AND(RAMOP="11",RAMX=DEC2BIN(COLUMN(B2)-1),RAMY=DEC2BIN(ROW(B2)-1)),_xlfn.CONCAT(RAMIN4,RAMIN3,RAMIN2,RAMIN1),B2)</f>
        <v>0</v>
      </c>
      <c r="C2" s="87">
        <f ca="1">IF(AND(RAMOP="11",RAMX=DEC2BIN(COLUMN(C2)-1),RAMY=DEC2BIN(ROW(C2)-1)),_xlfn.CONCAT(RAMIN4,RAMIN3,RAMIN2,RAMIN1),C2)</f>
        <v>0</v>
      </c>
      <c r="D2" s="87">
        <f ca="1">IF(AND(RAMOP="11",RAMX=DEC2BIN(COLUMN(D2)-1),RAMY=DEC2BIN(ROW(D2)-1)),_xlfn.CONCAT(RAMIN4,RAMIN3,RAMIN2,RAMIN1),D2)</f>
        <v>0</v>
      </c>
      <c r="E2" s="87">
        <f ca="1">IF(AND(RAMOP="11",RAMX=DEC2BIN(COLUMN(E2)-1),RAMY=DEC2BIN(ROW(E2)-1)),_xlfn.CONCAT(RAMIN4,RAMIN3,RAMIN2,RAMIN1),E2)</f>
        <v>0</v>
      </c>
      <c r="F2" s="87">
        <f ca="1">IF(AND(RAMOP="11",RAMX=DEC2BIN(COLUMN(F2)-1),RAMY=DEC2BIN(ROW(F2)-1)),_xlfn.CONCAT(RAMIN4,RAMIN3,RAMIN2,RAMIN1),F2)</f>
        <v>0</v>
      </c>
      <c r="G2" s="87">
        <f ca="1">IF(AND(RAMOP="11",RAMX=DEC2BIN(COLUMN(G2)-1),RAMY=DEC2BIN(ROW(G2)-1)),_xlfn.CONCAT(RAMIN4,RAMIN3,RAMIN2,RAMIN1),G2)</f>
        <v>0</v>
      </c>
      <c r="H2" s="87">
        <f ca="1">IF(AND(RAMOP="11",RAMX=DEC2BIN(COLUMN(H2)-1),RAMY=DEC2BIN(ROW(H2)-1)),_xlfn.CONCAT(RAMIN4,RAMIN3,RAMIN2,RAMIN1),H2)</f>
        <v>0</v>
      </c>
      <c r="I2" s="87">
        <f ca="1">IF(AND(RAMOP="11",RAMX=DEC2BIN(COLUMN(I2)-1),RAMY=DEC2BIN(ROW(I2)-1)),_xlfn.CONCAT(RAMIN4,RAMIN3,RAMIN2,RAMIN1),I2)</f>
        <v>0</v>
      </c>
      <c r="J2" s="87">
        <f ca="1">IF(AND(RAMOP="11",RAMX=DEC2BIN(COLUMN(J2)-1),RAMY=DEC2BIN(ROW(J2)-1)),_xlfn.CONCAT(RAMIN4,RAMIN3,RAMIN2,RAMIN1),J2)</f>
        <v>0</v>
      </c>
      <c r="K2" s="87">
        <f ca="1">IF(AND(RAMOP="11",RAMX=DEC2BIN(COLUMN(K2)-1),RAMY=DEC2BIN(ROW(K2)-1)),_xlfn.CONCAT(RAMIN4,RAMIN3,RAMIN2,RAMIN1),K2)</f>
        <v>0</v>
      </c>
      <c r="L2" s="87">
        <f ca="1">IF(AND(RAMOP="11",RAMX=DEC2BIN(COLUMN(L2)-1),RAMY=DEC2BIN(ROW(L2)-1)),_xlfn.CONCAT(RAMIN4,RAMIN3,RAMIN2,RAMIN1),L2)</f>
        <v>0</v>
      </c>
      <c r="M2" s="87">
        <f ca="1">IF(AND(RAMOP="11",RAMX=DEC2BIN(COLUMN(M2)-1),RAMY=DEC2BIN(ROW(M2)-1)),_xlfn.CONCAT(RAMIN4,RAMIN3,RAMIN2,RAMIN1),M2)</f>
        <v>0</v>
      </c>
      <c r="N2" s="87">
        <f ca="1">IF(AND(RAMOP="11",RAMX=DEC2BIN(COLUMN(N2)-1),RAMY=DEC2BIN(ROW(N2)-1)),_xlfn.CONCAT(RAMIN4,RAMIN3,RAMIN2,RAMIN1),N2)</f>
        <v>0</v>
      </c>
      <c r="O2" s="87">
        <f ca="1">IF(AND(RAMOP="11",RAMX=DEC2BIN(COLUMN(O2)-1),RAMY=DEC2BIN(ROW(O2)-1)),_xlfn.CONCAT(RAMIN4,RAMIN3,RAMIN2,RAMIN1),O2)</f>
        <v>0</v>
      </c>
      <c r="P2" s="87">
        <f ca="1">IF(AND(RAMOP="11",RAMX=DEC2BIN(COLUMN(P2)-1),RAMY=DEC2BIN(ROW(P2)-1)),_xlfn.CONCAT(RAMIN4,RAMIN3,RAMIN2,RAMIN1),P2)</f>
        <v>0</v>
      </c>
    </row>
    <row r="3" spans="1:16" x14ac:dyDescent="0.3">
      <c r="A3" s="87">
        <f ca="1">IF(AND(RAMOP="11",RAMX=DEC2BIN(COLUMN(A3)-1),RAMY=DEC2BIN(ROW(A3)-1)),_xlfn.CONCAT(RAMIN4,RAMIN3,RAMIN2,RAMIN1),A3)</f>
        <v>0</v>
      </c>
      <c r="B3" s="87">
        <f ca="1">IF(AND(RAMOP="11",RAMX=DEC2BIN(COLUMN(B3)-1),RAMY=DEC2BIN(ROW(B3)-1)),_xlfn.CONCAT(RAMIN4,RAMIN3,RAMIN2,RAMIN1),B3)</f>
        <v>0</v>
      </c>
      <c r="C3" s="87">
        <f ca="1">IF(AND(RAMOP="11",RAMX=DEC2BIN(COLUMN(C3)-1),RAMY=DEC2BIN(ROW(C3)-1)),_xlfn.CONCAT(RAMIN4,RAMIN3,RAMIN2,RAMIN1),C3)</f>
        <v>0</v>
      </c>
      <c r="D3" s="87">
        <f ca="1">IF(AND(RAMOP="11",RAMX=DEC2BIN(COLUMN(D3)-1),RAMY=DEC2BIN(ROW(D3)-1)),_xlfn.CONCAT(RAMIN4,RAMIN3,RAMIN2,RAMIN1),D3)</f>
        <v>0</v>
      </c>
      <c r="E3" s="87">
        <f ca="1">IF(AND(RAMOP="11",RAMX=DEC2BIN(COLUMN(E3)-1),RAMY=DEC2BIN(ROW(E3)-1)),_xlfn.CONCAT(RAMIN4,RAMIN3,RAMIN2,RAMIN1),E3)</f>
        <v>0</v>
      </c>
      <c r="F3" s="87">
        <f ca="1">IF(AND(RAMOP="11",RAMX=DEC2BIN(COLUMN(F3)-1),RAMY=DEC2BIN(ROW(F3)-1)),_xlfn.CONCAT(RAMIN4,RAMIN3,RAMIN2,RAMIN1),F3)</f>
        <v>0</v>
      </c>
      <c r="G3" s="87">
        <f ca="1">IF(AND(RAMOP="11",RAMX=DEC2BIN(COLUMN(G3)-1),RAMY=DEC2BIN(ROW(G3)-1)),_xlfn.CONCAT(RAMIN4,RAMIN3,RAMIN2,RAMIN1),G3)</f>
        <v>0</v>
      </c>
      <c r="H3" s="87">
        <f ca="1">IF(AND(RAMOP="11",RAMX=DEC2BIN(COLUMN(H3)-1),RAMY=DEC2BIN(ROW(H3)-1)),_xlfn.CONCAT(RAMIN4,RAMIN3,RAMIN2,RAMIN1),H3)</f>
        <v>0</v>
      </c>
      <c r="I3" s="87">
        <f ca="1">IF(AND(RAMOP="11",RAMX=DEC2BIN(COLUMN(I3)-1),RAMY=DEC2BIN(ROW(I3)-1)),_xlfn.CONCAT(RAMIN4,RAMIN3,RAMIN2,RAMIN1),I3)</f>
        <v>0</v>
      </c>
      <c r="J3" s="87">
        <f ca="1">IF(AND(RAMOP="11",RAMX=DEC2BIN(COLUMN(J3)-1),RAMY=DEC2BIN(ROW(J3)-1)),_xlfn.CONCAT(RAMIN4,RAMIN3,RAMIN2,RAMIN1),J3)</f>
        <v>0</v>
      </c>
      <c r="K3" s="87">
        <f ca="1">IF(AND(RAMOP="11",RAMX=DEC2BIN(COLUMN(K3)-1),RAMY=DEC2BIN(ROW(K3)-1)),_xlfn.CONCAT(RAMIN4,RAMIN3,RAMIN2,RAMIN1),K3)</f>
        <v>0</v>
      </c>
      <c r="L3" s="87">
        <f ca="1">IF(AND(RAMOP="11",RAMX=DEC2BIN(COLUMN(L3)-1),RAMY=DEC2BIN(ROW(L3)-1)),_xlfn.CONCAT(RAMIN4,RAMIN3,RAMIN2,RAMIN1),L3)</f>
        <v>0</v>
      </c>
      <c r="M3" s="87">
        <f ca="1">IF(AND(RAMOP="11",RAMX=DEC2BIN(COLUMN(M3)-1),RAMY=DEC2BIN(ROW(M3)-1)),_xlfn.CONCAT(RAMIN4,RAMIN3,RAMIN2,RAMIN1),M3)</f>
        <v>0</v>
      </c>
      <c r="N3" s="87">
        <f ca="1">IF(AND(RAMOP="11",RAMX=DEC2BIN(COLUMN(N3)-1),RAMY=DEC2BIN(ROW(N3)-1)),_xlfn.CONCAT(RAMIN4,RAMIN3,RAMIN2,RAMIN1),N3)</f>
        <v>0</v>
      </c>
      <c r="O3" s="87">
        <f ca="1">IF(AND(RAMOP="11",RAMX=DEC2BIN(COLUMN(O3)-1),RAMY=DEC2BIN(ROW(O3)-1)),_xlfn.CONCAT(RAMIN4,RAMIN3,RAMIN2,RAMIN1),O3)</f>
        <v>0</v>
      </c>
      <c r="P3" s="87">
        <f ca="1">IF(AND(RAMOP="11",RAMX=DEC2BIN(COLUMN(P3)-1),RAMY=DEC2BIN(ROW(P3)-1)),_xlfn.CONCAT(RAMIN4,RAMIN3,RAMIN2,RAMIN1),P3)</f>
        <v>0</v>
      </c>
    </row>
    <row r="4" spans="1:16" x14ac:dyDescent="0.3">
      <c r="A4" s="87">
        <f ca="1">IF(AND(RAMOP="11",RAMX=DEC2BIN(COLUMN(A4)-1),RAMY=DEC2BIN(ROW(A4)-1)),_xlfn.CONCAT(RAMIN4,RAMIN3,RAMIN2,RAMIN1),A4)</f>
        <v>0</v>
      </c>
      <c r="B4" s="87">
        <f ca="1">IF(AND(RAMOP="11",RAMX=DEC2BIN(COLUMN(B4)-1),RAMY=DEC2BIN(ROW(B4)-1)),_xlfn.CONCAT(RAMIN4,RAMIN3,RAMIN2,RAMIN1),B4)</f>
        <v>0</v>
      </c>
      <c r="C4" s="87">
        <f ca="1">IF(AND(RAMOP="11",RAMX=DEC2BIN(COLUMN(C4)-1),RAMY=DEC2BIN(ROW(C4)-1)),_xlfn.CONCAT(RAMIN4,RAMIN3,RAMIN2,RAMIN1),C4)</f>
        <v>0</v>
      </c>
      <c r="D4" s="87">
        <f ca="1">IF(AND(RAMOP="11",RAMX=DEC2BIN(COLUMN(D4)-1),RAMY=DEC2BIN(ROW(D4)-1)),_xlfn.CONCAT(RAMIN4,RAMIN3,RAMIN2,RAMIN1),D4)</f>
        <v>0</v>
      </c>
      <c r="E4" s="87">
        <f ca="1">IF(AND(RAMOP="11",RAMX=DEC2BIN(COLUMN(E4)-1),RAMY=DEC2BIN(ROW(E4)-1)),_xlfn.CONCAT(RAMIN4,RAMIN3,RAMIN2,RAMIN1),E4)</f>
        <v>0</v>
      </c>
      <c r="F4" s="87">
        <f ca="1">IF(AND(RAMOP="11",RAMX=DEC2BIN(COLUMN(F4)-1),RAMY=DEC2BIN(ROW(F4)-1)),_xlfn.CONCAT(RAMIN4,RAMIN3,RAMIN2,RAMIN1),F4)</f>
        <v>0</v>
      </c>
      <c r="G4" s="87">
        <f ca="1">IF(AND(RAMOP="11",RAMX=DEC2BIN(COLUMN(G4)-1),RAMY=DEC2BIN(ROW(G4)-1)),_xlfn.CONCAT(RAMIN4,RAMIN3,RAMIN2,RAMIN1),G4)</f>
        <v>0</v>
      </c>
      <c r="H4" s="87">
        <f ca="1">IF(AND(RAMOP="11",RAMX=DEC2BIN(COLUMN(H4)-1),RAMY=DEC2BIN(ROW(H4)-1)),_xlfn.CONCAT(RAMIN4,RAMIN3,RAMIN2,RAMIN1),H4)</f>
        <v>0</v>
      </c>
      <c r="I4" s="87">
        <f ca="1">IF(AND(RAMOP="11",RAMX=DEC2BIN(COLUMN(I4)-1),RAMY=DEC2BIN(ROW(I4)-1)),_xlfn.CONCAT(RAMIN4,RAMIN3,RAMIN2,RAMIN1),I4)</f>
        <v>0</v>
      </c>
      <c r="J4" s="87">
        <f ca="1">IF(AND(RAMOP="11",RAMX=DEC2BIN(COLUMN(J4)-1),RAMY=DEC2BIN(ROW(J4)-1)),_xlfn.CONCAT(RAMIN4,RAMIN3,RAMIN2,RAMIN1),J4)</f>
        <v>0</v>
      </c>
      <c r="K4" s="87">
        <f ca="1">IF(AND(RAMOP="11",RAMX=DEC2BIN(COLUMN(K4)-1),RAMY=DEC2BIN(ROW(K4)-1)),_xlfn.CONCAT(RAMIN4,RAMIN3,RAMIN2,RAMIN1),K4)</f>
        <v>0</v>
      </c>
      <c r="L4" s="87">
        <f ca="1">IF(AND(RAMOP="11",RAMX=DEC2BIN(COLUMN(L4)-1),RAMY=DEC2BIN(ROW(L4)-1)),_xlfn.CONCAT(RAMIN4,RAMIN3,RAMIN2,RAMIN1),L4)</f>
        <v>0</v>
      </c>
      <c r="M4" s="87">
        <f ca="1">IF(AND(RAMOP="11",RAMX=DEC2BIN(COLUMN(M4)-1),RAMY=DEC2BIN(ROW(M4)-1)),_xlfn.CONCAT(RAMIN4,RAMIN3,RAMIN2,RAMIN1),M4)</f>
        <v>0</v>
      </c>
      <c r="N4" s="87">
        <f ca="1">IF(AND(RAMOP="11",RAMX=DEC2BIN(COLUMN(N4)-1),RAMY=DEC2BIN(ROW(N4)-1)),_xlfn.CONCAT(RAMIN4,RAMIN3,RAMIN2,RAMIN1),N4)</f>
        <v>0</v>
      </c>
      <c r="O4" s="87">
        <f ca="1">IF(AND(RAMOP="11",RAMX=DEC2BIN(COLUMN(O4)-1),RAMY=DEC2BIN(ROW(O4)-1)),_xlfn.CONCAT(RAMIN4,RAMIN3,RAMIN2,RAMIN1),O4)</f>
        <v>0</v>
      </c>
      <c r="P4" s="87">
        <f ca="1">IF(AND(RAMOP="11",RAMX=DEC2BIN(COLUMN(P4)-1),RAMY=DEC2BIN(ROW(P4)-1)),_xlfn.CONCAT(RAMIN4,RAMIN3,RAMIN2,RAMIN1),P4)</f>
        <v>0</v>
      </c>
    </row>
    <row r="5" spans="1:16" x14ac:dyDescent="0.3">
      <c r="A5" s="87">
        <f ca="1">IF(AND(RAMOP="11",RAMX=DEC2BIN(COLUMN(A5)-1),RAMY=DEC2BIN(ROW(A5)-1)),_xlfn.CONCAT(RAMIN4,RAMIN3,RAMIN2,RAMIN1),A5)</f>
        <v>0</v>
      </c>
      <c r="B5" s="87">
        <f ca="1">IF(AND(RAMOP="11",RAMX=DEC2BIN(COLUMN(B5)-1),RAMY=DEC2BIN(ROW(B5)-1)),_xlfn.CONCAT(RAMIN4,RAMIN3,RAMIN2,RAMIN1),B5)</f>
        <v>0</v>
      </c>
      <c r="C5" s="87">
        <f ca="1">IF(AND(RAMOP="11",RAMX=DEC2BIN(COLUMN(C5)-1),RAMY=DEC2BIN(ROW(C5)-1)),_xlfn.CONCAT(RAMIN4,RAMIN3,RAMIN2,RAMIN1),C5)</f>
        <v>0</v>
      </c>
      <c r="D5" s="87">
        <f ca="1">IF(AND(RAMOP="11",RAMX=DEC2BIN(COLUMN(D5)-1),RAMY=DEC2BIN(ROW(D5)-1)),_xlfn.CONCAT(RAMIN4,RAMIN3,RAMIN2,RAMIN1),D5)</f>
        <v>0</v>
      </c>
      <c r="E5" s="87">
        <f ca="1">IF(AND(RAMOP="11",RAMX=DEC2BIN(COLUMN(E5)-1),RAMY=DEC2BIN(ROW(E5)-1)),_xlfn.CONCAT(RAMIN4,RAMIN3,RAMIN2,RAMIN1),E5)</f>
        <v>0</v>
      </c>
      <c r="F5" s="87">
        <f ca="1">IF(AND(RAMOP="11",RAMX=DEC2BIN(COLUMN(F5)-1),RAMY=DEC2BIN(ROW(F5)-1)),_xlfn.CONCAT(RAMIN4,RAMIN3,RAMIN2,RAMIN1),F5)</f>
        <v>0</v>
      </c>
      <c r="G5" s="87">
        <f ca="1">IF(AND(RAMOP="11",RAMX=DEC2BIN(COLUMN(G5)-1),RAMY=DEC2BIN(ROW(G5)-1)),_xlfn.CONCAT(RAMIN4,RAMIN3,RAMIN2,RAMIN1),G5)</f>
        <v>0</v>
      </c>
      <c r="H5" s="87">
        <f ca="1">IF(AND(RAMOP="11",RAMX=DEC2BIN(COLUMN(H5)-1),RAMY=DEC2BIN(ROW(H5)-1)),_xlfn.CONCAT(RAMIN4,RAMIN3,RAMIN2,RAMIN1),H5)</f>
        <v>0</v>
      </c>
      <c r="I5" s="87">
        <f ca="1">IF(AND(RAMOP="11",RAMX=DEC2BIN(COLUMN(I5)-1),RAMY=DEC2BIN(ROW(I5)-1)),_xlfn.CONCAT(RAMIN4,RAMIN3,RAMIN2,RAMIN1),I5)</f>
        <v>0</v>
      </c>
      <c r="J5" s="87">
        <f ca="1">IF(AND(RAMOP="11",RAMX=DEC2BIN(COLUMN(J5)-1),RAMY=DEC2BIN(ROW(J5)-1)),_xlfn.CONCAT(RAMIN4,RAMIN3,RAMIN2,RAMIN1),J5)</f>
        <v>0</v>
      </c>
      <c r="K5" s="87">
        <f ca="1">IF(AND(RAMOP="11",RAMX=DEC2BIN(COLUMN(K5)-1),RAMY=DEC2BIN(ROW(K5)-1)),_xlfn.CONCAT(RAMIN4,RAMIN3,RAMIN2,RAMIN1),K5)</f>
        <v>0</v>
      </c>
      <c r="L5" s="87">
        <f ca="1">IF(AND(RAMOP="11",RAMX=DEC2BIN(COLUMN(L5)-1),RAMY=DEC2BIN(ROW(L5)-1)),_xlfn.CONCAT(RAMIN4,RAMIN3,RAMIN2,RAMIN1),L5)</f>
        <v>0</v>
      </c>
      <c r="M5" s="87">
        <f ca="1">IF(AND(RAMOP="11",RAMX=DEC2BIN(COLUMN(M5)-1),RAMY=DEC2BIN(ROW(M5)-1)),_xlfn.CONCAT(RAMIN4,RAMIN3,RAMIN2,RAMIN1),M5)</f>
        <v>0</v>
      </c>
      <c r="N5" s="87">
        <f ca="1">IF(AND(RAMOP="11",RAMX=DEC2BIN(COLUMN(N5)-1),RAMY=DEC2BIN(ROW(N5)-1)),_xlfn.CONCAT(RAMIN4,RAMIN3,RAMIN2,RAMIN1),N5)</f>
        <v>0</v>
      </c>
      <c r="O5" s="87">
        <f ca="1">IF(AND(RAMOP="11",RAMX=DEC2BIN(COLUMN(O5)-1),RAMY=DEC2BIN(ROW(O5)-1)),_xlfn.CONCAT(RAMIN4,RAMIN3,RAMIN2,RAMIN1),O5)</f>
        <v>0</v>
      </c>
      <c r="P5" s="87">
        <f ca="1">IF(AND(RAMOP="11",RAMX=DEC2BIN(COLUMN(P5)-1),RAMY=DEC2BIN(ROW(P5)-1)),_xlfn.CONCAT(RAMIN4,RAMIN3,RAMIN2,RAMIN1),P5)</f>
        <v>0</v>
      </c>
    </row>
    <row r="6" spans="1:16" x14ac:dyDescent="0.3">
      <c r="A6" s="87">
        <f ca="1">IF(AND(RAMOP="11",RAMX=DEC2BIN(COLUMN(A6)-1),RAMY=DEC2BIN(ROW(A6)-1)),_xlfn.CONCAT(RAMIN4,RAMIN3,RAMIN2,RAMIN1),A6)</f>
        <v>0</v>
      </c>
      <c r="B6" s="87">
        <f ca="1">IF(AND(RAMOP="11",RAMX=DEC2BIN(COLUMN(B6)-1),RAMY=DEC2BIN(ROW(B6)-1)),_xlfn.CONCAT(RAMIN4,RAMIN3,RAMIN2,RAMIN1),B6)</f>
        <v>0</v>
      </c>
      <c r="C6" s="87">
        <f ca="1">IF(AND(RAMOP="11",RAMX=DEC2BIN(COLUMN(C6)-1),RAMY=DEC2BIN(ROW(C6)-1)),_xlfn.CONCAT(RAMIN4,RAMIN3,RAMIN2,RAMIN1),C6)</f>
        <v>0</v>
      </c>
      <c r="D6" s="87">
        <f ca="1">IF(AND(RAMOP="11",RAMX=DEC2BIN(COLUMN(D6)-1),RAMY=DEC2BIN(ROW(D6)-1)),_xlfn.CONCAT(RAMIN4,RAMIN3,RAMIN2,RAMIN1),D6)</f>
        <v>0</v>
      </c>
      <c r="E6" s="87">
        <f ca="1">IF(AND(RAMOP="11",RAMX=DEC2BIN(COLUMN(E6)-1),RAMY=DEC2BIN(ROW(E6)-1)),_xlfn.CONCAT(RAMIN4,RAMIN3,RAMIN2,RAMIN1),E6)</f>
        <v>0</v>
      </c>
      <c r="F6" s="87">
        <f ca="1">IF(AND(RAMOP="11",RAMX=DEC2BIN(COLUMN(F6)-1),RAMY=DEC2BIN(ROW(F6)-1)),_xlfn.CONCAT(RAMIN4,RAMIN3,RAMIN2,RAMIN1),F6)</f>
        <v>0</v>
      </c>
      <c r="G6" s="87">
        <f ca="1">IF(AND(RAMOP="11",RAMX=DEC2BIN(COLUMN(G6)-1),RAMY=DEC2BIN(ROW(G6)-1)),_xlfn.CONCAT(RAMIN4,RAMIN3,RAMIN2,RAMIN1),G6)</f>
        <v>0</v>
      </c>
      <c r="H6" s="87">
        <f ca="1">IF(AND(RAMOP="11",RAMX=DEC2BIN(COLUMN(H6)-1),RAMY=DEC2BIN(ROW(H6)-1)),_xlfn.CONCAT(RAMIN4,RAMIN3,RAMIN2,RAMIN1),H6)</f>
        <v>0</v>
      </c>
      <c r="I6" s="87">
        <f ca="1">IF(AND(RAMOP="11",RAMX=DEC2BIN(COLUMN(I6)-1),RAMY=DEC2BIN(ROW(I6)-1)),_xlfn.CONCAT(RAMIN4,RAMIN3,RAMIN2,RAMIN1),I6)</f>
        <v>0</v>
      </c>
      <c r="J6" s="87">
        <f ca="1">IF(AND(RAMOP="11",RAMX=DEC2BIN(COLUMN(J6)-1),RAMY=DEC2BIN(ROW(J6)-1)),_xlfn.CONCAT(RAMIN4,RAMIN3,RAMIN2,RAMIN1),J6)</f>
        <v>0</v>
      </c>
      <c r="K6" s="87">
        <f ca="1">IF(AND(RAMOP="11",RAMX=DEC2BIN(COLUMN(K6)-1),RAMY=DEC2BIN(ROW(K6)-1)),_xlfn.CONCAT(RAMIN4,RAMIN3,RAMIN2,RAMIN1),K6)</f>
        <v>0</v>
      </c>
      <c r="L6" s="87">
        <f ca="1">IF(AND(RAMOP="11",RAMX=DEC2BIN(COLUMN(L6)-1),RAMY=DEC2BIN(ROW(L6)-1)),_xlfn.CONCAT(RAMIN4,RAMIN3,RAMIN2,RAMIN1),L6)</f>
        <v>0</v>
      </c>
      <c r="M6" s="87">
        <f ca="1">IF(AND(RAMOP="11",RAMX=DEC2BIN(COLUMN(M6)-1),RAMY=DEC2BIN(ROW(M6)-1)),_xlfn.CONCAT(RAMIN4,RAMIN3,RAMIN2,RAMIN1),M6)</f>
        <v>0</v>
      </c>
      <c r="N6" s="87">
        <f ca="1">IF(AND(RAMOP="11",RAMX=DEC2BIN(COLUMN(N6)-1),RAMY=DEC2BIN(ROW(N6)-1)),_xlfn.CONCAT(RAMIN4,RAMIN3,RAMIN2,RAMIN1),N6)</f>
        <v>0</v>
      </c>
      <c r="O6" s="87">
        <f ca="1">IF(AND(RAMOP="11",RAMX=DEC2BIN(COLUMN(O6)-1),RAMY=DEC2BIN(ROW(O6)-1)),_xlfn.CONCAT(RAMIN4,RAMIN3,RAMIN2,RAMIN1),O6)</f>
        <v>0</v>
      </c>
      <c r="P6" s="87">
        <f ca="1">IF(AND(RAMOP="11",RAMX=DEC2BIN(COLUMN(P6)-1),RAMY=DEC2BIN(ROW(P6)-1)),_xlfn.CONCAT(RAMIN4,RAMIN3,RAMIN2,RAMIN1),P6)</f>
        <v>0</v>
      </c>
    </row>
    <row r="7" spans="1:16" x14ac:dyDescent="0.3">
      <c r="A7" s="87">
        <f ca="1">IF(AND(RAMOP="11",RAMX=DEC2BIN(COLUMN(A7)-1),RAMY=DEC2BIN(ROW(A7)-1)),_xlfn.CONCAT(RAMIN4,RAMIN3,RAMIN2,RAMIN1),A7)</f>
        <v>0</v>
      </c>
      <c r="B7" s="87">
        <f ca="1">IF(AND(RAMOP="11",RAMX=DEC2BIN(COLUMN(B7)-1),RAMY=DEC2BIN(ROW(B7)-1)),_xlfn.CONCAT(RAMIN4,RAMIN3,RAMIN2,RAMIN1),B7)</f>
        <v>0</v>
      </c>
      <c r="C7" s="87">
        <f ca="1">IF(AND(RAMOP="11",RAMX=DEC2BIN(COLUMN(C7)-1),RAMY=DEC2BIN(ROW(C7)-1)),_xlfn.CONCAT(RAMIN4,RAMIN3,RAMIN2,RAMIN1),C7)</f>
        <v>0</v>
      </c>
      <c r="D7" s="87">
        <f ca="1">IF(AND(RAMOP="11",RAMX=DEC2BIN(COLUMN(D7)-1),RAMY=DEC2BIN(ROW(D7)-1)),_xlfn.CONCAT(RAMIN4,RAMIN3,RAMIN2,RAMIN1),D7)</f>
        <v>0</v>
      </c>
      <c r="E7" s="87">
        <f ca="1">IF(AND(RAMOP="11",RAMX=DEC2BIN(COLUMN(E7)-1),RAMY=DEC2BIN(ROW(E7)-1)),_xlfn.CONCAT(RAMIN4,RAMIN3,RAMIN2,RAMIN1),E7)</f>
        <v>0</v>
      </c>
      <c r="F7" s="87">
        <f ca="1">IF(AND(RAMOP="11",RAMX=DEC2BIN(COLUMN(F7)-1),RAMY=DEC2BIN(ROW(F7)-1)),_xlfn.CONCAT(RAMIN4,RAMIN3,RAMIN2,RAMIN1),F7)</f>
        <v>0</v>
      </c>
      <c r="G7" s="87">
        <f ca="1">IF(AND(RAMOP="11",RAMX=DEC2BIN(COLUMN(G7)-1),RAMY=DEC2BIN(ROW(G7)-1)),_xlfn.CONCAT(RAMIN4,RAMIN3,RAMIN2,RAMIN1),G7)</f>
        <v>0</v>
      </c>
      <c r="H7" s="87">
        <f ca="1">IF(AND(RAMOP="11",RAMX=DEC2BIN(COLUMN(H7)-1),RAMY=DEC2BIN(ROW(H7)-1)),_xlfn.CONCAT(RAMIN4,RAMIN3,RAMIN2,RAMIN1),H7)</f>
        <v>0</v>
      </c>
      <c r="I7" s="87">
        <f ca="1">IF(AND(RAMOP="11",RAMX=DEC2BIN(COLUMN(I7)-1),RAMY=DEC2BIN(ROW(I7)-1)),_xlfn.CONCAT(RAMIN4,RAMIN3,RAMIN2,RAMIN1),I7)</f>
        <v>0</v>
      </c>
      <c r="J7" s="87">
        <f ca="1">IF(AND(RAMOP="11",RAMX=DEC2BIN(COLUMN(J7)-1),RAMY=DEC2BIN(ROW(J7)-1)),_xlfn.CONCAT(RAMIN4,RAMIN3,RAMIN2,RAMIN1),J7)</f>
        <v>0</v>
      </c>
      <c r="K7" s="87">
        <f ca="1">IF(AND(RAMOP="11",RAMX=DEC2BIN(COLUMN(K7)-1),RAMY=DEC2BIN(ROW(K7)-1)),_xlfn.CONCAT(RAMIN4,RAMIN3,RAMIN2,RAMIN1),K7)</f>
        <v>0</v>
      </c>
      <c r="L7" s="87">
        <f ca="1">IF(AND(RAMOP="11",RAMX=DEC2BIN(COLUMN(L7)-1),RAMY=DEC2BIN(ROW(L7)-1)),_xlfn.CONCAT(RAMIN4,RAMIN3,RAMIN2,RAMIN1),L7)</f>
        <v>0</v>
      </c>
      <c r="M7" s="87">
        <f ca="1">IF(AND(RAMOP="11",RAMX=DEC2BIN(COLUMN(M7)-1),RAMY=DEC2BIN(ROW(M7)-1)),_xlfn.CONCAT(RAMIN4,RAMIN3,RAMIN2,RAMIN1),M7)</f>
        <v>0</v>
      </c>
      <c r="N7" s="87">
        <f ca="1">IF(AND(RAMOP="11",RAMX=DEC2BIN(COLUMN(N7)-1),RAMY=DEC2BIN(ROW(N7)-1)),_xlfn.CONCAT(RAMIN4,RAMIN3,RAMIN2,RAMIN1),N7)</f>
        <v>0</v>
      </c>
      <c r="O7" s="87">
        <f ca="1">IF(AND(RAMOP="11",RAMX=DEC2BIN(COLUMN(O7)-1),RAMY=DEC2BIN(ROW(O7)-1)),_xlfn.CONCAT(RAMIN4,RAMIN3,RAMIN2,RAMIN1),O7)</f>
        <v>0</v>
      </c>
      <c r="P7" s="87">
        <f ca="1">IF(AND(RAMOP="11",RAMX=DEC2BIN(COLUMN(P7)-1),RAMY=DEC2BIN(ROW(P7)-1)),_xlfn.CONCAT(RAMIN4,RAMIN3,RAMIN2,RAMIN1),P7)</f>
        <v>0</v>
      </c>
    </row>
    <row r="8" spans="1:16" x14ac:dyDescent="0.3">
      <c r="A8" s="87">
        <f ca="1">IF(AND(RAMOP="11",RAMX=DEC2BIN(COLUMN(A8)-1),RAMY=DEC2BIN(ROW(A8)-1)),_xlfn.CONCAT(RAMIN4,RAMIN3,RAMIN2,RAMIN1),A8)</f>
        <v>0</v>
      </c>
      <c r="B8" s="87">
        <f ca="1">IF(AND(RAMOP="11",RAMX=DEC2BIN(COLUMN(B8)-1),RAMY=DEC2BIN(ROW(B8)-1)),_xlfn.CONCAT(RAMIN4,RAMIN3,RAMIN2,RAMIN1),B8)</f>
        <v>0</v>
      </c>
      <c r="C8" s="87">
        <f ca="1">IF(AND(RAMOP="11",RAMX=DEC2BIN(COLUMN(C8)-1),RAMY=DEC2BIN(ROW(C8)-1)),_xlfn.CONCAT(RAMIN4,RAMIN3,RAMIN2,RAMIN1),C8)</f>
        <v>0</v>
      </c>
      <c r="D8" s="87">
        <f ca="1">IF(AND(RAMOP="11",RAMX=DEC2BIN(COLUMN(D8)-1),RAMY=DEC2BIN(ROW(D8)-1)),_xlfn.CONCAT(RAMIN4,RAMIN3,RAMIN2,RAMIN1),D8)</f>
        <v>0</v>
      </c>
      <c r="E8" s="87">
        <f ca="1">IF(AND(RAMOP="11",RAMX=DEC2BIN(COLUMN(E8)-1),RAMY=DEC2BIN(ROW(E8)-1)),_xlfn.CONCAT(RAMIN4,RAMIN3,RAMIN2,RAMIN1),E8)</f>
        <v>0</v>
      </c>
      <c r="F8" s="87">
        <f ca="1">IF(AND(RAMOP="11",RAMX=DEC2BIN(COLUMN(F8)-1),RAMY=DEC2BIN(ROW(F8)-1)),_xlfn.CONCAT(RAMIN4,RAMIN3,RAMIN2,RAMIN1),F8)</f>
        <v>0</v>
      </c>
      <c r="G8" s="87">
        <f ca="1">IF(AND(RAMOP="11",RAMX=DEC2BIN(COLUMN(G8)-1),RAMY=DEC2BIN(ROW(G8)-1)),_xlfn.CONCAT(RAMIN4,RAMIN3,RAMIN2,RAMIN1),G8)</f>
        <v>0</v>
      </c>
      <c r="H8" s="87">
        <f ca="1">IF(AND(RAMOP="11",RAMX=DEC2BIN(COLUMN(H8)-1),RAMY=DEC2BIN(ROW(H8)-1)),_xlfn.CONCAT(RAMIN4,RAMIN3,RAMIN2,RAMIN1),H8)</f>
        <v>0</v>
      </c>
      <c r="I8" s="87">
        <f ca="1">IF(AND(RAMOP="11",RAMX=DEC2BIN(COLUMN(I8)-1),RAMY=DEC2BIN(ROW(I8)-1)),_xlfn.CONCAT(RAMIN4,RAMIN3,RAMIN2,RAMIN1),I8)</f>
        <v>0</v>
      </c>
      <c r="J8" s="87">
        <f ca="1">IF(AND(RAMOP="11",RAMX=DEC2BIN(COLUMN(J8)-1),RAMY=DEC2BIN(ROW(J8)-1)),_xlfn.CONCAT(RAMIN4,RAMIN3,RAMIN2,RAMIN1),J8)</f>
        <v>0</v>
      </c>
      <c r="K8" s="87">
        <f ca="1">IF(AND(RAMOP="11",RAMX=DEC2BIN(COLUMN(K8)-1),RAMY=DEC2BIN(ROW(K8)-1)),_xlfn.CONCAT(RAMIN4,RAMIN3,RAMIN2,RAMIN1),K8)</f>
        <v>0</v>
      </c>
      <c r="L8" s="87">
        <f ca="1">IF(AND(RAMOP="11",RAMX=DEC2BIN(COLUMN(L8)-1),RAMY=DEC2BIN(ROW(L8)-1)),_xlfn.CONCAT(RAMIN4,RAMIN3,RAMIN2,RAMIN1),L8)</f>
        <v>0</v>
      </c>
      <c r="M8" s="87">
        <f ca="1">IF(AND(RAMOP="11",RAMX=DEC2BIN(COLUMN(M8)-1),RAMY=DEC2BIN(ROW(M8)-1)),_xlfn.CONCAT(RAMIN4,RAMIN3,RAMIN2,RAMIN1),M8)</f>
        <v>0</v>
      </c>
      <c r="N8" s="87">
        <f ca="1">IF(AND(RAMOP="11",RAMX=DEC2BIN(COLUMN(N8)-1),RAMY=DEC2BIN(ROW(N8)-1)),_xlfn.CONCAT(RAMIN4,RAMIN3,RAMIN2,RAMIN1),N8)</f>
        <v>0</v>
      </c>
      <c r="O8" s="87">
        <f ca="1">IF(AND(RAMOP="11",RAMX=DEC2BIN(COLUMN(O8)-1),RAMY=DEC2BIN(ROW(O8)-1)),_xlfn.CONCAT(RAMIN4,RAMIN3,RAMIN2,RAMIN1),O8)</f>
        <v>0</v>
      </c>
      <c r="P8" s="87">
        <f ca="1">IF(AND(RAMOP="11",RAMX=DEC2BIN(COLUMN(P8)-1),RAMY=DEC2BIN(ROW(P8)-1)),_xlfn.CONCAT(RAMIN4,RAMIN3,RAMIN2,RAMIN1),P8)</f>
        <v>0</v>
      </c>
    </row>
    <row r="9" spans="1:16" x14ac:dyDescent="0.3">
      <c r="A9" s="87">
        <f ca="1">IF(AND(RAMOP="11",RAMX=DEC2BIN(COLUMN(A9)-1),RAMY=DEC2BIN(ROW(A9)-1)),_xlfn.CONCAT(RAMIN4,RAMIN3,RAMIN2,RAMIN1),A9)</f>
        <v>0</v>
      </c>
      <c r="B9" s="87">
        <f ca="1">IF(AND(RAMOP="11",RAMX=DEC2BIN(COLUMN(B9)-1),RAMY=DEC2BIN(ROW(B9)-1)),_xlfn.CONCAT(RAMIN4,RAMIN3,RAMIN2,RAMIN1),B9)</f>
        <v>0</v>
      </c>
      <c r="C9" s="87">
        <f ca="1">IF(AND(RAMOP="11",RAMX=DEC2BIN(COLUMN(C9)-1),RAMY=DEC2BIN(ROW(C9)-1)),_xlfn.CONCAT(RAMIN4,RAMIN3,RAMIN2,RAMIN1),C9)</f>
        <v>0</v>
      </c>
      <c r="D9" s="87">
        <f ca="1">IF(AND(RAMOP="11",RAMX=DEC2BIN(COLUMN(D9)-1),RAMY=DEC2BIN(ROW(D9)-1)),_xlfn.CONCAT(RAMIN4,RAMIN3,RAMIN2,RAMIN1),D9)</f>
        <v>0</v>
      </c>
      <c r="E9" s="87">
        <f ca="1">IF(AND(RAMOP="11",RAMX=DEC2BIN(COLUMN(E9)-1),RAMY=DEC2BIN(ROW(E9)-1)),_xlfn.CONCAT(RAMIN4,RAMIN3,RAMIN2,RAMIN1),E9)</f>
        <v>0</v>
      </c>
      <c r="F9" s="87">
        <f ca="1">IF(AND(RAMOP="11",RAMX=DEC2BIN(COLUMN(F9)-1),RAMY=DEC2BIN(ROW(F9)-1)),_xlfn.CONCAT(RAMIN4,RAMIN3,RAMIN2,RAMIN1),F9)</f>
        <v>0</v>
      </c>
      <c r="G9" s="87">
        <f ca="1">IF(AND(RAMOP="11",RAMX=DEC2BIN(COLUMN(G9)-1),RAMY=DEC2BIN(ROW(G9)-1)),_xlfn.CONCAT(RAMIN4,RAMIN3,RAMIN2,RAMIN1),G9)</f>
        <v>0</v>
      </c>
      <c r="H9" s="87">
        <f ca="1">IF(AND(RAMOP="11",RAMX=DEC2BIN(COLUMN(H9)-1),RAMY=DEC2BIN(ROW(H9)-1)),_xlfn.CONCAT(RAMIN4,RAMIN3,RAMIN2,RAMIN1),H9)</f>
        <v>0</v>
      </c>
      <c r="I9" s="87">
        <f ca="1">IF(AND(RAMOP="11",RAMX=DEC2BIN(COLUMN(I9)-1),RAMY=DEC2BIN(ROW(I9)-1)),_xlfn.CONCAT(RAMIN4,RAMIN3,RAMIN2,RAMIN1),I9)</f>
        <v>0</v>
      </c>
      <c r="J9" s="87">
        <f ca="1">IF(AND(RAMOP="11",RAMX=DEC2BIN(COLUMN(J9)-1),RAMY=DEC2BIN(ROW(J9)-1)),_xlfn.CONCAT(RAMIN4,RAMIN3,RAMIN2,RAMIN1),J9)</f>
        <v>0</v>
      </c>
      <c r="K9" s="87">
        <f ca="1">IF(AND(RAMOP="11",RAMX=DEC2BIN(COLUMN(K9)-1),RAMY=DEC2BIN(ROW(K9)-1)),_xlfn.CONCAT(RAMIN4,RAMIN3,RAMIN2,RAMIN1),K9)</f>
        <v>0</v>
      </c>
      <c r="L9" s="87">
        <f ca="1">IF(AND(RAMOP="11",RAMX=DEC2BIN(COLUMN(L9)-1),RAMY=DEC2BIN(ROW(L9)-1)),_xlfn.CONCAT(RAMIN4,RAMIN3,RAMIN2,RAMIN1),L9)</f>
        <v>0</v>
      </c>
      <c r="M9" s="87">
        <f ca="1">IF(AND(RAMOP="11",RAMX=DEC2BIN(COLUMN(M9)-1),RAMY=DEC2BIN(ROW(M9)-1)),_xlfn.CONCAT(RAMIN4,RAMIN3,RAMIN2,RAMIN1),M9)</f>
        <v>0</v>
      </c>
      <c r="N9" s="87">
        <f ca="1">IF(AND(RAMOP="11",RAMX=DEC2BIN(COLUMN(N9)-1),RAMY=DEC2BIN(ROW(N9)-1)),_xlfn.CONCAT(RAMIN4,RAMIN3,RAMIN2,RAMIN1),N9)</f>
        <v>0</v>
      </c>
      <c r="O9" s="87">
        <f ca="1">IF(AND(RAMOP="11",RAMX=DEC2BIN(COLUMN(O9)-1),RAMY=DEC2BIN(ROW(O9)-1)),_xlfn.CONCAT(RAMIN4,RAMIN3,RAMIN2,RAMIN1),O9)</f>
        <v>0</v>
      </c>
      <c r="P9" s="87">
        <f ca="1">IF(AND(RAMOP="11",RAMX=DEC2BIN(COLUMN(P9)-1),RAMY=DEC2BIN(ROW(P9)-1)),_xlfn.CONCAT(RAMIN4,RAMIN3,RAMIN2,RAMIN1),P9)</f>
        <v>0</v>
      </c>
    </row>
    <row r="10" spans="1:16" x14ac:dyDescent="0.3">
      <c r="A10" s="87">
        <f ca="1">IF(AND(RAMOP="11",RAMX=DEC2BIN(COLUMN(A10)-1),RAMY=DEC2BIN(ROW(A10)-1)),_xlfn.CONCAT(RAMIN4,RAMIN3,RAMIN2,RAMIN1),A10)</f>
        <v>0</v>
      </c>
      <c r="B10" s="87">
        <f ca="1">IF(AND(RAMOP="11",RAMX=DEC2BIN(COLUMN(B10)-1),RAMY=DEC2BIN(ROW(B10)-1)),_xlfn.CONCAT(RAMIN4,RAMIN3,RAMIN2,RAMIN1),B10)</f>
        <v>0</v>
      </c>
      <c r="C10" s="87">
        <f ca="1">IF(AND(RAMOP="11",RAMX=DEC2BIN(COLUMN(C10)-1),RAMY=DEC2BIN(ROW(C10)-1)),_xlfn.CONCAT(RAMIN4,RAMIN3,RAMIN2,RAMIN1),C10)</f>
        <v>0</v>
      </c>
      <c r="D10" s="87">
        <f ca="1">IF(AND(RAMOP="11",RAMX=DEC2BIN(COLUMN(D10)-1),RAMY=DEC2BIN(ROW(D10)-1)),_xlfn.CONCAT(RAMIN4,RAMIN3,RAMIN2,RAMIN1),D10)</f>
        <v>0</v>
      </c>
      <c r="E10" s="87">
        <f ca="1">IF(AND(RAMOP="11",RAMX=DEC2BIN(COLUMN(E10)-1),RAMY=DEC2BIN(ROW(E10)-1)),_xlfn.CONCAT(RAMIN4,RAMIN3,RAMIN2,RAMIN1),E10)</f>
        <v>0</v>
      </c>
      <c r="F10" s="87">
        <f ca="1">IF(AND(RAMOP="11",RAMX=DEC2BIN(COLUMN(F10)-1),RAMY=DEC2BIN(ROW(F10)-1)),_xlfn.CONCAT(RAMIN4,RAMIN3,RAMIN2,RAMIN1),F10)</f>
        <v>0</v>
      </c>
      <c r="G10" s="87">
        <f ca="1">IF(AND(RAMOP="11",RAMX=DEC2BIN(COLUMN(G10)-1),RAMY=DEC2BIN(ROW(G10)-1)),_xlfn.CONCAT(RAMIN4,RAMIN3,RAMIN2,RAMIN1),G10)</f>
        <v>0</v>
      </c>
      <c r="H10" s="87">
        <f ca="1">IF(AND(RAMOP="11",RAMX=DEC2BIN(COLUMN(H10)-1),RAMY=DEC2BIN(ROW(H10)-1)),_xlfn.CONCAT(RAMIN4,RAMIN3,RAMIN2,RAMIN1),H10)</f>
        <v>0</v>
      </c>
      <c r="I10" s="87">
        <f ca="1">IF(AND(RAMOP="11",RAMX=DEC2BIN(COLUMN(I10)-1),RAMY=DEC2BIN(ROW(I10)-1)),_xlfn.CONCAT(RAMIN4,RAMIN3,RAMIN2,RAMIN1),I10)</f>
        <v>0</v>
      </c>
      <c r="J10" s="87">
        <f ca="1">IF(AND(RAMOP="11",RAMX=DEC2BIN(COLUMN(J10)-1),RAMY=DEC2BIN(ROW(J10)-1)),_xlfn.CONCAT(RAMIN4,RAMIN3,RAMIN2,RAMIN1),J10)</f>
        <v>0</v>
      </c>
      <c r="K10" s="87">
        <f ca="1">IF(AND(RAMOP="11",RAMX=DEC2BIN(COLUMN(K10)-1),RAMY=DEC2BIN(ROW(K10)-1)),_xlfn.CONCAT(RAMIN4,RAMIN3,RAMIN2,RAMIN1),K10)</f>
        <v>0</v>
      </c>
      <c r="L10" s="87">
        <f ca="1">IF(AND(RAMOP="11",RAMX=DEC2BIN(COLUMN(L10)-1),RAMY=DEC2BIN(ROW(L10)-1)),_xlfn.CONCAT(RAMIN4,RAMIN3,RAMIN2,RAMIN1),L10)</f>
        <v>0</v>
      </c>
      <c r="M10" s="87">
        <f ca="1">IF(AND(RAMOP="11",RAMX=DEC2BIN(COLUMN(M10)-1),RAMY=DEC2BIN(ROW(M10)-1)),_xlfn.CONCAT(RAMIN4,RAMIN3,RAMIN2,RAMIN1),M10)</f>
        <v>0</v>
      </c>
      <c r="N10" s="87">
        <f ca="1">IF(AND(RAMOP="11",RAMX=DEC2BIN(COLUMN(N10)-1),RAMY=DEC2BIN(ROW(N10)-1)),_xlfn.CONCAT(RAMIN4,RAMIN3,RAMIN2,RAMIN1),N10)</f>
        <v>0</v>
      </c>
      <c r="O10" s="87">
        <f ca="1">IF(AND(RAMOP="11",RAMX=DEC2BIN(COLUMN(O10)-1),RAMY=DEC2BIN(ROW(O10)-1)),_xlfn.CONCAT(RAMIN4,RAMIN3,RAMIN2,RAMIN1),O10)</f>
        <v>0</v>
      </c>
      <c r="P10" s="87">
        <f ca="1">IF(AND(RAMOP="11",RAMX=DEC2BIN(COLUMN(P10)-1),RAMY=DEC2BIN(ROW(P10)-1)),_xlfn.CONCAT(RAMIN4,RAMIN3,RAMIN2,RAMIN1),P10)</f>
        <v>0</v>
      </c>
    </row>
    <row r="11" spans="1:16" x14ac:dyDescent="0.3">
      <c r="A11" s="87">
        <f ca="1">IF(AND(RAMOP="11",RAMX=DEC2BIN(COLUMN(A11)-1),RAMY=DEC2BIN(ROW(A11)-1)),_xlfn.CONCAT(RAMIN4,RAMIN3,RAMIN2,RAMIN1),A11)</f>
        <v>0</v>
      </c>
      <c r="B11" s="87">
        <f ca="1">IF(AND(RAMOP="11",RAMX=DEC2BIN(COLUMN(B11)-1),RAMY=DEC2BIN(ROW(B11)-1)),_xlfn.CONCAT(RAMIN4,RAMIN3,RAMIN2,RAMIN1),B11)</f>
        <v>0</v>
      </c>
      <c r="C11" s="87">
        <f ca="1">IF(AND(RAMOP="11",RAMX=DEC2BIN(COLUMN(C11)-1),RAMY=DEC2BIN(ROW(C11)-1)),_xlfn.CONCAT(RAMIN4,RAMIN3,RAMIN2,RAMIN1),C11)</f>
        <v>0</v>
      </c>
      <c r="D11" s="87">
        <f ca="1">IF(AND(RAMOP="11",RAMX=DEC2BIN(COLUMN(D11)-1),RAMY=DEC2BIN(ROW(D11)-1)),_xlfn.CONCAT(RAMIN4,RAMIN3,RAMIN2,RAMIN1),D11)</f>
        <v>0</v>
      </c>
      <c r="E11" s="87">
        <f ca="1">IF(AND(RAMOP="11",RAMX=DEC2BIN(COLUMN(E11)-1),RAMY=DEC2BIN(ROW(E11)-1)),_xlfn.CONCAT(RAMIN4,RAMIN3,RAMIN2,RAMIN1),E11)</f>
        <v>0</v>
      </c>
      <c r="F11" s="87">
        <f ca="1">IF(AND(RAMOP="11",RAMX=DEC2BIN(COLUMN(F11)-1),RAMY=DEC2BIN(ROW(F11)-1)),_xlfn.CONCAT(RAMIN4,RAMIN3,RAMIN2,RAMIN1),F11)</f>
        <v>0</v>
      </c>
      <c r="G11" s="87">
        <f ca="1">IF(AND(RAMOP="11",RAMX=DEC2BIN(COLUMN(G11)-1),RAMY=DEC2BIN(ROW(G11)-1)),_xlfn.CONCAT(RAMIN4,RAMIN3,RAMIN2,RAMIN1),G11)</f>
        <v>0</v>
      </c>
      <c r="H11" s="87">
        <f ca="1">IF(AND(RAMOP="11",RAMX=DEC2BIN(COLUMN(H11)-1),RAMY=DEC2BIN(ROW(H11)-1)),_xlfn.CONCAT(RAMIN4,RAMIN3,RAMIN2,RAMIN1),H11)</f>
        <v>0</v>
      </c>
      <c r="I11" s="87">
        <f ca="1">IF(AND(RAMOP="11",RAMX=DEC2BIN(COLUMN(I11)-1),RAMY=DEC2BIN(ROW(I11)-1)),_xlfn.CONCAT(RAMIN4,RAMIN3,RAMIN2,RAMIN1),I11)</f>
        <v>0</v>
      </c>
      <c r="J11" s="87">
        <f ca="1">IF(AND(RAMOP="11",RAMX=DEC2BIN(COLUMN(J11)-1),RAMY=DEC2BIN(ROW(J11)-1)),_xlfn.CONCAT(RAMIN4,RAMIN3,RAMIN2,RAMIN1),J11)</f>
        <v>0</v>
      </c>
      <c r="K11" s="87">
        <f ca="1">IF(AND(RAMOP="11",RAMX=DEC2BIN(COLUMN(K11)-1),RAMY=DEC2BIN(ROW(K11)-1)),_xlfn.CONCAT(RAMIN4,RAMIN3,RAMIN2,RAMIN1),K11)</f>
        <v>0</v>
      </c>
      <c r="L11" s="87">
        <f ca="1">IF(AND(RAMOP="11",RAMX=DEC2BIN(COLUMN(L11)-1),RAMY=DEC2BIN(ROW(L11)-1)),_xlfn.CONCAT(RAMIN4,RAMIN3,RAMIN2,RAMIN1),L11)</f>
        <v>0</v>
      </c>
      <c r="M11" s="87">
        <f ca="1">IF(AND(RAMOP="11",RAMX=DEC2BIN(COLUMN(M11)-1),RAMY=DEC2BIN(ROW(M11)-1)),_xlfn.CONCAT(RAMIN4,RAMIN3,RAMIN2,RAMIN1),M11)</f>
        <v>0</v>
      </c>
      <c r="N11" s="87">
        <f ca="1">IF(AND(RAMOP="11",RAMX=DEC2BIN(COLUMN(N11)-1),RAMY=DEC2BIN(ROW(N11)-1)),_xlfn.CONCAT(RAMIN4,RAMIN3,RAMIN2,RAMIN1),N11)</f>
        <v>0</v>
      </c>
      <c r="O11" s="87">
        <f ca="1">IF(AND(RAMOP="11",RAMX=DEC2BIN(COLUMN(O11)-1),RAMY=DEC2BIN(ROW(O11)-1)),_xlfn.CONCAT(RAMIN4,RAMIN3,RAMIN2,RAMIN1),O11)</f>
        <v>0</v>
      </c>
      <c r="P11" s="87">
        <f ca="1">IF(AND(RAMOP="11",RAMX=DEC2BIN(COLUMN(P11)-1),RAMY=DEC2BIN(ROW(P11)-1)),_xlfn.CONCAT(RAMIN4,RAMIN3,RAMIN2,RAMIN1),P11)</f>
        <v>0</v>
      </c>
    </row>
    <row r="12" spans="1:16" x14ac:dyDescent="0.3">
      <c r="A12" s="87">
        <f ca="1">IF(AND(RAMOP="11",RAMX=DEC2BIN(COLUMN(A12)-1),RAMY=DEC2BIN(ROW(A12)-1)),_xlfn.CONCAT(RAMIN4,RAMIN3,RAMIN2,RAMIN1),A12)</f>
        <v>0</v>
      </c>
      <c r="B12" s="87">
        <f ca="1">IF(AND(RAMOP="11",RAMX=DEC2BIN(COLUMN(B12)-1),RAMY=DEC2BIN(ROW(B12)-1)),_xlfn.CONCAT(RAMIN4,RAMIN3,RAMIN2,RAMIN1),B12)</f>
        <v>0</v>
      </c>
      <c r="C12" s="87">
        <f ca="1">IF(AND(RAMOP="11",RAMX=DEC2BIN(COLUMN(C12)-1),RAMY=DEC2BIN(ROW(C12)-1)),_xlfn.CONCAT(RAMIN4,RAMIN3,RAMIN2,RAMIN1),C12)</f>
        <v>0</v>
      </c>
      <c r="D12" s="87">
        <f ca="1">IF(AND(RAMOP="11",RAMX=DEC2BIN(COLUMN(D12)-1),RAMY=DEC2BIN(ROW(D12)-1)),_xlfn.CONCAT(RAMIN4,RAMIN3,RAMIN2,RAMIN1),D12)</f>
        <v>0</v>
      </c>
      <c r="E12" s="87">
        <f ca="1">IF(AND(RAMOP="11",RAMX=DEC2BIN(COLUMN(E12)-1),RAMY=DEC2BIN(ROW(E12)-1)),_xlfn.CONCAT(RAMIN4,RAMIN3,RAMIN2,RAMIN1),E12)</f>
        <v>0</v>
      </c>
      <c r="F12" s="87">
        <f ca="1">IF(AND(RAMOP="11",RAMX=DEC2BIN(COLUMN(F12)-1),RAMY=DEC2BIN(ROW(F12)-1)),_xlfn.CONCAT(RAMIN4,RAMIN3,RAMIN2,RAMIN1),F12)</f>
        <v>0</v>
      </c>
      <c r="G12" s="87">
        <f ca="1">IF(AND(RAMOP="11",RAMX=DEC2BIN(COLUMN(G12)-1),RAMY=DEC2BIN(ROW(G12)-1)),_xlfn.CONCAT(RAMIN4,RAMIN3,RAMIN2,RAMIN1),G12)</f>
        <v>0</v>
      </c>
      <c r="H12" s="87">
        <f ca="1">IF(AND(RAMOP="11",RAMX=DEC2BIN(COLUMN(H12)-1),RAMY=DEC2BIN(ROW(H12)-1)),_xlfn.CONCAT(RAMIN4,RAMIN3,RAMIN2,RAMIN1),H12)</f>
        <v>0</v>
      </c>
      <c r="I12" s="87">
        <f ca="1">IF(AND(RAMOP="11",RAMX=DEC2BIN(COLUMN(I12)-1),RAMY=DEC2BIN(ROW(I12)-1)),_xlfn.CONCAT(RAMIN4,RAMIN3,RAMIN2,RAMIN1),I12)</f>
        <v>0</v>
      </c>
      <c r="J12" s="87">
        <f ca="1">IF(AND(RAMOP="11",RAMX=DEC2BIN(COLUMN(J12)-1),RAMY=DEC2BIN(ROW(J12)-1)),_xlfn.CONCAT(RAMIN4,RAMIN3,RAMIN2,RAMIN1),J12)</f>
        <v>0</v>
      </c>
      <c r="K12" s="87">
        <f ca="1">IF(AND(RAMOP="11",RAMX=DEC2BIN(COLUMN(K12)-1),RAMY=DEC2BIN(ROW(K12)-1)),_xlfn.CONCAT(RAMIN4,RAMIN3,RAMIN2,RAMIN1),K12)</f>
        <v>0</v>
      </c>
      <c r="L12" s="87">
        <f ca="1">IF(AND(RAMOP="11",RAMX=DEC2BIN(COLUMN(L12)-1),RAMY=DEC2BIN(ROW(L12)-1)),_xlfn.CONCAT(RAMIN4,RAMIN3,RAMIN2,RAMIN1),L12)</f>
        <v>0</v>
      </c>
      <c r="M12" s="87">
        <f ca="1">IF(AND(RAMOP="11",RAMX=DEC2BIN(COLUMN(M12)-1),RAMY=DEC2BIN(ROW(M12)-1)),_xlfn.CONCAT(RAMIN4,RAMIN3,RAMIN2,RAMIN1),M12)</f>
        <v>0</v>
      </c>
      <c r="N12" s="87">
        <f ca="1">IF(AND(RAMOP="11",RAMX=DEC2BIN(COLUMN(N12)-1),RAMY=DEC2BIN(ROW(N12)-1)),_xlfn.CONCAT(RAMIN4,RAMIN3,RAMIN2,RAMIN1),N12)</f>
        <v>0</v>
      </c>
      <c r="O12" s="87">
        <f ca="1">IF(AND(RAMOP="11",RAMX=DEC2BIN(COLUMN(O12)-1),RAMY=DEC2BIN(ROW(O12)-1)),_xlfn.CONCAT(RAMIN4,RAMIN3,RAMIN2,RAMIN1),O12)</f>
        <v>0</v>
      </c>
      <c r="P12" s="87">
        <f ca="1">IF(AND(RAMOP="11",RAMX=DEC2BIN(COLUMN(P12)-1),RAMY=DEC2BIN(ROW(P12)-1)),_xlfn.CONCAT(RAMIN4,RAMIN3,RAMIN2,RAMIN1),P12)</f>
        <v>0</v>
      </c>
    </row>
    <row r="13" spans="1:16" x14ac:dyDescent="0.3">
      <c r="A13" s="87">
        <f ca="1">IF(AND(RAMOP="11",RAMX=DEC2BIN(COLUMN(A13)-1),RAMY=DEC2BIN(ROW(A13)-1)),_xlfn.CONCAT(RAMIN4,RAMIN3,RAMIN2,RAMIN1),A13)</f>
        <v>0</v>
      </c>
      <c r="B13" s="87">
        <f ca="1">IF(AND(RAMOP="11",RAMX=DEC2BIN(COLUMN(B13)-1),RAMY=DEC2BIN(ROW(B13)-1)),_xlfn.CONCAT(RAMIN4,RAMIN3,RAMIN2,RAMIN1),B13)</f>
        <v>0</v>
      </c>
      <c r="C13" s="87">
        <f ca="1">IF(AND(RAMOP="11",RAMX=DEC2BIN(COLUMN(C13)-1),RAMY=DEC2BIN(ROW(C13)-1)),_xlfn.CONCAT(RAMIN4,RAMIN3,RAMIN2,RAMIN1),C13)</f>
        <v>0</v>
      </c>
      <c r="D13" s="87">
        <f ca="1">IF(AND(RAMOP="11",RAMX=DEC2BIN(COLUMN(D13)-1),RAMY=DEC2BIN(ROW(D13)-1)),_xlfn.CONCAT(RAMIN4,RAMIN3,RAMIN2,RAMIN1),D13)</f>
        <v>0</v>
      </c>
      <c r="E13" s="87">
        <f ca="1">IF(AND(RAMOP="11",RAMX=DEC2BIN(COLUMN(E13)-1),RAMY=DEC2BIN(ROW(E13)-1)),_xlfn.CONCAT(RAMIN4,RAMIN3,RAMIN2,RAMIN1),E13)</f>
        <v>0</v>
      </c>
      <c r="F13" s="87">
        <f ca="1">IF(AND(RAMOP="11",RAMX=DEC2BIN(COLUMN(F13)-1),RAMY=DEC2BIN(ROW(F13)-1)),_xlfn.CONCAT(RAMIN4,RAMIN3,RAMIN2,RAMIN1),F13)</f>
        <v>0</v>
      </c>
      <c r="G13" s="87">
        <f ca="1">IF(AND(RAMOP="11",RAMX=DEC2BIN(COLUMN(G13)-1),RAMY=DEC2BIN(ROW(G13)-1)),_xlfn.CONCAT(RAMIN4,RAMIN3,RAMIN2,RAMIN1),G13)</f>
        <v>0</v>
      </c>
      <c r="H13" s="87">
        <f ca="1">IF(AND(RAMOP="11",RAMX=DEC2BIN(COLUMN(H13)-1),RAMY=DEC2BIN(ROW(H13)-1)),_xlfn.CONCAT(RAMIN4,RAMIN3,RAMIN2,RAMIN1),H13)</f>
        <v>0</v>
      </c>
      <c r="I13" s="87">
        <f ca="1">IF(AND(RAMOP="11",RAMX=DEC2BIN(COLUMN(I13)-1),RAMY=DEC2BIN(ROW(I13)-1)),_xlfn.CONCAT(RAMIN4,RAMIN3,RAMIN2,RAMIN1),I13)</f>
        <v>0</v>
      </c>
      <c r="J13" s="87">
        <f ca="1">IF(AND(RAMOP="11",RAMX=DEC2BIN(COLUMN(J13)-1),RAMY=DEC2BIN(ROW(J13)-1)),_xlfn.CONCAT(RAMIN4,RAMIN3,RAMIN2,RAMIN1),J13)</f>
        <v>0</v>
      </c>
      <c r="K13" s="87">
        <f ca="1">IF(AND(RAMOP="11",RAMX=DEC2BIN(COLUMN(K13)-1),RAMY=DEC2BIN(ROW(K13)-1)),_xlfn.CONCAT(RAMIN4,RAMIN3,RAMIN2,RAMIN1),K13)</f>
        <v>0</v>
      </c>
      <c r="L13" s="87">
        <f ca="1">IF(AND(RAMOP="11",RAMX=DEC2BIN(COLUMN(L13)-1),RAMY=DEC2BIN(ROW(L13)-1)),_xlfn.CONCAT(RAMIN4,RAMIN3,RAMIN2,RAMIN1),L13)</f>
        <v>0</v>
      </c>
      <c r="M13" s="87">
        <f ca="1">IF(AND(RAMOP="11",RAMX=DEC2BIN(COLUMN(M13)-1),RAMY=DEC2BIN(ROW(M13)-1)),_xlfn.CONCAT(RAMIN4,RAMIN3,RAMIN2,RAMIN1),M13)</f>
        <v>0</v>
      </c>
      <c r="N13" s="87">
        <f ca="1">IF(AND(RAMOP="11",RAMX=DEC2BIN(COLUMN(N13)-1),RAMY=DEC2BIN(ROW(N13)-1)),_xlfn.CONCAT(RAMIN4,RAMIN3,RAMIN2,RAMIN1),N13)</f>
        <v>0</v>
      </c>
      <c r="O13" s="87">
        <f ca="1">IF(AND(RAMOP="11",RAMX=DEC2BIN(COLUMN(O13)-1),RAMY=DEC2BIN(ROW(O13)-1)),_xlfn.CONCAT(RAMIN4,RAMIN3,RAMIN2,RAMIN1),O13)</f>
        <v>0</v>
      </c>
      <c r="P13" s="87">
        <f ca="1">IF(AND(RAMOP="11",RAMX=DEC2BIN(COLUMN(P13)-1),RAMY=DEC2BIN(ROW(P13)-1)),_xlfn.CONCAT(RAMIN4,RAMIN3,RAMIN2,RAMIN1),P13)</f>
        <v>0</v>
      </c>
    </row>
    <row r="14" spans="1:16" x14ac:dyDescent="0.3">
      <c r="A14" s="87">
        <f ca="1">IF(AND(RAMOP="11",RAMX=DEC2BIN(COLUMN(A14)-1),RAMY=DEC2BIN(ROW(A14)-1)),_xlfn.CONCAT(RAMIN4,RAMIN3,RAMIN2,RAMIN1),A14)</f>
        <v>0</v>
      </c>
      <c r="B14" s="87">
        <f ca="1">IF(AND(RAMOP="11",RAMX=DEC2BIN(COLUMN(B14)-1),RAMY=DEC2BIN(ROW(B14)-1)),_xlfn.CONCAT(RAMIN4,RAMIN3,RAMIN2,RAMIN1),B14)</f>
        <v>0</v>
      </c>
      <c r="C14" s="87">
        <f ca="1">IF(AND(RAMOP="11",RAMX=DEC2BIN(COLUMN(C14)-1),RAMY=DEC2BIN(ROW(C14)-1)),_xlfn.CONCAT(RAMIN4,RAMIN3,RAMIN2,RAMIN1),C14)</f>
        <v>0</v>
      </c>
      <c r="D14" s="87">
        <f ca="1">IF(AND(RAMOP="11",RAMX=DEC2BIN(COLUMN(D14)-1),RAMY=DEC2BIN(ROW(D14)-1)),_xlfn.CONCAT(RAMIN4,RAMIN3,RAMIN2,RAMIN1),D14)</f>
        <v>0</v>
      </c>
      <c r="E14" s="87">
        <f ca="1">IF(AND(RAMOP="11",RAMX=DEC2BIN(COLUMN(E14)-1),RAMY=DEC2BIN(ROW(E14)-1)),_xlfn.CONCAT(RAMIN4,RAMIN3,RAMIN2,RAMIN1),E14)</f>
        <v>0</v>
      </c>
      <c r="F14" s="87">
        <f ca="1">IF(AND(RAMOP="11",RAMX=DEC2BIN(COLUMN(F14)-1),RAMY=DEC2BIN(ROW(F14)-1)),_xlfn.CONCAT(RAMIN4,RAMIN3,RAMIN2,RAMIN1),F14)</f>
        <v>0</v>
      </c>
      <c r="G14" s="87">
        <f ca="1">IF(AND(RAMOP="11",RAMX=DEC2BIN(COLUMN(G14)-1),RAMY=DEC2BIN(ROW(G14)-1)),_xlfn.CONCAT(RAMIN4,RAMIN3,RAMIN2,RAMIN1),G14)</f>
        <v>0</v>
      </c>
      <c r="H14" s="87">
        <f ca="1">IF(AND(RAMOP="11",RAMX=DEC2BIN(COLUMN(H14)-1),RAMY=DEC2BIN(ROW(H14)-1)),_xlfn.CONCAT(RAMIN4,RAMIN3,RAMIN2,RAMIN1),H14)</f>
        <v>0</v>
      </c>
      <c r="I14" s="87">
        <f ca="1">IF(AND(RAMOP="11",RAMX=DEC2BIN(COLUMN(I14)-1),RAMY=DEC2BIN(ROW(I14)-1)),_xlfn.CONCAT(RAMIN4,RAMIN3,RAMIN2,RAMIN1),I14)</f>
        <v>0</v>
      </c>
      <c r="J14" s="87">
        <f ca="1">IF(AND(RAMOP="11",RAMX=DEC2BIN(COLUMN(J14)-1),RAMY=DEC2BIN(ROW(J14)-1)),_xlfn.CONCAT(RAMIN4,RAMIN3,RAMIN2,RAMIN1),J14)</f>
        <v>0</v>
      </c>
      <c r="K14" s="87">
        <f ca="1">IF(AND(RAMOP="11",RAMX=DEC2BIN(COLUMN(K14)-1),RAMY=DEC2BIN(ROW(K14)-1)),_xlfn.CONCAT(RAMIN4,RAMIN3,RAMIN2,RAMIN1),K14)</f>
        <v>0</v>
      </c>
      <c r="L14" s="87">
        <f ca="1">IF(AND(RAMOP="11",RAMX=DEC2BIN(COLUMN(L14)-1),RAMY=DEC2BIN(ROW(L14)-1)),_xlfn.CONCAT(RAMIN4,RAMIN3,RAMIN2,RAMIN1),L14)</f>
        <v>0</v>
      </c>
      <c r="M14" s="87">
        <f ca="1">IF(AND(RAMOP="11",RAMX=DEC2BIN(COLUMN(M14)-1),RAMY=DEC2BIN(ROW(M14)-1)),_xlfn.CONCAT(RAMIN4,RAMIN3,RAMIN2,RAMIN1),M14)</f>
        <v>0</v>
      </c>
      <c r="N14" s="87">
        <f ca="1">IF(AND(RAMOP="11",RAMX=DEC2BIN(COLUMN(N14)-1),RAMY=DEC2BIN(ROW(N14)-1)),_xlfn.CONCAT(RAMIN4,RAMIN3,RAMIN2,RAMIN1),N14)</f>
        <v>0</v>
      </c>
      <c r="O14" s="87">
        <f ca="1">IF(AND(RAMOP="11",RAMX=DEC2BIN(COLUMN(O14)-1),RAMY=DEC2BIN(ROW(O14)-1)),_xlfn.CONCAT(RAMIN4,RAMIN3,RAMIN2,RAMIN1),O14)</f>
        <v>0</v>
      </c>
      <c r="P14" s="87">
        <f ca="1">IF(AND(RAMOP="11",RAMX=DEC2BIN(COLUMN(P14)-1),RAMY=DEC2BIN(ROW(P14)-1)),_xlfn.CONCAT(RAMIN4,RAMIN3,RAMIN2,RAMIN1),P14)</f>
        <v>0</v>
      </c>
    </row>
    <row r="15" spans="1:16" x14ac:dyDescent="0.3">
      <c r="A15" s="87">
        <f ca="1">IF(AND(RAMOP="11",RAMX=DEC2BIN(COLUMN(A15)-1),RAMY=DEC2BIN(ROW(A15)-1)),_xlfn.CONCAT(RAMIN4,RAMIN3,RAMIN2,RAMIN1),A15)</f>
        <v>0</v>
      </c>
      <c r="B15" s="87">
        <f ca="1">IF(AND(RAMOP="11",RAMX=DEC2BIN(COLUMN(B15)-1),RAMY=DEC2BIN(ROW(B15)-1)),_xlfn.CONCAT(RAMIN4,RAMIN3,RAMIN2,RAMIN1),B15)</f>
        <v>0</v>
      </c>
      <c r="C15" s="87">
        <f ca="1">IF(AND(RAMOP="11",RAMX=DEC2BIN(COLUMN(C15)-1),RAMY=DEC2BIN(ROW(C15)-1)),_xlfn.CONCAT(RAMIN4,RAMIN3,RAMIN2,RAMIN1),C15)</f>
        <v>0</v>
      </c>
      <c r="D15" s="87">
        <f ca="1">IF(AND(RAMOP="11",RAMX=DEC2BIN(COLUMN(D15)-1),RAMY=DEC2BIN(ROW(D15)-1)),_xlfn.CONCAT(RAMIN4,RAMIN3,RAMIN2,RAMIN1),D15)</f>
        <v>0</v>
      </c>
      <c r="E15" s="87">
        <f ca="1">IF(AND(RAMOP="11",RAMX=DEC2BIN(COLUMN(E15)-1),RAMY=DEC2BIN(ROW(E15)-1)),_xlfn.CONCAT(RAMIN4,RAMIN3,RAMIN2,RAMIN1),E15)</f>
        <v>0</v>
      </c>
      <c r="F15" s="87">
        <f ca="1">IF(AND(RAMOP="11",RAMX=DEC2BIN(COLUMN(F15)-1),RAMY=DEC2BIN(ROW(F15)-1)),_xlfn.CONCAT(RAMIN4,RAMIN3,RAMIN2,RAMIN1),F15)</f>
        <v>0</v>
      </c>
      <c r="G15" s="87">
        <f ca="1">IF(AND(RAMOP="11",RAMX=DEC2BIN(COLUMN(G15)-1),RAMY=DEC2BIN(ROW(G15)-1)),_xlfn.CONCAT(RAMIN4,RAMIN3,RAMIN2,RAMIN1),G15)</f>
        <v>0</v>
      </c>
      <c r="H15" s="87">
        <f ca="1">IF(AND(RAMOP="11",RAMX=DEC2BIN(COLUMN(H15)-1),RAMY=DEC2BIN(ROW(H15)-1)),_xlfn.CONCAT(RAMIN4,RAMIN3,RAMIN2,RAMIN1),H15)</f>
        <v>0</v>
      </c>
      <c r="I15" s="87">
        <f ca="1">IF(AND(RAMOP="11",RAMX=DEC2BIN(COLUMN(I15)-1),RAMY=DEC2BIN(ROW(I15)-1)),_xlfn.CONCAT(RAMIN4,RAMIN3,RAMIN2,RAMIN1),I15)</f>
        <v>0</v>
      </c>
      <c r="J15" s="87">
        <f ca="1">IF(AND(RAMOP="11",RAMX=DEC2BIN(COLUMN(J15)-1),RAMY=DEC2BIN(ROW(J15)-1)),_xlfn.CONCAT(RAMIN4,RAMIN3,RAMIN2,RAMIN1),J15)</f>
        <v>0</v>
      </c>
      <c r="K15" s="87">
        <f ca="1">IF(AND(RAMOP="11",RAMX=DEC2BIN(COLUMN(K15)-1),RAMY=DEC2BIN(ROW(K15)-1)),_xlfn.CONCAT(RAMIN4,RAMIN3,RAMIN2,RAMIN1),K15)</f>
        <v>0</v>
      </c>
      <c r="L15" s="87">
        <f ca="1">IF(AND(RAMOP="11",RAMX=DEC2BIN(COLUMN(L15)-1),RAMY=DEC2BIN(ROW(L15)-1)),_xlfn.CONCAT(RAMIN4,RAMIN3,RAMIN2,RAMIN1),L15)</f>
        <v>0</v>
      </c>
      <c r="M15" s="87">
        <f ca="1">IF(AND(RAMOP="11",RAMX=DEC2BIN(COLUMN(M15)-1),RAMY=DEC2BIN(ROW(M15)-1)),_xlfn.CONCAT(RAMIN4,RAMIN3,RAMIN2,RAMIN1),M15)</f>
        <v>0</v>
      </c>
      <c r="N15" s="87">
        <f ca="1">IF(AND(RAMOP="11",RAMX=DEC2BIN(COLUMN(N15)-1),RAMY=DEC2BIN(ROW(N15)-1)),_xlfn.CONCAT(RAMIN4,RAMIN3,RAMIN2,RAMIN1),N15)</f>
        <v>0</v>
      </c>
      <c r="O15" s="87">
        <f ca="1">IF(AND(RAMOP="11",RAMX=DEC2BIN(COLUMN(O15)-1),RAMY=DEC2BIN(ROW(O15)-1)),_xlfn.CONCAT(RAMIN4,RAMIN3,RAMIN2,RAMIN1),O15)</f>
        <v>0</v>
      </c>
      <c r="P15" s="87">
        <f ca="1">IF(AND(RAMOP="11",RAMX=DEC2BIN(COLUMN(P15)-1),RAMY=DEC2BIN(ROW(P15)-1)),_xlfn.CONCAT(RAMIN4,RAMIN3,RAMIN2,RAMIN1),P15)</f>
        <v>0</v>
      </c>
    </row>
    <row r="16" spans="1:16" x14ac:dyDescent="0.3">
      <c r="A16" s="87">
        <f ca="1">IF(AND(RAMOP="11",RAMX=DEC2BIN(COLUMN(A16)-1),RAMY=DEC2BIN(ROW(A16)-1)),_xlfn.CONCAT(RAMIN4,RAMIN3,RAMIN2,RAMIN1),A16)</f>
        <v>0</v>
      </c>
      <c r="B16" s="87">
        <f ca="1">IF(AND(RAMOP="11",RAMX=DEC2BIN(COLUMN(B16)-1),RAMY=DEC2BIN(ROW(B16)-1)),_xlfn.CONCAT(RAMIN4,RAMIN3,RAMIN2,RAMIN1),B16)</f>
        <v>0</v>
      </c>
      <c r="C16" s="87">
        <f ca="1">IF(AND(RAMOP="11",RAMX=DEC2BIN(COLUMN(C16)-1),RAMY=DEC2BIN(ROW(C16)-1)),_xlfn.CONCAT(RAMIN4,RAMIN3,RAMIN2,RAMIN1),C16)</f>
        <v>0</v>
      </c>
      <c r="D16" s="87">
        <f ca="1">IF(AND(RAMOP="11",RAMX=DEC2BIN(COLUMN(D16)-1),RAMY=DEC2BIN(ROW(D16)-1)),_xlfn.CONCAT(RAMIN4,RAMIN3,RAMIN2,RAMIN1),D16)</f>
        <v>0</v>
      </c>
      <c r="E16" s="87">
        <f ca="1">IF(AND(RAMOP="11",RAMX=DEC2BIN(COLUMN(E16)-1),RAMY=DEC2BIN(ROW(E16)-1)),_xlfn.CONCAT(RAMIN4,RAMIN3,RAMIN2,RAMIN1),E16)</f>
        <v>0</v>
      </c>
      <c r="F16" s="87">
        <f ca="1">IF(AND(RAMOP="11",RAMX=DEC2BIN(COLUMN(F16)-1),RAMY=DEC2BIN(ROW(F16)-1)),_xlfn.CONCAT(RAMIN4,RAMIN3,RAMIN2,RAMIN1),F16)</f>
        <v>0</v>
      </c>
      <c r="G16" s="87">
        <f ca="1">IF(AND(RAMOP="11",RAMX=DEC2BIN(COLUMN(G16)-1),RAMY=DEC2BIN(ROW(G16)-1)),_xlfn.CONCAT(RAMIN4,RAMIN3,RAMIN2,RAMIN1),G16)</f>
        <v>0</v>
      </c>
      <c r="H16" s="87">
        <f ca="1">IF(AND(RAMOP="11",RAMX=DEC2BIN(COLUMN(H16)-1),RAMY=DEC2BIN(ROW(H16)-1)),_xlfn.CONCAT(RAMIN4,RAMIN3,RAMIN2,RAMIN1),H16)</f>
        <v>0</v>
      </c>
      <c r="I16" s="87">
        <f ca="1">IF(AND(RAMOP="11",RAMX=DEC2BIN(COLUMN(I16)-1),RAMY=DEC2BIN(ROW(I16)-1)),_xlfn.CONCAT(RAMIN4,RAMIN3,RAMIN2,RAMIN1),I16)</f>
        <v>0</v>
      </c>
      <c r="J16" s="87">
        <f ca="1">IF(AND(RAMOP="11",RAMX=DEC2BIN(COLUMN(J16)-1),RAMY=DEC2BIN(ROW(J16)-1)),_xlfn.CONCAT(RAMIN4,RAMIN3,RAMIN2,RAMIN1),J16)</f>
        <v>0</v>
      </c>
      <c r="K16" s="87">
        <f ca="1">IF(AND(RAMOP="11",RAMX=DEC2BIN(COLUMN(K16)-1),RAMY=DEC2BIN(ROW(K16)-1)),_xlfn.CONCAT(RAMIN4,RAMIN3,RAMIN2,RAMIN1),K16)</f>
        <v>0</v>
      </c>
      <c r="L16" s="87">
        <f ca="1">IF(AND(RAMOP="11",RAMX=DEC2BIN(COLUMN(L16)-1),RAMY=DEC2BIN(ROW(L16)-1)),_xlfn.CONCAT(RAMIN4,RAMIN3,RAMIN2,RAMIN1),L16)</f>
        <v>0</v>
      </c>
      <c r="M16" s="87">
        <f ca="1">IF(AND(RAMOP="11",RAMX=DEC2BIN(COLUMN(M16)-1),RAMY=DEC2BIN(ROW(M16)-1)),_xlfn.CONCAT(RAMIN4,RAMIN3,RAMIN2,RAMIN1),M16)</f>
        <v>0</v>
      </c>
      <c r="N16" s="87">
        <f ca="1">IF(AND(RAMOP="11",RAMX=DEC2BIN(COLUMN(N16)-1),RAMY=DEC2BIN(ROW(N16)-1)),_xlfn.CONCAT(RAMIN4,RAMIN3,RAMIN2,RAMIN1),N16)</f>
        <v>0</v>
      </c>
      <c r="O16" s="87">
        <f ca="1">IF(AND(RAMOP="11",RAMX=DEC2BIN(COLUMN(O16)-1),RAMY=DEC2BIN(ROW(O16)-1)),_xlfn.CONCAT(RAMIN4,RAMIN3,RAMIN2,RAMIN1),O16)</f>
        <v>0</v>
      </c>
      <c r="P16" s="87">
        <f ca="1">IF(AND(RAMOP="11",RAMX=DEC2BIN(COLUMN(P16)-1),RAMY=DEC2BIN(ROW(P16)-1)),_xlfn.CONCAT(RAMIN4,RAMIN3,RAMIN2,RAMIN1),P16)</f>
        <v>0</v>
      </c>
    </row>
    <row r="19" spans="1:2" x14ac:dyDescent="0.3">
      <c r="A19" t="str">
        <f>OPBIT</f>
        <v>11</v>
      </c>
      <c r="B19" t="str">
        <f>_xlfn.CONCAT(DATABIT4, DATABIT3, DATABIT2, DATABIT1)</f>
        <v>0011</v>
      </c>
    </row>
    <row r="20" spans="1:2" x14ac:dyDescent="0.3">
      <c r="A20" t="str">
        <f ca="1">HIDDENX</f>
        <v>0001</v>
      </c>
      <c r="B20">
        <f>DATABIT4</f>
        <v>0</v>
      </c>
    </row>
    <row r="21" spans="1:2" x14ac:dyDescent="0.3">
      <c r="A21" t="str">
        <f ca="1">HIDDENY</f>
        <v>0011</v>
      </c>
      <c r="B21">
        <f>DATABIT3</f>
        <v>0</v>
      </c>
    </row>
    <row r="22" spans="1:2" x14ac:dyDescent="0.3">
      <c r="B22">
        <f>DATABIT2</f>
        <v>1</v>
      </c>
    </row>
    <row r="23" spans="1:2" x14ac:dyDescent="0.3">
      <c r="B23">
        <f>DATABIT1</f>
        <v>1</v>
      </c>
    </row>
  </sheetData>
  <conditionalFormatting sqref="A1:P16">
    <cfRule type="containsText" dxfId="1" priority="1" operator="containsText" text="0000">
      <formula>NOT(ISERROR(SEARCH("0000",A1)))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5" ht="14.4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ht="14.4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ht="14.4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ht="14.4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ht="14.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ht="14.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ht="14.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t="14.4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ht="14.4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ht="14.4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ht="14.4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ht="14.4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ht="14.4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ht="14.4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ht="14.4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ht="14.4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ht="14.4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ht="14.4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ht="14.4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ht="14.4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Logic Gate Sheet</vt:lpstr>
      <vt:lpstr>ROM</vt:lpstr>
      <vt:lpstr>RAM</vt:lpstr>
      <vt:lpstr>Board</vt:lpstr>
      <vt:lpstr>ADDRESSX</vt:lpstr>
      <vt:lpstr>ADDRESSY</vt:lpstr>
      <vt:lpstr>AND.1</vt:lpstr>
      <vt:lpstr>AND.2</vt:lpstr>
      <vt:lpstr>CLOCK</vt:lpstr>
      <vt:lpstr>DATABIT1</vt:lpstr>
      <vt:lpstr>DATABIT2</vt:lpstr>
      <vt:lpstr>DATABIT3</vt:lpstr>
      <vt:lpstr>DATABIT4</vt:lpstr>
      <vt:lpstr>HIDDENX</vt:lpstr>
      <vt:lpstr>HIDDENY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OPBIT</vt:lpstr>
      <vt:lpstr>RAMIN1</vt:lpstr>
      <vt:lpstr>RAMIN2</vt:lpstr>
      <vt:lpstr>RAMIN3</vt:lpstr>
      <vt:lpstr>RAMIN4</vt:lpstr>
      <vt:lpstr>RAMOP</vt:lpstr>
      <vt:lpstr>RAMX</vt:lpstr>
      <vt:lpstr>RAMY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2024-08-30T20:56:13Z</dcterms:modified>
</cp:coreProperties>
</file>