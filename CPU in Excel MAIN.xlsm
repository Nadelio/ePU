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bastian\ePU\"/>
    </mc:Choice>
  </mc:AlternateContent>
  <xr:revisionPtr revIDLastSave="0" documentId="13_ncr:1_{85A67895-F8B8-431D-9185-3A4C4F4270C0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Logic Gate Sheet" sheetId="1" r:id="rId1"/>
    <sheet name="ROM" sheetId="3" r:id="rId2"/>
    <sheet name="RAM" sheetId="4" r:id="rId3"/>
    <sheet name="Board" sheetId="2" r:id="rId4"/>
  </sheets>
  <definedNames>
    <definedName name="AND.1">'Logic Gate Sheet'!$K$6</definedName>
    <definedName name="AND.2">'Logic Gate Sheet'!$K$8</definedName>
    <definedName name="CLOCK">'Logic Gate Sheet'!$A$1</definedName>
    <definedName name="DATA">RAM!$A$66</definedName>
    <definedName name="DATABIT1">'Logic Gate Sheet'!$AG$82</definedName>
    <definedName name="DATABIT2">'Logic Gate Sheet'!$AF$82</definedName>
    <definedName name="DATABIT3">'Logic Gate Sheet'!$AE$82</definedName>
    <definedName name="DATABIT4">'Logic Gate Sheet'!$AD$82</definedName>
    <definedName name="HIDDENX">'Logic Gate Sheet'!$AJ$83</definedName>
    <definedName name="HIDDENY">'Logic Gate Sheet'!$AL$83</definedName>
    <definedName name="INPUT">'Logic Gate Sheet'!$C$1</definedName>
    <definedName name="JK.1">'Logic Gate Sheet'!$J$4</definedName>
    <definedName name="JK.2">'Logic Gate Sheet'!$J$5</definedName>
    <definedName name="JK.3">'Logic Gate Sheet'!$J$7</definedName>
    <definedName name="JK.4">'Logic Gate Sheet'!$J$9</definedName>
    <definedName name="NOT.1">'Logic Gate Sheet'!$M$12</definedName>
    <definedName name="NOT.2">'Logic Gate Sheet'!$K$12</definedName>
    <definedName name="NOT.3">'Logic Gate Sheet'!$I$12</definedName>
    <definedName name="NOT.4">'Logic Gate Sheet'!$G$12</definedName>
    <definedName name="OP">RAM!$A$67</definedName>
    <definedName name="OPBIT">'Logic Gate Sheet'!$AB$81</definedName>
    <definedName name="OPBITS">'Logic Gate Sheet'!$AY$90</definedName>
    <definedName name="RAMX">RAM!$A$68</definedName>
    <definedName name="RAMY">RAM!$A$69</definedName>
    <definedName name="RESET">'Logic Gate Sheet'!$E$1</definedName>
    <definedName name="XDEC">'Logic Gate Sheet'!$AU$86</definedName>
    <definedName name="YDEC">'Logic Gate Sheet'!$AW$86</definedName>
  </definedNames>
  <calcPr calcId="191029" iterate="1" iterateCount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RkY8dfxyruKbR5SZeI5rriqa7qTHrPYKG1hT1ZZXoDA="/>
    </ext>
  </extLst>
</workbook>
</file>

<file path=xl/calcChain.xml><?xml version="1.0" encoding="utf-8"?>
<calcChain xmlns="http://schemas.openxmlformats.org/spreadsheetml/2006/main">
  <c r="AY90" i="1" l="1"/>
  <c r="AB81" i="1"/>
  <c r="J86" i="1"/>
  <c r="M86" i="1" s="1"/>
  <c r="I86" i="1"/>
  <c r="L86" i="1" s="1"/>
  <c r="J102" i="1"/>
  <c r="U87" i="1"/>
  <c r="U88" i="1" s="1"/>
  <c r="H83" i="1"/>
  <c r="H84" i="1"/>
  <c r="H79" i="1" a="1"/>
  <c r="A67" i="4" l="1"/>
  <c r="H79" i="1"/>
  <c r="L130" i="1"/>
  <c r="L132" i="1" s="1"/>
  <c r="L120" i="1"/>
  <c r="L122" i="1" s="1"/>
  <c r="U141" i="1"/>
  <c r="U137" i="1"/>
  <c r="U133" i="1"/>
  <c r="U129" i="1"/>
  <c r="U123" i="1"/>
  <c r="T123" i="1" s="1"/>
  <c r="U119" i="1"/>
  <c r="T119" i="1" s="1"/>
  <c r="U115" i="1"/>
  <c r="T115" i="1" s="1"/>
  <c r="U111" i="1"/>
  <c r="T111" i="1" s="1"/>
  <c r="L100" i="1"/>
  <c r="L102" i="1" s="1"/>
  <c r="K102" i="1"/>
  <c r="AD59" i="1"/>
  <c r="AC59" i="1" s="1"/>
  <c r="S122" i="1"/>
  <c r="S118" i="1"/>
  <c r="S114" i="1"/>
  <c r="S110" i="1"/>
  <c r="V106" i="1"/>
  <c r="V108" i="1" s="1"/>
  <c r="T106" i="1"/>
  <c r="T108" i="1" s="1"/>
  <c r="U106" i="1"/>
  <c r="U108" i="1" s="1"/>
  <c r="S106" i="1"/>
  <c r="V101" i="1"/>
  <c r="V103" i="1" s="1"/>
  <c r="U101" i="1"/>
  <c r="U103" i="1" s="1"/>
  <c r="T101" i="1"/>
  <c r="T103" i="1" s="1"/>
  <c r="S101" i="1"/>
  <c r="S103" i="1" s="1"/>
  <c r="S108" i="1"/>
  <c r="K132" i="1"/>
  <c r="K112" i="1"/>
  <c r="K122" i="1"/>
  <c r="L110" i="1"/>
  <c r="L112" i="1" s="1"/>
  <c r="AB62" i="1"/>
  <c r="AB58" i="1"/>
  <c r="AB54" i="1"/>
  <c r="AD55" i="1"/>
  <c r="AC55" i="1" s="1"/>
  <c r="AD63" i="1"/>
  <c r="AC63" i="1" s="1"/>
  <c r="AB50" i="1"/>
  <c r="AD51" i="1"/>
  <c r="AC51" i="1" s="1"/>
  <c r="AB36" i="1"/>
  <c r="AB38" i="1" s="1"/>
  <c r="AC36" i="1"/>
  <c r="AC38" i="1" s="1"/>
  <c r="AD36" i="1"/>
  <c r="AD38" i="1" s="1"/>
  <c r="AE36" i="1"/>
  <c r="AE38" i="1" s="1"/>
  <c r="AB43" i="1"/>
  <c r="AB45" i="1" s="1"/>
  <c r="AC43" i="1"/>
  <c r="AC45" i="1" s="1"/>
  <c r="AD43" i="1"/>
  <c r="AD45" i="1" s="1"/>
  <c r="AE43" i="1"/>
  <c r="AE45" i="1" s="1"/>
  <c r="S30" i="1"/>
  <c r="AC27" i="1"/>
  <c r="AE28" i="1"/>
  <c r="AD28" i="1" s="1"/>
  <c r="U58" i="1"/>
  <c r="U60" i="1" s="1"/>
  <c r="U48" i="1"/>
  <c r="U50" i="1" s="1"/>
  <c r="U38" i="1"/>
  <c r="U40" i="1" s="1"/>
  <c r="U28" i="1"/>
  <c r="U30" i="1" s="1"/>
  <c r="T18" i="1"/>
  <c r="T23" i="1" s="1"/>
  <c r="AB18" i="1"/>
  <c r="AB23" i="1" s="1"/>
  <c r="AC6" i="1"/>
  <c r="AD7" i="1" s="1"/>
  <c r="V7" i="1"/>
  <c r="V9" i="1" s="1"/>
  <c r="T60" i="1"/>
  <c r="L56" i="1"/>
  <c r="I59" i="1" s="1"/>
  <c r="J56" i="1"/>
  <c r="K58" i="1" s="1"/>
  <c r="T50" i="1"/>
  <c r="L44" i="1"/>
  <c r="I47" i="1" s="1"/>
  <c r="J44" i="1"/>
  <c r="T40" i="1"/>
  <c r="L32" i="1"/>
  <c r="I35" i="1" s="1"/>
  <c r="J32" i="1"/>
  <c r="T30" i="1"/>
  <c r="S20" i="1"/>
  <c r="R23" i="1" s="1"/>
  <c r="L20" i="1"/>
  <c r="I23" i="1" s="1"/>
  <c r="J20" i="1"/>
  <c r="Z19" i="1"/>
  <c r="Z21" i="1" s="1"/>
  <c r="Z23" i="1" s="1"/>
  <c r="T8" i="1"/>
  <c r="AA7" i="1"/>
  <c r="AA9" i="1" s="1"/>
  <c r="C3" i="1"/>
  <c r="K46" i="1" l="1"/>
  <c r="I37" i="1"/>
  <c r="S116" i="1"/>
  <c r="U126" i="1" s="1"/>
  <c r="S132" i="1" s="1"/>
  <c r="S124" i="1"/>
  <c r="S126" i="1" s="1"/>
  <c r="S140" i="1" s="1"/>
  <c r="S120" i="1"/>
  <c r="T126" i="1" s="1"/>
  <c r="S136" i="1" s="1"/>
  <c r="S112" i="1"/>
  <c r="V126" i="1" s="1"/>
  <c r="S128" i="1" s="1"/>
  <c r="K22" i="1"/>
  <c r="L23" i="1" s="1"/>
  <c r="I25" i="1"/>
  <c r="V12" i="1"/>
  <c r="K34" i="1"/>
  <c r="K36" i="1" s="1"/>
  <c r="U62" i="1"/>
  <c r="J135" i="1"/>
  <c r="J115" i="1"/>
  <c r="J105" i="1"/>
  <c r="L124" i="1"/>
  <c r="J125" i="1"/>
  <c r="L134" i="1"/>
  <c r="L114" i="1"/>
  <c r="L104" i="1"/>
  <c r="K105" i="1" s="1"/>
  <c r="AB52" i="1"/>
  <c r="AE66" i="1" s="1"/>
  <c r="AB56" i="1"/>
  <c r="AD66" i="1" s="1"/>
  <c r="AB60" i="1"/>
  <c r="AC66" i="1" s="1"/>
  <c r="AB64" i="1"/>
  <c r="AB66" i="1" s="1"/>
  <c r="U52" i="1"/>
  <c r="U42" i="1"/>
  <c r="U32" i="1"/>
  <c r="T33" i="1" s="1"/>
  <c r="AC29" i="1"/>
  <c r="AC31" i="1" s="1"/>
  <c r="K60" i="1"/>
  <c r="AC14" i="1"/>
  <c r="AC8" i="1"/>
  <c r="AB10" i="1" s="1"/>
  <c r="AA12" i="1" s="1"/>
  <c r="AA14" i="1" s="1"/>
  <c r="S43" i="1"/>
  <c r="I49" i="1"/>
  <c r="S53" i="1"/>
  <c r="S33" i="1"/>
  <c r="S63" i="1"/>
  <c r="I61" i="1"/>
  <c r="K48" i="1"/>
  <c r="U8" i="1"/>
  <c r="U10" i="1" s="1"/>
  <c r="U12" i="1" s="1"/>
  <c r="K107" i="1" l="1"/>
  <c r="K109" i="1" s="1"/>
  <c r="J112" i="1" s="1"/>
  <c r="K115" i="1" s="1"/>
  <c r="K117" i="1" s="1"/>
  <c r="K119" i="1" s="1"/>
  <c r="J122" i="1" s="1"/>
  <c r="L106" i="1"/>
  <c r="L109" i="1" s="1"/>
  <c r="O144" i="1" s="1"/>
  <c r="T129" i="1" s="1"/>
  <c r="S130" i="1" s="1"/>
  <c r="V144" i="1" s="1"/>
  <c r="X151" i="1" s="1"/>
  <c r="T35" i="1"/>
  <c r="T37" i="1" s="1"/>
  <c r="S40" i="1" s="1"/>
  <c r="U44" i="1" s="1"/>
  <c r="U34" i="1"/>
  <c r="U37" i="1" s="1"/>
  <c r="X72" i="1" s="1"/>
  <c r="K24" i="1"/>
  <c r="J26" i="1" s="1"/>
  <c r="I28" i="1" s="1"/>
  <c r="I30" i="1" s="1"/>
  <c r="H32" i="1" s="1"/>
  <c r="L35" i="1" s="1"/>
  <c r="K30" i="1"/>
  <c r="M68" i="1" s="1"/>
  <c r="L116" i="1" l="1"/>
  <c r="L119" i="1" s="1"/>
  <c r="N144" i="1" s="1"/>
  <c r="T133" i="1" s="1"/>
  <c r="S134" i="1" s="1"/>
  <c r="U144" i="1" s="1"/>
  <c r="L126" i="1"/>
  <c r="K125" i="1"/>
  <c r="K127" i="1" s="1"/>
  <c r="K129" i="1" s="1"/>
  <c r="J132" i="1" s="1"/>
  <c r="K42" i="1"/>
  <c r="L68" i="1" s="1"/>
  <c r="J38" i="1"/>
  <c r="I40" i="1" s="1"/>
  <c r="I42" i="1" s="1"/>
  <c r="H44" i="1" s="1"/>
  <c r="L47" i="1" s="1"/>
  <c r="T43" i="1"/>
  <c r="T45" i="1" s="1"/>
  <c r="T47" i="1" s="1"/>
  <c r="S50" i="1" s="1"/>
  <c r="U54" i="1" s="1"/>
  <c r="U47" i="1"/>
  <c r="W72" i="1" s="1"/>
  <c r="W151" i="1" l="1"/>
  <c r="S146" i="1"/>
  <c r="L129" i="1"/>
  <c r="M144" i="1" s="1"/>
  <c r="L136" i="1"/>
  <c r="K135" i="1"/>
  <c r="K137" i="1" s="1"/>
  <c r="K139" i="1" s="1"/>
  <c r="U57" i="1"/>
  <c r="V72" i="1" s="1"/>
  <c r="T53" i="1"/>
  <c r="T55" i="1" s="1"/>
  <c r="T57" i="1" s="1"/>
  <c r="S60" i="1" s="1"/>
  <c r="U64" i="1" s="1"/>
  <c r="K54" i="1"/>
  <c r="K68" i="1" s="1"/>
  <c r="J50" i="1"/>
  <c r="I52" i="1" s="1"/>
  <c r="I54" i="1" s="1"/>
  <c r="H56" i="1" s="1"/>
  <c r="L59" i="1" s="1"/>
  <c r="T137" i="1" l="1"/>
  <c r="S138" i="1" s="1"/>
  <c r="T144" i="1" s="1"/>
  <c r="L139" i="1"/>
  <c r="L144" i="1" s="1"/>
  <c r="T141" i="1" s="1"/>
  <c r="S142" i="1" s="1"/>
  <c r="S144" i="1" s="1"/>
  <c r="I143" i="1"/>
  <c r="P151" i="1" s="1"/>
  <c r="I144" i="1"/>
  <c r="M151" i="1" s="1"/>
  <c r="K66" i="1"/>
  <c r="J68" i="1" s="1"/>
  <c r="J62" i="1"/>
  <c r="I64" i="1" s="1"/>
  <c r="I66" i="1" s="1"/>
  <c r="H68" i="1" s="1"/>
  <c r="T63" i="1"/>
  <c r="T65" i="1" s="1"/>
  <c r="T67" i="1" s="1"/>
  <c r="U67" i="1"/>
  <c r="U72" i="1" s="1"/>
  <c r="V151" i="1" l="1"/>
  <c r="S147" i="1"/>
  <c r="S148" i="1" s="1"/>
  <c r="S149" i="1" s="1"/>
  <c r="S151" i="1" s="1"/>
  <c r="J151" i="1"/>
  <c r="U151" i="1"/>
  <c r="R71" i="1"/>
  <c r="R72" i="1"/>
  <c r="A1" i="1"/>
  <c r="A3" i="1"/>
  <c r="J4" i="1"/>
  <c r="A5" i="1"/>
  <c r="J5" i="1"/>
  <c r="K6" i="1"/>
  <c r="A7" i="1"/>
  <c r="J7" i="1"/>
  <c r="K8" i="1" a="1"/>
  <c r="K8" i="1"/>
  <c r="A9" i="1"/>
  <c r="J9" i="1"/>
  <c r="A11" i="1"/>
  <c r="G12" i="1"/>
  <c r="I12" i="1"/>
  <c r="K12" i="1"/>
  <c r="M12" i="1"/>
  <c r="A13" i="1"/>
  <c r="G14" i="1"/>
  <c r="I14" i="1"/>
  <c r="K14" i="1"/>
  <c r="M14" i="1"/>
  <c r="A15" i="1"/>
  <c r="A17" i="1"/>
  <c r="A19" i="1"/>
  <c r="A21" i="1"/>
  <c r="AF80" i="1"/>
  <c r="AG80" i="1"/>
  <c r="AI80" i="1"/>
  <c r="AJ80" i="1"/>
  <c r="V81" i="1" a="1"/>
  <c r="V81" i="1"/>
  <c r="AD82" i="1"/>
  <c r="AE82" i="1"/>
  <c r="AF82" i="1"/>
  <c r="AG82" i="1"/>
  <c r="AO82" i="1"/>
  <c r="AP82" i="1"/>
  <c r="AQ82" i="1"/>
  <c r="AR82" i="1"/>
  <c r="AS82" i="1"/>
  <c r="AT82" i="1"/>
  <c r="AU82" i="1"/>
  <c r="AV82" i="1"/>
  <c r="AW82" i="1"/>
  <c r="AX82" i="1"/>
  <c r="AY82" i="1"/>
  <c r="AZ82" i="1"/>
  <c r="BA82" i="1"/>
  <c r="BB82" i="1"/>
  <c r="BC82" i="1"/>
  <c r="BD82" i="1"/>
  <c r="AD83" i="1" a="1"/>
  <c r="AD83" i="1"/>
  <c r="AE83" i="1" a="1"/>
  <c r="AE83" i="1"/>
  <c r="AF83" i="1" a="1"/>
  <c r="AF83" i="1"/>
  <c r="AG83" i="1" a="1"/>
  <c r="AG83" i="1"/>
  <c r="AJ83" i="1"/>
  <c r="AL83" i="1"/>
  <c r="AO83" i="1" a="1"/>
  <c r="AO83" i="1"/>
  <c r="AP83" i="1" a="1"/>
  <c r="AP83" i="1"/>
  <c r="AQ83" i="1" a="1"/>
  <c r="AQ83" i="1"/>
  <c r="AR83" i="1" a="1"/>
  <c r="AR83" i="1"/>
  <c r="AS83" i="1" a="1"/>
  <c r="AS83" i="1"/>
  <c r="AT83" i="1" a="1"/>
  <c r="AT83" i="1"/>
  <c r="AU83" i="1" a="1"/>
  <c r="AU83" i="1"/>
  <c r="AV83" i="1" a="1"/>
  <c r="AV83" i="1"/>
  <c r="AW83" i="1" a="1"/>
  <c r="AW83" i="1"/>
  <c r="AX83" i="1" a="1"/>
  <c r="AX83" i="1"/>
  <c r="AY83" i="1" a="1"/>
  <c r="AY83" i="1"/>
  <c r="AZ83" i="1" a="1"/>
  <c r="AZ83" i="1"/>
  <c r="BA83" i="1" a="1"/>
  <c r="BA83" i="1"/>
  <c r="BB83" i="1" a="1"/>
  <c r="BB83" i="1"/>
  <c r="BC83" i="1" a="1"/>
  <c r="BC83" i="1"/>
  <c r="BD83" i="1" a="1"/>
  <c r="BD83" i="1"/>
  <c r="P85" i="1"/>
  <c r="R85" i="1"/>
  <c r="AU86" i="1"/>
  <c r="AW86" i="1"/>
  <c r="AU88" i="1"/>
  <c r="AW88" i="1"/>
  <c r="H89" i="1" a="1"/>
  <c r="H89" i="1"/>
  <c r="I89" i="1" a="1"/>
  <c r="I89" i="1"/>
  <c r="J89" i="1" a="1"/>
  <c r="J89" i="1"/>
  <c r="K89" i="1" a="1"/>
  <c r="K89" i="1"/>
  <c r="P89" i="1"/>
  <c r="R89" i="1"/>
  <c r="F91" i="1"/>
  <c r="G91" i="1"/>
  <c r="H91" i="1"/>
  <c r="I91" i="1"/>
  <c r="F92" i="1"/>
  <c r="G92" i="1"/>
  <c r="H92" i="1"/>
  <c r="I92" i="1"/>
  <c r="F93" i="1"/>
  <c r="G93" i="1"/>
  <c r="H93" i="1"/>
  <c r="I93" i="1"/>
  <c r="F94" i="1"/>
  <c r="G94" i="1"/>
  <c r="H94" i="1"/>
  <c r="I94" i="1"/>
  <c r="A1" i="4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AC1" i="4"/>
  <c r="AD1" i="4"/>
  <c r="AE1" i="4"/>
  <c r="AF1" i="4"/>
  <c r="AG1" i="4"/>
  <c r="AH1" i="4"/>
  <c r="AI1" i="4"/>
  <c r="AJ1" i="4"/>
  <c r="AK1" i="4"/>
  <c r="AL1" i="4"/>
  <c r="AM1" i="4"/>
  <c r="AN1" i="4"/>
  <c r="AO1" i="4"/>
  <c r="AP1" i="4"/>
  <c r="AQ1" i="4"/>
  <c r="AR1" i="4"/>
  <c r="AS1" i="4"/>
  <c r="AT1" i="4"/>
  <c r="AU1" i="4"/>
  <c r="AV1" i="4"/>
  <c r="AW1" i="4"/>
  <c r="AX1" i="4"/>
  <c r="AY1" i="4"/>
  <c r="AZ1" i="4"/>
  <c r="BA1" i="4"/>
  <c r="BB1" i="4"/>
  <c r="BC1" i="4"/>
  <c r="BD1" i="4"/>
  <c r="BE1" i="4"/>
  <c r="BF1" i="4"/>
  <c r="BG1" i="4"/>
  <c r="BH1" i="4"/>
  <c r="BI1" i="4"/>
  <c r="BJ1" i="4"/>
  <c r="BK1" i="4"/>
  <c r="BL1" i="4"/>
  <c r="A2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AF2" i="4"/>
  <c r="AG2" i="4"/>
  <c r="AH2" i="4"/>
  <c r="AI2" i="4"/>
  <c r="AJ2" i="4"/>
  <c r="AK2" i="4"/>
  <c r="AL2" i="4"/>
  <c r="AM2" i="4"/>
  <c r="AN2" i="4"/>
  <c r="AO2" i="4"/>
  <c r="AP2" i="4"/>
  <c r="AQ2" i="4"/>
  <c r="AR2" i="4"/>
  <c r="AS2" i="4"/>
  <c r="AT2" i="4"/>
  <c r="AU2" i="4"/>
  <c r="AV2" i="4"/>
  <c r="AW2" i="4"/>
  <c r="AX2" i="4"/>
  <c r="AY2" i="4"/>
  <c r="AZ2" i="4"/>
  <c r="BA2" i="4"/>
  <c r="BB2" i="4"/>
  <c r="BC2" i="4"/>
  <c r="BD2" i="4"/>
  <c r="BE2" i="4"/>
  <c r="BF2" i="4"/>
  <c r="BG2" i="4"/>
  <c r="BH2" i="4"/>
  <c r="BI2" i="4"/>
  <c r="BJ2" i="4"/>
  <c r="BK2" i="4"/>
  <c r="BL2" i="4"/>
  <c r="A3" i="4"/>
  <c r="B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AI3" i="4"/>
  <c r="AJ3" i="4"/>
  <c r="AK3" i="4"/>
  <c r="AL3" i="4"/>
  <c r="AM3" i="4"/>
  <c r="AN3" i="4"/>
  <c r="AO3" i="4"/>
  <c r="AP3" i="4"/>
  <c r="AQ3" i="4"/>
  <c r="AR3" i="4"/>
  <c r="AS3" i="4"/>
  <c r="AT3" i="4"/>
  <c r="AU3" i="4"/>
  <c r="AV3" i="4"/>
  <c r="AW3" i="4"/>
  <c r="AX3" i="4"/>
  <c r="AY3" i="4"/>
  <c r="AZ3" i="4"/>
  <c r="BA3" i="4"/>
  <c r="BB3" i="4"/>
  <c r="BC3" i="4"/>
  <c r="BD3" i="4"/>
  <c r="BE3" i="4"/>
  <c r="BF3" i="4"/>
  <c r="BG3" i="4"/>
  <c r="BH3" i="4"/>
  <c r="BI3" i="4"/>
  <c r="BJ3" i="4"/>
  <c r="BK3" i="4"/>
  <c r="BL3" i="4"/>
  <c r="A4" i="4"/>
  <c r="B4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AG4" i="4"/>
  <c r="AH4" i="4"/>
  <c r="AI4" i="4"/>
  <c r="AJ4" i="4"/>
  <c r="AK4" i="4"/>
  <c r="AL4" i="4"/>
  <c r="AM4" i="4"/>
  <c r="AN4" i="4"/>
  <c r="AO4" i="4"/>
  <c r="AP4" i="4"/>
  <c r="AQ4" i="4"/>
  <c r="AR4" i="4"/>
  <c r="AS4" i="4"/>
  <c r="AT4" i="4"/>
  <c r="AU4" i="4"/>
  <c r="AV4" i="4"/>
  <c r="AW4" i="4"/>
  <c r="AX4" i="4"/>
  <c r="AY4" i="4"/>
  <c r="AZ4" i="4"/>
  <c r="BA4" i="4"/>
  <c r="BB4" i="4"/>
  <c r="BC4" i="4"/>
  <c r="BD4" i="4"/>
  <c r="BE4" i="4"/>
  <c r="BF4" i="4"/>
  <c r="BG4" i="4"/>
  <c r="BH4" i="4"/>
  <c r="BI4" i="4"/>
  <c r="BJ4" i="4"/>
  <c r="BK4" i="4"/>
  <c r="BL4" i="4"/>
  <c r="A5" i="4"/>
  <c r="B5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AI5" i="4"/>
  <c r="AJ5" i="4"/>
  <c r="AK5" i="4"/>
  <c r="AL5" i="4"/>
  <c r="AM5" i="4"/>
  <c r="AN5" i="4"/>
  <c r="AO5" i="4"/>
  <c r="AP5" i="4"/>
  <c r="AQ5" i="4"/>
  <c r="AR5" i="4"/>
  <c r="AS5" i="4"/>
  <c r="AT5" i="4"/>
  <c r="AU5" i="4"/>
  <c r="AV5" i="4"/>
  <c r="AW5" i="4"/>
  <c r="AX5" i="4"/>
  <c r="AY5" i="4"/>
  <c r="AZ5" i="4"/>
  <c r="BA5" i="4"/>
  <c r="BB5" i="4"/>
  <c r="BC5" i="4"/>
  <c r="BD5" i="4"/>
  <c r="BE5" i="4"/>
  <c r="BF5" i="4"/>
  <c r="BG5" i="4"/>
  <c r="BH5" i="4"/>
  <c r="BI5" i="4"/>
  <c r="BJ5" i="4"/>
  <c r="BK5" i="4"/>
  <c r="BL5" i="4"/>
  <c r="A6" i="4"/>
  <c r="B6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AG6" i="4"/>
  <c r="AH6" i="4"/>
  <c r="AI6" i="4"/>
  <c r="AJ6" i="4"/>
  <c r="AK6" i="4"/>
  <c r="AL6" i="4"/>
  <c r="AM6" i="4"/>
  <c r="AN6" i="4"/>
  <c r="AO6" i="4"/>
  <c r="AP6" i="4"/>
  <c r="AQ6" i="4"/>
  <c r="AR6" i="4"/>
  <c r="AS6" i="4"/>
  <c r="AT6" i="4"/>
  <c r="AU6" i="4"/>
  <c r="AV6" i="4"/>
  <c r="AW6" i="4"/>
  <c r="AX6" i="4"/>
  <c r="AY6" i="4"/>
  <c r="AZ6" i="4"/>
  <c r="BA6" i="4"/>
  <c r="BB6" i="4"/>
  <c r="BC6" i="4"/>
  <c r="BD6" i="4"/>
  <c r="BE6" i="4"/>
  <c r="BF6" i="4"/>
  <c r="BG6" i="4"/>
  <c r="BH6" i="4"/>
  <c r="BI6" i="4"/>
  <c r="BJ6" i="4"/>
  <c r="BK6" i="4"/>
  <c r="BL6" i="4"/>
  <c r="A7" i="4"/>
  <c r="B7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AF7" i="4"/>
  <c r="AG7" i="4"/>
  <c r="AH7" i="4"/>
  <c r="AI7" i="4"/>
  <c r="AJ7" i="4"/>
  <c r="AK7" i="4"/>
  <c r="AL7" i="4"/>
  <c r="AM7" i="4"/>
  <c r="AN7" i="4"/>
  <c r="AO7" i="4"/>
  <c r="AP7" i="4"/>
  <c r="AQ7" i="4"/>
  <c r="AR7" i="4"/>
  <c r="AS7" i="4"/>
  <c r="AT7" i="4"/>
  <c r="AU7" i="4"/>
  <c r="AV7" i="4"/>
  <c r="AW7" i="4"/>
  <c r="AX7" i="4"/>
  <c r="AY7" i="4"/>
  <c r="AZ7" i="4"/>
  <c r="BA7" i="4"/>
  <c r="BB7" i="4"/>
  <c r="BC7" i="4"/>
  <c r="BD7" i="4"/>
  <c r="BE7" i="4"/>
  <c r="BF7" i="4"/>
  <c r="BG7" i="4"/>
  <c r="BH7" i="4"/>
  <c r="BI7" i="4"/>
  <c r="BJ7" i="4"/>
  <c r="BK7" i="4"/>
  <c r="BL7" i="4"/>
  <c r="A8" i="4"/>
  <c r="B8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AG8" i="4"/>
  <c r="AH8" i="4"/>
  <c r="AI8" i="4"/>
  <c r="AJ8" i="4"/>
  <c r="AK8" i="4"/>
  <c r="AL8" i="4"/>
  <c r="AM8" i="4"/>
  <c r="AN8" i="4"/>
  <c r="AO8" i="4"/>
  <c r="AP8" i="4"/>
  <c r="AQ8" i="4"/>
  <c r="AR8" i="4"/>
  <c r="AS8" i="4"/>
  <c r="AT8" i="4"/>
  <c r="AU8" i="4"/>
  <c r="AV8" i="4"/>
  <c r="AW8" i="4"/>
  <c r="AX8" i="4"/>
  <c r="AY8" i="4"/>
  <c r="AZ8" i="4"/>
  <c r="BA8" i="4"/>
  <c r="BB8" i="4"/>
  <c r="BC8" i="4"/>
  <c r="BD8" i="4"/>
  <c r="BE8" i="4"/>
  <c r="BF8" i="4"/>
  <c r="BG8" i="4"/>
  <c r="BH8" i="4"/>
  <c r="BI8" i="4"/>
  <c r="BJ8" i="4"/>
  <c r="BK8" i="4"/>
  <c r="BL8" i="4"/>
  <c r="A9" i="4"/>
  <c r="B9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AF9" i="4"/>
  <c r="AG9" i="4"/>
  <c r="AH9" i="4"/>
  <c r="AI9" i="4"/>
  <c r="AJ9" i="4"/>
  <c r="AK9" i="4"/>
  <c r="AL9" i="4"/>
  <c r="AM9" i="4"/>
  <c r="AN9" i="4"/>
  <c r="AO9" i="4"/>
  <c r="AP9" i="4"/>
  <c r="AQ9" i="4"/>
  <c r="AR9" i="4"/>
  <c r="AS9" i="4"/>
  <c r="AT9" i="4"/>
  <c r="AU9" i="4"/>
  <c r="AV9" i="4"/>
  <c r="AW9" i="4"/>
  <c r="AX9" i="4"/>
  <c r="AY9" i="4"/>
  <c r="AZ9" i="4"/>
  <c r="BA9" i="4"/>
  <c r="BB9" i="4"/>
  <c r="BC9" i="4"/>
  <c r="BD9" i="4"/>
  <c r="BE9" i="4"/>
  <c r="BF9" i="4"/>
  <c r="BG9" i="4"/>
  <c r="BH9" i="4"/>
  <c r="BI9" i="4"/>
  <c r="BJ9" i="4"/>
  <c r="BK9" i="4"/>
  <c r="BL9" i="4"/>
  <c r="A10" i="4"/>
  <c r="B10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AG10" i="4"/>
  <c r="AH10" i="4"/>
  <c r="AI10" i="4"/>
  <c r="AJ10" i="4"/>
  <c r="AK10" i="4"/>
  <c r="AL10" i="4"/>
  <c r="AM10" i="4"/>
  <c r="AN10" i="4"/>
  <c r="AO10" i="4"/>
  <c r="AP10" i="4"/>
  <c r="AQ10" i="4"/>
  <c r="AR10" i="4"/>
  <c r="AS10" i="4"/>
  <c r="AT10" i="4"/>
  <c r="AU10" i="4"/>
  <c r="AV10" i="4"/>
  <c r="AW10" i="4"/>
  <c r="AX10" i="4"/>
  <c r="AY10" i="4"/>
  <c r="AZ10" i="4"/>
  <c r="BA10" i="4"/>
  <c r="BB10" i="4"/>
  <c r="BC10" i="4"/>
  <c r="BD10" i="4"/>
  <c r="BE10" i="4"/>
  <c r="BF10" i="4"/>
  <c r="BG10" i="4"/>
  <c r="BH10" i="4"/>
  <c r="BI10" i="4"/>
  <c r="BJ10" i="4"/>
  <c r="BK10" i="4"/>
  <c r="BL10" i="4"/>
  <c r="A11" i="4"/>
  <c r="B11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AF11" i="4"/>
  <c r="AG11" i="4"/>
  <c r="AH11" i="4"/>
  <c r="AI11" i="4"/>
  <c r="AJ11" i="4"/>
  <c r="AK11" i="4"/>
  <c r="AL11" i="4"/>
  <c r="AM11" i="4"/>
  <c r="AN11" i="4"/>
  <c r="AO11" i="4"/>
  <c r="AP11" i="4"/>
  <c r="AQ11" i="4"/>
  <c r="AR11" i="4"/>
  <c r="AS11" i="4"/>
  <c r="AT11" i="4"/>
  <c r="AU11" i="4"/>
  <c r="AV11" i="4"/>
  <c r="AW11" i="4"/>
  <c r="AX11" i="4"/>
  <c r="AY11" i="4"/>
  <c r="AZ11" i="4"/>
  <c r="BA11" i="4"/>
  <c r="BB11" i="4"/>
  <c r="BC11" i="4"/>
  <c r="BD11" i="4"/>
  <c r="BE11" i="4"/>
  <c r="BF11" i="4"/>
  <c r="BG11" i="4"/>
  <c r="BH11" i="4"/>
  <c r="BI11" i="4"/>
  <c r="BJ11" i="4"/>
  <c r="BK11" i="4"/>
  <c r="BL11" i="4"/>
  <c r="A12" i="4"/>
  <c r="B12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AG12" i="4"/>
  <c r="AH12" i="4"/>
  <c r="AI12" i="4"/>
  <c r="AJ12" i="4"/>
  <c r="AK12" i="4"/>
  <c r="AL12" i="4"/>
  <c r="AM12" i="4"/>
  <c r="AN12" i="4"/>
  <c r="AO12" i="4"/>
  <c r="AP12" i="4"/>
  <c r="AQ12" i="4"/>
  <c r="AR12" i="4"/>
  <c r="AS12" i="4"/>
  <c r="AT12" i="4"/>
  <c r="AU12" i="4"/>
  <c r="AV12" i="4"/>
  <c r="AW12" i="4"/>
  <c r="AX12" i="4"/>
  <c r="AY12" i="4"/>
  <c r="AZ12" i="4"/>
  <c r="BA12" i="4"/>
  <c r="BB12" i="4"/>
  <c r="BC12" i="4"/>
  <c r="BD12" i="4"/>
  <c r="BE12" i="4"/>
  <c r="BF12" i="4"/>
  <c r="BG12" i="4"/>
  <c r="BH12" i="4"/>
  <c r="BI12" i="4"/>
  <c r="BJ12" i="4"/>
  <c r="BK12" i="4"/>
  <c r="BL12" i="4"/>
  <c r="A13" i="4"/>
  <c r="B13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AI13" i="4"/>
  <c r="AJ13" i="4"/>
  <c r="AK13" i="4"/>
  <c r="AL13" i="4"/>
  <c r="AM13" i="4"/>
  <c r="AN13" i="4"/>
  <c r="AO13" i="4"/>
  <c r="AP13" i="4"/>
  <c r="AQ13" i="4"/>
  <c r="AR13" i="4"/>
  <c r="AS13" i="4"/>
  <c r="AT13" i="4"/>
  <c r="AU13" i="4"/>
  <c r="AV13" i="4"/>
  <c r="AW13" i="4"/>
  <c r="AX13" i="4"/>
  <c r="AY13" i="4"/>
  <c r="AZ13" i="4"/>
  <c r="BA13" i="4"/>
  <c r="BB13" i="4"/>
  <c r="BC13" i="4"/>
  <c r="BD13" i="4"/>
  <c r="BE13" i="4"/>
  <c r="BF13" i="4"/>
  <c r="BG13" i="4"/>
  <c r="BH13" i="4"/>
  <c r="BI13" i="4"/>
  <c r="BJ13" i="4"/>
  <c r="BK13" i="4"/>
  <c r="BL13" i="4"/>
  <c r="A14" i="4"/>
  <c r="B14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AI14" i="4"/>
  <c r="AJ14" i="4"/>
  <c r="AK14" i="4"/>
  <c r="AL14" i="4"/>
  <c r="AM14" i="4"/>
  <c r="AN14" i="4"/>
  <c r="AO14" i="4"/>
  <c r="AP14" i="4"/>
  <c r="AQ14" i="4"/>
  <c r="AR14" i="4"/>
  <c r="AS14" i="4"/>
  <c r="AT14" i="4"/>
  <c r="AU14" i="4"/>
  <c r="AV14" i="4"/>
  <c r="AW14" i="4"/>
  <c r="AX14" i="4"/>
  <c r="AY14" i="4"/>
  <c r="AZ14" i="4"/>
  <c r="BA14" i="4"/>
  <c r="BB14" i="4"/>
  <c r="BC14" i="4"/>
  <c r="BD14" i="4"/>
  <c r="BE14" i="4"/>
  <c r="BF14" i="4"/>
  <c r="BG14" i="4"/>
  <c r="BH14" i="4"/>
  <c r="BI14" i="4"/>
  <c r="BJ14" i="4"/>
  <c r="BK14" i="4"/>
  <c r="BL14" i="4"/>
  <c r="A15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AI15" i="4"/>
  <c r="AJ15" i="4"/>
  <c r="AK15" i="4"/>
  <c r="AL15" i="4"/>
  <c r="AM15" i="4"/>
  <c r="AN15" i="4"/>
  <c r="AO15" i="4"/>
  <c r="AP15" i="4"/>
  <c r="AQ15" i="4"/>
  <c r="AR15" i="4"/>
  <c r="AS15" i="4"/>
  <c r="AT15" i="4"/>
  <c r="AU15" i="4"/>
  <c r="AV15" i="4"/>
  <c r="AW15" i="4"/>
  <c r="AX15" i="4"/>
  <c r="AY15" i="4"/>
  <c r="AZ15" i="4"/>
  <c r="BA15" i="4"/>
  <c r="BB15" i="4"/>
  <c r="BC15" i="4"/>
  <c r="BD15" i="4"/>
  <c r="BE15" i="4"/>
  <c r="BF15" i="4"/>
  <c r="BG15" i="4"/>
  <c r="BH15" i="4"/>
  <c r="BI15" i="4"/>
  <c r="BJ15" i="4"/>
  <c r="BK15" i="4"/>
  <c r="BL15" i="4"/>
  <c r="A16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AJ16" i="4"/>
  <c r="AK16" i="4"/>
  <c r="AL16" i="4"/>
  <c r="AM16" i="4"/>
  <c r="AN16" i="4"/>
  <c r="AO16" i="4"/>
  <c r="AP16" i="4"/>
  <c r="AQ16" i="4"/>
  <c r="AR16" i="4"/>
  <c r="AS16" i="4"/>
  <c r="AT16" i="4"/>
  <c r="AU16" i="4"/>
  <c r="AV16" i="4"/>
  <c r="AW16" i="4"/>
  <c r="AX16" i="4"/>
  <c r="AY16" i="4"/>
  <c r="AZ16" i="4"/>
  <c r="BA16" i="4"/>
  <c r="BB16" i="4"/>
  <c r="BC16" i="4"/>
  <c r="BD16" i="4"/>
  <c r="BE16" i="4"/>
  <c r="BF16" i="4"/>
  <c r="BG16" i="4"/>
  <c r="BH16" i="4"/>
  <c r="BI16" i="4"/>
  <c r="BJ16" i="4"/>
  <c r="BK16" i="4"/>
  <c r="BL16" i="4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P17" i="4"/>
  <c r="AQ17" i="4"/>
  <c r="AR17" i="4"/>
  <c r="AS17" i="4"/>
  <c r="AT17" i="4"/>
  <c r="AU17" i="4"/>
  <c r="AV17" i="4"/>
  <c r="AW17" i="4"/>
  <c r="AX17" i="4"/>
  <c r="AY17" i="4"/>
  <c r="AZ17" i="4"/>
  <c r="BA17" i="4"/>
  <c r="BB17" i="4"/>
  <c r="BC17" i="4"/>
  <c r="BD17" i="4"/>
  <c r="BE17" i="4"/>
  <c r="BF17" i="4"/>
  <c r="BG17" i="4"/>
  <c r="BH17" i="4"/>
  <c r="BI17" i="4"/>
  <c r="BJ17" i="4"/>
  <c r="BK17" i="4"/>
  <c r="BL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P18" i="4"/>
  <c r="AQ18" i="4"/>
  <c r="AR18" i="4"/>
  <c r="AS18" i="4"/>
  <c r="AT18" i="4"/>
  <c r="AU18" i="4"/>
  <c r="AV18" i="4"/>
  <c r="AW18" i="4"/>
  <c r="AX18" i="4"/>
  <c r="AY18" i="4"/>
  <c r="AZ18" i="4"/>
  <c r="BA18" i="4"/>
  <c r="BB18" i="4"/>
  <c r="BC18" i="4"/>
  <c r="BD18" i="4"/>
  <c r="BE18" i="4"/>
  <c r="BF18" i="4"/>
  <c r="BG18" i="4"/>
  <c r="BH18" i="4"/>
  <c r="BI18" i="4"/>
  <c r="BJ18" i="4"/>
  <c r="BK18" i="4"/>
  <c r="BL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P19" i="4"/>
  <c r="AQ19" i="4"/>
  <c r="AR19" i="4"/>
  <c r="AS19" i="4"/>
  <c r="AT19" i="4"/>
  <c r="AU19" i="4"/>
  <c r="AV19" i="4"/>
  <c r="AW19" i="4"/>
  <c r="AX19" i="4"/>
  <c r="AY19" i="4"/>
  <c r="AZ19" i="4"/>
  <c r="BA19" i="4"/>
  <c r="BB19" i="4"/>
  <c r="BC19" i="4"/>
  <c r="BD19" i="4"/>
  <c r="BE19" i="4"/>
  <c r="BF19" i="4"/>
  <c r="BG19" i="4"/>
  <c r="BH19" i="4"/>
  <c r="BI19" i="4"/>
  <c r="BJ19" i="4"/>
  <c r="BK19" i="4"/>
  <c r="BL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P20" i="4"/>
  <c r="AQ20" i="4"/>
  <c r="AR20" i="4"/>
  <c r="AS20" i="4"/>
  <c r="AT20" i="4"/>
  <c r="AU20" i="4"/>
  <c r="AV20" i="4"/>
  <c r="AW20" i="4"/>
  <c r="AX20" i="4"/>
  <c r="AY20" i="4"/>
  <c r="AZ20" i="4"/>
  <c r="BA20" i="4"/>
  <c r="BB20" i="4"/>
  <c r="BC20" i="4"/>
  <c r="BD20" i="4"/>
  <c r="BE20" i="4"/>
  <c r="BF20" i="4"/>
  <c r="BG20" i="4"/>
  <c r="BH20" i="4"/>
  <c r="BI20" i="4"/>
  <c r="BJ20" i="4"/>
  <c r="BK20" i="4"/>
  <c r="BL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P21" i="4"/>
  <c r="AQ21" i="4"/>
  <c r="AR21" i="4"/>
  <c r="AS21" i="4"/>
  <c r="AT21" i="4"/>
  <c r="AU21" i="4"/>
  <c r="AV21" i="4"/>
  <c r="AW21" i="4"/>
  <c r="AX21" i="4"/>
  <c r="AY21" i="4"/>
  <c r="AZ21" i="4"/>
  <c r="BA21" i="4"/>
  <c r="BB21" i="4"/>
  <c r="BC21" i="4"/>
  <c r="BD21" i="4"/>
  <c r="BE21" i="4"/>
  <c r="BF21" i="4"/>
  <c r="BG21" i="4"/>
  <c r="BH21" i="4"/>
  <c r="BI21" i="4"/>
  <c r="BJ21" i="4"/>
  <c r="BK21" i="4"/>
  <c r="BL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P22" i="4"/>
  <c r="AQ22" i="4"/>
  <c r="AR22" i="4"/>
  <c r="AS22" i="4"/>
  <c r="AT22" i="4"/>
  <c r="AU22" i="4"/>
  <c r="AV22" i="4"/>
  <c r="AW22" i="4"/>
  <c r="AX22" i="4"/>
  <c r="AY22" i="4"/>
  <c r="AZ22" i="4"/>
  <c r="BA22" i="4"/>
  <c r="BB22" i="4"/>
  <c r="BC22" i="4"/>
  <c r="BD22" i="4"/>
  <c r="BE22" i="4"/>
  <c r="BF22" i="4"/>
  <c r="BG22" i="4"/>
  <c r="BH22" i="4"/>
  <c r="BI22" i="4"/>
  <c r="BJ22" i="4"/>
  <c r="BK22" i="4"/>
  <c r="BL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P23" i="4"/>
  <c r="AQ23" i="4"/>
  <c r="AR23" i="4"/>
  <c r="AS23" i="4"/>
  <c r="AT23" i="4"/>
  <c r="AU23" i="4"/>
  <c r="AV23" i="4"/>
  <c r="AW23" i="4"/>
  <c r="AX23" i="4"/>
  <c r="AY23" i="4"/>
  <c r="AZ23" i="4"/>
  <c r="BA23" i="4"/>
  <c r="BB23" i="4"/>
  <c r="BC23" i="4"/>
  <c r="BD23" i="4"/>
  <c r="BE23" i="4"/>
  <c r="BF23" i="4"/>
  <c r="BG23" i="4"/>
  <c r="BH23" i="4"/>
  <c r="BI23" i="4"/>
  <c r="BJ23" i="4"/>
  <c r="BK23" i="4"/>
  <c r="BL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P24" i="4"/>
  <c r="AQ24" i="4"/>
  <c r="AR24" i="4"/>
  <c r="AS24" i="4"/>
  <c r="AT24" i="4"/>
  <c r="AU24" i="4"/>
  <c r="AV24" i="4"/>
  <c r="AW24" i="4"/>
  <c r="AX24" i="4"/>
  <c r="AY24" i="4"/>
  <c r="AZ24" i="4"/>
  <c r="BA24" i="4"/>
  <c r="BB24" i="4"/>
  <c r="BC24" i="4"/>
  <c r="BD24" i="4"/>
  <c r="BE24" i="4"/>
  <c r="BF24" i="4"/>
  <c r="BG24" i="4"/>
  <c r="BH24" i="4"/>
  <c r="BI24" i="4"/>
  <c r="BJ24" i="4"/>
  <c r="BK24" i="4"/>
  <c r="BL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P25" i="4"/>
  <c r="AQ25" i="4"/>
  <c r="AR25" i="4"/>
  <c r="AS25" i="4"/>
  <c r="AT25" i="4"/>
  <c r="AU25" i="4"/>
  <c r="AV25" i="4"/>
  <c r="AW25" i="4"/>
  <c r="AX25" i="4"/>
  <c r="AY25" i="4"/>
  <c r="AZ25" i="4"/>
  <c r="BA25" i="4"/>
  <c r="BB25" i="4"/>
  <c r="BC25" i="4"/>
  <c r="BD25" i="4"/>
  <c r="BE25" i="4"/>
  <c r="BF25" i="4"/>
  <c r="BG25" i="4"/>
  <c r="BH25" i="4"/>
  <c r="BI25" i="4"/>
  <c r="BJ25" i="4"/>
  <c r="BK25" i="4"/>
  <c r="BL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P26" i="4"/>
  <c r="AQ26" i="4"/>
  <c r="AR26" i="4"/>
  <c r="AS26" i="4"/>
  <c r="AT26" i="4"/>
  <c r="AU26" i="4"/>
  <c r="AV26" i="4"/>
  <c r="AW26" i="4"/>
  <c r="AX26" i="4"/>
  <c r="AY26" i="4"/>
  <c r="AZ26" i="4"/>
  <c r="BA26" i="4"/>
  <c r="BB26" i="4"/>
  <c r="BC26" i="4"/>
  <c r="BD26" i="4"/>
  <c r="BE26" i="4"/>
  <c r="BF26" i="4"/>
  <c r="BG26" i="4"/>
  <c r="BH26" i="4"/>
  <c r="BI26" i="4"/>
  <c r="BJ26" i="4"/>
  <c r="BK26" i="4"/>
  <c r="BL26" i="4"/>
  <c r="A27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AF27" i="4"/>
  <c r="AG27" i="4"/>
  <c r="AH27" i="4"/>
  <c r="AI27" i="4"/>
  <c r="AJ27" i="4"/>
  <c r="AK27" i="4"/>
  <c r="AL27" i="4"/>
  <c r="AM27" i="4"/>
  <c r="AN27" i="4"/>
  <c r="AO27" i="4"/>
  <c r="AP27" i="4"/>
  <c r="AQ27" i="4"/>
  <c r="AR27" i="4"/>
  <c r="AS27" i="4"/>
  <c r="AT27" i="4"/>
  <c r="AU27" i="4"/>
  <c r="AV27" i="4"/>
  <c r="AW27" i="4"/>
  <c r="AX27" i="4"/>
  <c r="AY27" i="4"/>
  <c r="AZ27" i="4"/>
  <c r="BA27" i="4"/>
  <c r="BB27" i="4"/>
  <c r="BC27" i="4"/>
  <c r="BD27" i="4"/>
  <c r="BE27" i="4"/>
  <c r="BF27" i="4"/>
  <c r="BG27" i="4"/>
  <c r="BH27" i="4"/>
  <c r="BI27" i="4"/>
  <c r="BJ27" i="4"/>
  <c r="BK27" i="4"/>
  <c r="BL27" i="4"/>
  <c r="A28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AF28" i="4"/>
  <c r="AG28" i="4"/>
  <c r="AH28" i="4"/>
  <c r="AI28" i="4"/>
  <c r="AJ28" i="4"/>
  <c r="AK28" i="4"/>
  <c r="AL28" i="4"/>
  <c r="AM28" i="4"/>
  <c r="AN28" i="4"/>
  <c r="AO28" i="4"/>
  <c r="AP28" i="4"/>
  <c r="AQ28" i="4"/>
  <c r="AR28" i="4"/>
  <c r="AS28" i="4"/>
  <c r="AT28" i="4"/>
  <c r="AU28" i="4"/>
  <c r="AV28" i="4"/>
  <c r="AW28" i="4"/>
  <c r="AX28" i="4"/>
  <c r="AY28" i="4"/>
  <c r="AZ28" i="4"/>
  <c r="BA28" i="4"/>
  <c r="BB28" i="4"/>
  <c r="BC28" i="4"/>
  <c r="BD28" i="4"/>
  <c r="BE28" i="4"/>
  <c r="BF28" i="4"/>
  <c r="BG28" i="4"/>
  <c r="BH28" i="4"/>
  <c r="BI28" i="4"/>
  <c r="BJ28" i="4"/>
  <c r="BK28" i="4"/>
  <c r="BL28" i="4"/>
  <c r="A29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AI29" i="4"/>
  <c r="AJ29" i="4"/>
  <c r="AK29" i="4"/>
  <c r="AL29" i="4"/>
  <c r="AM29" i="4"/>
  <c r="AN29" i="4"/>
  <c r="AO29" i="4"/>
  <c r="AP29" i="4"/>
  <c r="AQ29" i="4"/>
  <c r="AR29" i="4"/>
  <c r="AS29" i="4"/>
  <c r="AT29" i="4"/>
  <c r="AU29" i="4"/>
  <c r="AV29" i="4"/>
  <c r="AW29" i="4"/>
  <c r="AX29" i="4"/>
  <c r="AY29" i="4"/>
  <c r="AZ29" i="4"/>
  <c r="BA29" i="4"/>
  <c r="BB29" i="4"/>
  <c r="BC29" i="4"/>
  <c r="BD29" i="4"/>
  <c r="BE29" i="4"/>
  <c r="BF29" i="4"/>
  <c r="BG29" i="4"/>
  <c r="BH29" i="4"/>
  <c r="BI29" i="4"/>
  <c r="BJ29" i="4"/>
  <c r="BK29" i="4"/>
  <c r="BL29" i="4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P30" i="4"/>
  <c r="AQ30" i="4"/>
  <c r="AR30" i="4"/>
  <c r="AS30" i="4"/>
  <c r="AT30" i="4"/>
  <c r="AU30" i="4"/>
  <c r="AV30" i="4"/>
  <c r="AW30" i="4"/>
  <c r="AX30" i="4"/>
  <c r="AY30" i="4"/>
  <c r="AZ30" i="4"/>
  <c r="BA30" i="4"/>
  <c r="BB30" i="4"/>
  <c r="BC30" i="4"/>
  <c r="BD30" i="4"/>
  <c r="BE30" i="4"/>
  <c r="BF30" i="4"/>
  <c r="BG30" i="4"/>
  <c r="BH30" i="4"/>
  <c r="BI30" i="4"/>
  <c r="BJ30" i="4"/>
  <c r="BK30" i="4"/>
  <c r="BL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P31" i="4"/>
  <c r="AQ31" i="4"/>
  <c r="AR31" i="4"/>
  <c r="AS31" i="4"/>
  <c r="AT31" i="4"/>
  <c r="AU31" i="4"/>
  <c r="AV31" i="4"/>
  <c r="AW31" i="4"/>
  <c r="AX31" i="4"/>
  <c r="AY31" i="4"/>
  <c r="AZ31" i="4"/>
  <c r="BA31" i="4"/>
  <c r="BB31" i="4"/>
  <c r="BC31" i="4"/>
  <c r="BD31" i="4"/>
  <c r="BE31" i="4"/>
  <c r="BF31" i="4"/>
  <c r="BG31" i="4"/>
  <c r="BH31" i="4"/>
  <c r="BI31" i="4"/>
  <c r="BJ31" i="4"/>
  <c r="BK31" i="4"/>
  <c r="BL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P32" i="4"/>
  <c r="AQ32" i="4"/>
  <c r="AR32" i="4"/>
  <c r="AS32" i="4"/>
  <c r="AT32" i="4"/>
  <c r="AU32" i="4"/>
  <c r="AV32" i="4"/>
  <c r="AW32" i="4"/>
  <c r="AX32" i="4"/>
  <c r="AY32" i="4"/>
  <c r="AZ32" i="4"/>
  <c r="BA32" i="4"/>
  <c r="BB32" i="4"/>
  <c r="BC32" i="4"/>
  <c r="BD32" i="4"/>
  <c r="BE32" i="4"/>
  <c r="BF32" i="4"/>
  <c r="BG32" i="4"/>
  <c r="BH32" i="4"/>
  <c r="BI32" i="4"/>
  <c r="BJ32" i="4"/>
  <c r="BK32" i="4"/>
  <c r="BL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P34" i="4"/>
  <c r="AQ34" i="4"/>
  <c r="AR34" i="4"/>
  <c r="AS34" i="4"/>
  <c r="AT34" i="4"/>
  <c r="AU34" i="4"/>
  <c r="AV34" i="4"/>
  <c r="AW34" i="4"/>
  <c r="AX34" i="4"/>
  <c r="AY34" i="4"/>
  <c r="AZ34" i="4"/>
  <c r="BA34" i="4"/>
  <c r="BB34" i="4"/>
  <c r="BC34" i="4"/>
  <c r="BD34" i="4"/>
  <c r="BE34" i="4"/>
  <c r="BF34" i="4"/>
  <c r="BG34" i="4"/>
  <c r="BH34" i="4"/>
  <c r="BI34" i="4"/>
  <c r="BJ34" i="4"/>
  <c r="BK34" i="4"/>
  <c r="BL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P35" i="4"/>
  <c r="AQ35" i="4"/>
  <c r="AR35" i="4"/>
  <c r="AS35" i="4"/>
  <c r="AT35" i="4"/>
  <c r="AU35" i="4"/>
  <c r="AV35" i="4"/>
  <c r="AW35" i="4"/>
  <c r="AX35" i="4"/>
  <c r="AY35" i="4"/>
  <c r="AZ35" i="4"/>
  <c r="BA35" i="4"/>
  <c r="BB35" i="4"/>
  <c r="BC35" i="4"/>
  <c r="BD35" i="4"/>
  <c r="BE35" i="4"/>
  <c r="BF35" i="4"/>
  <c r="BG35" i="4"/>
  <c r="BH35" i="4"/>
  <c r="BI35" i="4"/>
  <c r="BJ35" i="4"/>
  <c r="BK35" i="4"/>
  <c r="BL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P36" i="4"/>
  <c r="AQ36" i="4"/>
  <c r="AR36" i="4"/>
  <c r="AS36" i="4"/>
  <c r="AT36" i="4"/>
  <c r="AU36" i="4"/>
  <c r="AV36" i="4"/>
  <c r="AW36" i="4"/>
  <c r="AX36" i="4"/>
  <c r="AY36" i="4"/>
  <c r="AZ36" i="4"/>
  <c r="BA36" i="4"/>
  <c r="BB36" i="4"/>
  <c r="BC36" i="4"/>
  <c r="BD36" i="4"/>
  <c r="BE36" i="4"/>
  <c r="BF36" i="4"/>
  <c r="BG36" i="4"/>
  <c r="BH36" i="4"/>
  <c r="BI36" i="4"/>
  <c r="BJ36" i="4"/>
  <c r="BK36" i="4"/>
  <c r="BL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P37" i="4"/>
  <c r="AQ37" i="4"/>
  <c r="AR37" i="4"/>
  <c r="AS37" i="4"/>
  <c r="AT37" i="4"/>
  <c r="AU37" i="4"/>
  <c r="AV37" i="4"/>
  <c r="AW37" i="4"/>
  <c r="AX37" i="4"/>
  <c r="AY37" i="4"/>
  <c r="AZ37" i="4"/>
  <c r="BA37" i="4"/>
  <c r="BB37" i="4"/>
  <c r="BC37" i="4"/>
  <c r="BD37" i="4"/>
  <c r="BE37" i="4"/>
  <c r="BF37" i="4"/>
  <c r="BG37" i="4"/>
  <c r="BH37" i="4"/>
  <c r="BI37" i="4"/>
  <c r="BJ37" i="4"/>
  <c r="BK37" i="4"/>
  <c r="BL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P38" i="4"/>
  <c r="AQ38" i="4"/>
  <c r="AR38" i="4"/>
  <c r="AS38" i="4"/>
  <c r="AT38" i="4"/>
  <c r="AU38" i="4"/>
  <c r="AV38" i="4"/>
  <c r="AW38" i="4"/>
  <c r="AX38" i="4"/>
  <c r="AY38" i="4"/>
  <c r="AZ38" i="4"/>
  <c r="BA38" i="4"/>
  <c r="BB38" i="4"/>
  <c r="BC38" i="4"/>
  <c r="BD38" i="4"/>
  <c r="BE38" i="4"/>
  <c r="BF38" i="4"/>
  <c r="BG38" i="4"/>
  <c r="BH38" i="4"/>
  <c r="BI38" i="4"/>
  <c r="BJ38" i="4"/>
  <c r="BK38" i="4"/>
  <c r="BL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AP39" i="4"/>
  <c r="AQ39" i="4"/>
  <c r="AR39" i="4"/>
  <c r="AS39" i="4"/>
  <c r="AT39" i="4"/>
  <c r="AU39" i="4"/>
  <c r="AV39" i="4"/>
  <c r="AW39" i="4"/>
  <c r="AX39" i="4"/>
  <c r="AY39" i="4"/>
  <c r="AZ39" i="4"/>
  <c r="BA39" i="4"/>
  <c r="BB39" i="4"/>
  <c r="BC39" i="4"/>
  <c r="BD39" i="4"/>
  <c r="BE39" i="4"/>
  <c r="BF39" i="4"/>
  <c r="BG39" i="4"/>
  <c r="BH39" i="4"/>
  <c r="BI39" i="4"/>
  <c r="BJ39" i="4"/>
  <c r="BK39" i="4"/>
  <c r="BL39" i="4"/>
  <c r="A40" i="4"/>
  <c r="B40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A41" i="4"/>
  <c r="B41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AF41" i="4"/>
  <c r="AG41" i="4"/>
  <c r="AH41" i="4"/>
  <c r="AI41" i="4"/>
  <c r="AJ41" i="4"/>
  <c r="AK41" i="4"/>
  <c r="AL41" i="4"/>
  <c r="AM41" i="4"/>
  <c r="AN41" i="4"/>
  <c r="AO41" i="4"/>
  <c r="AP41" i="4"/>
  <c r="AQ41" i="4"/>
  <c r="AR41" i="4"/>
  <c r="AS41" i="4"/>
  <c r="AT41" i="4"/>
  <c r="AU41" i="4"/>
  <c r="AV41" i="4"/>
  <c r="AW41" i="4"/>
  <c r="AX41" i="4"/>
  <c r="AY41" i="4"/>
  <c r="AZ41" i="4"/>
  <c r="BA41" i="4"/>
  <c r="BB41" i="4"/>
  <c r="BC41" i="4"/>
  <c r="BD41" i="4"/>
  <c r="BE41" i="4"/>
  <c r="BF41" i="4"/>
  <c r="BG41" i="4"/>
  <c r="BH41" i="4"/>
  <c r="BI41" i="4"/>
  <c r="BJ41" i="4"/>
  <c r="BK41" i="4"/>
  <c r="BL41" i="4"/>
  <c r="A42" i="4"/>
  <c r="B42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AJ42" i="4"/>
  <c r="AK42" i="4"/>
  <c r="AL42" i="4"/>
  <c r="AM42" i="4"/>
  <c r="AN42" i="4"/>
  <c r="AO42" i="4"/>
  <c r="AP42" i="4"/>
  <c r="AQ42" i="4"/>
  <c r="AR42" i="4"/>
  <c r="AS42" i="4"/>
  <c r="AT42" i="4"/>
  <c r="AU42" i="4"/>
  <c r="AV42" i="4"/>
  <c r="AW42" i="4"/>
  <c r="AX42" i="4"/>
  <c r="AY42" i="4"/>
  <c r="AZ42" i="4"/>
  <c r="BA42" i="4"/>
  <c r="BB42" i="4"/>
  <c r="BC42" i="4"/>
  <c r="BD42" i="4"/>
  <c r="BE42" i="4"/>
  <c r="BF42" i="4"/>
  <c r="BG42" i="4"/>
  <c r="BH42" i="4"/>
  <c r="BI42" i="4"/>
  <c r="BJ42" i="4"/>
  <c r="BK42" i="4"/>
  <c r="BL42" i="4"/>
  <c r="A43" i="4"/>
  <c r="B43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AK43" i="4"/>
  <c r="AL43" i="4"/>
  <c r="AM43" i="4"/>
  <c r="AN43" i="4"/>
  <c r="AO43" i="4"/>
  <c r="AP43" i="4"/>
  <c r="AQ43" i="4"/>
  <c r="AR43" i="4"/>
  <c r="AS43" i="4"/>
  <c r="AT43" i="4"/>
  <c r="AU43" i="4"/>
  <c r="AV43" i="4"/>
  <c r="AW43" i="4"/>
  <c r="AX43" i="4"/>
  <c r="AY43" i="4"/>
  <c r="AZ43" i="4"/>
  <c r="BA43" i="4"/>
  <c r="BB43" i="4"/>
  <c r="BC43" i="4"/>
  <c r="BD43" i="4"/>
  <c r="BE43" i="4"/>
  <c r="BF43" i="4"/>
  <c r="BG43" i="4"/>
  <c r="BH43" i="4"/>
  <c r="BI43" i="4"/>
  <c r="BJ43" i="4"/>
  <c r="BK43" i="4"/>
  <c r="BL43" i="4"/>
  <c r="A44" i="4"/>
  <c r="B44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AI44" i="4"/>
  <c r="AJ44" i="4"/>
  <c r="AK44" i="4"/>
  <c r="AL44" i="4"/>
  <c r="AM44" i="4"/>
  <c r="AN44" i="4"/>
  <c r="AO44" i="4"/>
  <c r="AP44" i="4"/>
  <c r="AQ44" i="4"/>
  <c r="AR44" i="4"/>
  <c r="AS44" i="4"/>
  <c r="AT44" i="4"/>
  <c r="AU44" i="4"/>
  <c r="AV44" i="4"/>
  <c r="AW44" i="4"/>
  <c r="AX44" i="4"/>
  <c r="AY44" i="4"/>
  <c r="AZ44" i="4"/>
  <c r="BA44" i="4"/>
  <c r="BB44" i="4"/>
  <c r="BC44" i="4"/>
  <c r="BD44" i="4"/>
  <c r="BE44" i="4"/>
  <c r="BF44" i="4"/>
  <c r="BG44" i="4"/>
  <c r="BH44" i="4"/>
  <c r="BI44" i="4"/>
  <c r="BJ44" i="4"/>
  <c r="BK44" i="4"/>
  <c r="BL44" i="4"/>
  <c r="A45" i="4"/>
  <c r="B45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AK45" i="4"/>
  <c r="AL45" i="4"/>
  <c r="AM45" i="4"/>
  <c r="AN45" i="4"/>
  <c r="AO45" i="4"/>
  <c r="AP45" i="4"/>
  <c r="AQ45" i="4"/>
  <c r="AR45" i="4"/>
  <c r="AS45" i="4"/>
  <c r="AT45" i="4"/>
  <c r="AU45" i="4"/>
  <c r="AV45" i="4"/>
  <c r="AW45" i="4"/>
  <c r="AX45" i="4"/>
  <c r="AY45" i="4"/>
  <c r="AZ45" i="4"/>
  <c r="BA45" i="4"/>
  <c r="BB45" i="4"/>
  <c r="BC45" i="4"/>
  <c r="BD45" i="4"/>
  <c r="BE45" i="4"/>
  <c r="BF45" i="4"/>
  <c r="BG45" i="4"/>
  <c r="BH45" i="4"/>
  <c r="BI45" i="4"/>
  <c r="BJ45" i="4"/>
  <c r="BK45" i="4"/>
  <c r="BL45" i="4"/>
  <c r="A46" i="4"/>
  <c r="B46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AI46" i="4"/>
  <c r="AJ46" i="4"/>
  <c r="AK46" i="4"/>
  <c r="AL46" i="4"/>
  <c r="AM46" i="4"/>
  <c r="AN46" i="4"/>
  <c r="AO46" i="4"/>
  <c r="AP46" i="4"/>
  <c r="AQ46" i="4"/>
  <c r="AR46" i="4"/>
  <c r="AS46" i="4"/>
  <c r="AT46" i="4"/>
  <c r="AU46" i="4"/>
  <c r="AV46" i="4"/>
  <c r="AW46" i="4"/>
  <c r="AX46" i="4"/>
  <c r="AY46" i="4"/>
  <c r="AZ46" i="4"/>
  <c r="BA46" i="4"/>
  <c r="BB46" i="4"/>
  <c r="BC46" i="4"/>
  <c r="BD46" i="4"/>
  <c r="BE46" i="4"/>
  <c r="BF46" i="4"/>
  <c r="BG46" i="4"/>
  <c r="BH46" i="4"/>
  <c r="BI46" i="4"/>
  <c r="BJ46" i="4"/>
  <c r="BK46" i="4"/>
  <c r="BL46" i="4"/>
  <c r="A47" i="4"/>
  <c r="B47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AH47" i="4"/>
  <c r="AI47" i="4"/>
  <c r="AJ47" i="4"/>
  <c r="AK47" i="4"/>
  <c r="AL47" i="4"/>
  <c r="AM47" i="4"/>
  <c r="AN47" i="4"/>
  <c r="AO47" i="4"/>
  <c r="AP47" i="4"/>
  <c r="AQ47" i="4"/>
  <c r="AR47" i="4"/>
  <c r="AS47" i="4"/>
  <c r="AT47" i="4"/>
  <c r="AU47" i="4"/>
  <c r="AV47" i="4"/>
  <c r="AW47" i="4"/>
  <c r="AX47" i="4"/>
  <c r="AY47" i="4"/>
  <c r="AZ47" i="4"/>
  <c r="BA47" i="4"/>
  <c r="BB47" i="4"/>
  <c r="BC47" i="4"/>
  <c r="BD47" i="4"/>
  <c r="BE47" i="4"/>
  <c r="BF47" i="4"/>
  <c r="BG47" i="4"/>
  <c r="BH47" i="4"/>
  <c r="BI47" i="4"/>
  <c r="BJ47" i="4"/>
  <c r="BK47" i="4"/>
  <c r="BL47" i="4"/>
  <c r="A48" i="4"/>
  <c r="B48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AH48" i="4"/>
  <c r="AI48" i="4"/>
  <c r="AJ48" i="4"/>
  <c r="AK48" i="4"/>
  <c r="AL48" i="4"/>
  <c r="AM48" i="4"/>
  <c r="AN48" i="4"/>
  <c r="AO48" i="4"/>
  <c r="AP48" i="4"/>
  <c r="AQ48" i="4"/>
  <c r="AR48" i="4"/>
  <c r="AS48" i="4"/>
  <c r="AT48" i="4"/>
  <c r="AU48" i="4"/>
  <c r="AV48" i="4"/>
  <c r="AW48" i="4"/>
  <c r="AX48" i="4"/>
  <c r="AY48" i="4"/>
  <c r="AZ48" i="4"/>
  <c r="BA48" i="4"/>
  <c r="BB48" i="4"/>
  <c r="BC48" i="4"/>
  <c r="BD48" i="4"/>
  <c r="BE48" i="4"/>
  <c r="BF48" i="4"/>
  <c r="BG48" i="4"/>
  <c r="BH48" i="4"/>
  <c r="BI48" i="4"/>
  <c r="BJ48" i="4"/>
  <c r="BK48" i="4"/>
  <c r="BL48" i="4"/>
  <c r="A49" i="4"/>
  <c r="B49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AK49" i="4"/>
  <c r="AL49" i="4"/>
  <c r="AM49" i="4"/>
  <c r="AN49" i="4"/>
  <c r="AO49" i="4"/>
  <c r="AP49" i="4"/>
  <c r="AQ49" i="4"/>
  <c r="AR49" i="4"/>
  <c r="AS49" i="4"/>
  <c r="AT49" i="4"/>
  <c r="AU49" i="4"/>
  <c r="AV49" i="4"/>
  <c r="AW49" i="4"/>
  <c r="AX49" i="4"/>
  <c r="AY49" i="4"/>
  <c r="AZ49" i="4"/>
  <c r="BA49" i="4"/>
  <c r="BB49" i="4"/>
  <c r="BC49" i="4"/>
  <c r="BD49" i="4"/>
  <c r="BE49" i="4"/>
  <c r="BF49" i="4"/>
  <c r="BG49" i="4"/>
  <c r="BH49" i="4"/>
  <c r="BI49" i="4"/>
  <c r="BJ49" i="4"/>
  <c r="BK49" i="4"/>
  <c r="BL49" i="4"/>
  <c r="A50" i="4"/>
  <c r="B50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AD50" i="4"/>
  <c r="AE50" i="4"/>
  <c r="AF50" i="4"/>
  <c r="AG50" i="4"/>
  <c r="AH50" i="4"/>
  <c r="AI50" i="4"/>
  <c r="AJ50" i="4"/>
  <c r="AK50" i="4"/>
  <c r="AL50" i="4"/>
  <c r="AM50" i="4"/>
  <c r="AN50" i="4"/>
  <c r="AO50" i="4"/>
  <c r="AP50" i="4"/>
  <c r="AQ50" i="4"/>
  <c r="AR50" i="4"/>
  <c r="AS50" i="4"/>
  <c r="AT50" i="4"/>
  <c r="AU50" i="4"/>
  <c r="AV50" i="4"/>
  <c r="AW50" i="4"/>
  <c r="AX50" i="4"/>
  <c r="AY50" i="4"/>
  <c r="AZ50" i="4"/>
  <c r="BA50" i="4"/>
  <c r="BB50" i="4"/>
  <c r="BC50" i="4"/>
  <c r="BD50" i="4"/>
  <c r="BE50" i="4"/>
  <c r="BF50" i="4"/>
  <c r="BG50" i="4"/>
  <c r="BH50" i="4"/>
  <c r="BI50" i="4"/>
  <c r="BJ50" i="4"/>
  <c r="BK50" i="4"/>
  <c r="BL50" i="4"/>
  <c r="A51" i="4"/>
  <c r="B51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AG51" i="4"/>
  <c r="AH51" i="4"/>
  <c r="AI51" i="4"/>
  <c r="AJ51" i="4"/>
  <c r="AK51" i="4"/>
  <c r="AL51" i="4"/>
  <c r="AM51" i="4"/>
  <c r="AN51" i="4"/>
  <c r="AO51" i="4"/>
  <c r="AP51" i="4"/>
  <c r="AQ51" i="4"/>
  <c r="AR51" i="4"/>
  <c r="AS51" i="4"/>
  <c r="AT51" i="4"/>
  <c r="AU51" i="4"/>
  <c r="AV51" i="4"/>
  <c r="AW51" i="4"/>
  <c r="AX51" i="4"/>
  <c r="AY51" i="4"/>
  <c r="AZ51" i="4"/>
  <c r="BA51" i="4"/>
  <c r="BB51" i="4"/>
  <c r="BC51" i="4"/>
  <c r="BD51" i="4"/>
  <c r="BE51" i="4"/>
  <c r="BF51" i="4"/>
  <c r="BG51" i="4"/>
  <c r="BH51" i="4"/>
  <c r="BI51" i="4"/>
  <c r="BJ51" i="4"/>
  <c r="BK51" i="4"/>
  <c r="BL51" i="4"/>
  <c r="A52" i="4"/>
  <c r="B52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AG52" i="4"/>
  <c r="AH52" i="4"/>
  <c r="AI52" i="4"/>
  <c r="AJ52" i="4"/>
  <c r="AK52" i="4"/>
  <c r="AL52" i="4"/>
  <c r="AM52" i="4"/>
  <c r="AN52" i="4"/>
  <c r="AO52" i="4"/>
  <c r="AP52" i="4"/>
  <c r="AQ52" i="4"/>
  <c r="AR52" i="4"/>
  <c r="AS52" i="4"/>
  <c r="AT52" i="4"/>
  <c r="AU52" i="4"/>
  <c r="AV52" i="4"/>
  <c r="AW52" i="4"/>
  <c r="AX52" i="4"/>
  <c r="AY52" i="4"/>
  <c r="AZ52" i="4"/>
  <c r="BA52" i="4"/>
  <c r="BB52" i="4"/>
  <c r="BC52" i="4"/>
  <c r="BD52" i="4"/>
  <c r="BE52" i="4"/>
  <c r="BF52" i="4"/>
  <c r="BG52" i="4"/>
  <c r="BH52" i="4"/>
  <c r="BI52" i="4"/>
  <c r="BJ52" i="4"/>
  <c r="BK52" i="4"/>
  <c r="BL52" i="4"/>
  <c r="A53" i="4"/>
  <c r="B53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AG53" i="4"/>
  <c r="AH53" i="4"/>
  <c r="AI53" i="4"/>
  <c r="AJ53" i="4"/>
  <c r="AK53" i="4"/>
  <c r="AL53" i="4"/>
  <c r="AM53" i="4"/>
  <c r="AN53" i="4"/>
  <c r="AO53" i="4"/>
  <c r="AP53" i="4"/>
  <c r="AQ53" i="4"/>
  <c r="AR53" i="4"/>
  <c r="AS53" i="4"/>
  <c r="AT53" i="4"/>
  <c r="AU53" i="4"/>
  <c r="AV53" i="4"/>
  <c r="AW53" i="4"/>
  <c r="AX53" i="4"/>
  <c r="AY53" i="4"/>
  <c r="AZ53" i="4"/>
  <c r="BA53" i="4"/>
  <c r="BB53" i="4"/>
  <c r="BC53" i="4"/>
  <c r="BD53" i="4"/>
  <c r="BE53" i="4"/>
  <c r="BF53" i="4"/>
  <c r="BG53" i="4"/>
  <c r="BH53" i="4"/>
  <c r="BI53" i="4"/>
  <c r="BJ53" i="4"/>
  <c r="BK53" i="4"/>
  <c r="BL53" i="4"/>
  <c r="A54" i="4"/>
  <c r="B54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AD54" i="4"/>
  <c r="AE54" i="4"/>
  <c r="AF54" i="4"/>
  <c r="AG54" i="4"/>
  <c r="AH54" i="4"/>
  <c r="AI54" i="4"/>
  <c r="AJ54" i="4"/>
  <c r="AK54" i="4"/>
  <c r="AL54" i="4"/>
  <c r="AM54" i="4"/>
  <c r="AN54" i="4"/>
  <c r="AO54" i="4"/>
  <c r="AP54" i="4"/>
  <c r="AQ54" i="4"/>
  <c r="AR54" i="4"/>
  <c r="AS54" i="4"/>
  <c r="AT54" i="4"/>
  <c r="AU54" i="4"/>
  <c r="AV54" i="4"/>
  <c r="AW54" i="4"/>
  <c r="AX54" i="4"/>
  <c r="AY54" i="4"/>
  <c r="AZ54" i="4"/>
  <c r="BA54" i="4"/>
  <c r="BB54" i="4"/>
  <c r="BC54" i="4"/>
  <c r="BD54" i="4"/>
  <c r="BE54" i="4"/>
  <c r="BF54" i="4"/>
  <c r="BG54" i="4"/>
  <c r="BH54" i="4"/>
  <c r="BI54" i="4"/>
  <c r="BJ54" i="4"/>
  <c r="BK54" i="4"/>
  <c r="BL54" i="4"/>
  <c r="A55" i="4"/>
  <c r="B55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BA55" i="4"/>
  <c r="BB55" i="4"/>
  <c r="BC55" i="4"/>
  <c r="BD55" i="4"/>
  <c r="BE55" i="4"/>
  <c r="BF55" i="4"/>
  <c r="BG55" i="4"/>
  <c r="BH55" i="4"/>
  <c r="BI55" i="4"/>
  <c r="BJ55" i="4"/>
  <c r="BK55" i="4"/>
  <c r="BL55" i="4"/>
  <c r="A56" i="4"/>
  <c r="B56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AD56" i="4"/>
  <c r="AE56" i="4"/>
  <c r="AF56" i="4"/>
  <c r="AG56" i="4"/>
  <c r="AH56" i="4"/>
  <c r="AI56" i="4"/>
  <c r="AJ56" i="4"/>
  <c r="AK56" i="4"/>
  <c r="AL56" i="4"/>
  <c r="AM56" i="4"/>
  <c r="AN56" i="4"/>
  <c r="AO56" i="4"/>
  <c r="AP56" i="4"/>
  <c r="AQ56" i="4"/>
  <c r="AR56" i="4"/>
  <c r="AS56" i="4"/>
  <c r="AT56" i="4"/>
  <c r="AU56" i="4"/>
  <c r="AV56" i="4"/>
  <c r="AW56" i="4"/>
  <c r="AX56" i="4"/>
  <c r="AY56" i="4"/>
  <c r="AZ56" i="4"/>
  <c r="BA56" i="4"/>
  <c r="BB56" i="4"/>
  <c r="BC56" i="4"/>
  <c r="BD56" i="4"/>
  <c r="BE56" i="4"/>
  <c r="BF56" i="4"/>
  <c r="BG56" i="4"/>
  <c r="BH56" i="4"/>
  <c r="BI56" i="4"/>
  <c r="BJ56" i="4"/>
  <c r="BK56" i="4"/>
  <c r="BL56" i="4"/>
  <c r="A57" i="4"/>
  <c r="B57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AD57" i="4"/>
  <c r="AE57" i="4"/>
  <c r="AF57" i="4"/>
  <c r="AG57" i="4"/>
  <c r="AH57" i="4"/>
  <c r="AI57" i="4"/>
  <c r="AJ57" i="4"/>
  <c r="AK57" i="4"/>
  <c r="AL57" i="4"/>
  <c r="AM57" i="4"/>
  <c r="AN57" i="4"/>
  <c r="AO57" i="4"/>
  <c r="AP57" i="4"/>
  <c r="AQ57" i="4"/>
  <c r="AR57" i="4"/>
  <c r="AS57" i="4"/>
  <c r="AT57" i="4"/>
  <c r="AU57" i="4"/>
  <c r="AV57" i="4"/>
  <c r="AW57" i="4"/>
  <c r="AX57" i="4"/>
  <c r="AY57" i="4"/>
  <c r="AZ57" i="4"/>
  <c r="BA57" i="4"/>
  <c r="BB57" i="4"/>
  <c r="BC57" i="4"/>
  <c r="BD57" i="4"/>
  <c r="BE57" i="4"/>
  <c r="BF57" i="4"/>
  <c r="BG57" i="4"/>
  <c r="BH57" i="4"/>
  <c r="BI57" i="4"/>
  <c r="BJ57" i="4"/>
  <c r="BK57" i="4"/>
  <c r="BL57" i="4"/>
  <c r="A58" i="4"/>
  <c r="B58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AD58" i="4"/>
  <c r="AE58" i="4"/>
  <c r="AF58" i="4"/>
  <c r="AG58" i="4"/>
  <c r="AH58" i="4"/>
  <c r="AI58" i="4"/>
  <c r="AJ58" i="4"/>
  <c r="AK58" i="4"/>
  <c r="AL58" i="4"/>
  <c r="AM58" i="4"/>
  <c r="AN58" i="4"/>
  <c r="AO58" i="4"/>
  <c r="AP58" i="4"/>
  <c r="AQ58" i="4"/>
  <c r="AR58" i="4"/>
  <c r="AS58" i="4"/>
  <c r="AT58" i="4"/>
  <c r="AU58" i="4"/>
  <c r="AV58" i="4"/>
  <c r="AW58" i="4"/>
  <c r="AX58" i="4"/>
  <c r="AY58" i="4"/>
  <c r="AZ58" i="4"/>
  <c r="BA58" i="4"/>
  <c r="BB58" i="4"/>
  <c r="BC58" i="4"/>
  <c r="BD58" i="4"/>
  <c r="BE58" i="4"/>
  <c r="BF58" i="4"/>
  <c r="BG58" i="4"/>
  <c r="BH58" i="4"/>
  <c r="BI58" i="4"/>
  <c r="BJ58" i="4"/>
  <c r="BK58" i="4"/>
  <c r="BL58" i="4"/>
  <c r="A59" i="4"/>
  <c r="B59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AD59" i="4"/>
  <c r="AE59" i="4"/>
  <c r="AF59" i="4"/>
  <c r="AG59" i="4"/>
  <c r="AH59" i="4"/>
  <c r="AI59" i="4"/>
  <c r="AJ59" i="4"/>
  <c r="AK59" i="4"/>
  <c r="AL59" i="4"/>
  <c r="AM59" i="4"/>
  <c r="AN59" i="4"/>
  <c r="AO59" i="4"/>
  <c r="AP59" i="4"/>
  <c r="AQ59" i="4"/>
  <c r="AR59" i="4"/>
  <c r="AS59" i="4"/>
  <c r="AT59" i="4"/>
  <c r="AU59" i="4"/>
  <c r="AV59" i="4"/>
  <c r="AW59" i="4"/>
  <c r="AX59" i="4"/>
  <c r="AY59" i="4"/>
  <c r="AZ59" i="4"/>
  <c r="BA59" i="4"/>
  <c r="BB59" i="4"/>
  <c r="BC59" i="4"/>
  <c r="BD59" i="4"/>
  <c r="BE59" i="4"/>
  <c r="BF59" i="4"/>
  <c r="BG59" i="4"/>
  <c r="BH59" i="4"/>
  <c r="BI59" i="4"/>
  <c r="BJ59" i="4"/>
  <c r="BK59" i="4"/>
  <c r="BL59" i="4"/>
  <c r="A60" i="4"/>
  <c r="B60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AD60" i="4"/>
  <c r="AE60" i="4"/>
  <c r="AF60" i="4"/>
  <c r="AG60" i="4"/>
  <c r="AH60" i="4"/>
  <c r="AI60" i="4"/>
  <c r="AJ60" i="4"/>
  <c r="AK60" i="4"/>
  <c r="AL60" i="4"/>
  <c r="AM60" i="4"/>
  <c r="AN60" i="4"/>
  <c r="AO60" i="4"/>
  <c r="AP60" i="4"/>
  <c r="AQ60" i="4"/>
  <c r="AR60" i="4"/>
  <c r="AS60" i="4"/>
  <c r="AT60" i="4"/>
  <c r="AU60" i="4"/>
  <c r="AV60" i="4"/>
  <c r="AW60" i="4"/>
  <c r="AX60" i="4"/>
  <c r="AY60" i="4"/>
  <c r="AZ60" i="4"/>
  <c r="BA60" i="4"/>
  <c r="BB60" i="4"/>
  <c r="BC60" i="4"/>
  <c r="BD60" i="4"/>
  <c r="BE60" i="4"/>
  <c r="BF60" i="4"/>
  <c r="BG60" i="4"/>
  <c r="BH60" i="4"/>
  <c r="BI60" i="4"/>
  <c r="BJ60" i="4"/>
  <c r="BK60" i="4"/>
  <c r="BL60" i="4"/>
  <c r="A61" i="4"/>
  <c r="B61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AD61" i="4"/>
  <c r="AE61" i="4"/>
  <c r="AF61" i="4"/>
  <c r="AG61" i="4"/>
  <c r="AH61" i="4"/>
  <c r="AI61" i="4"/>
  <c r="AJ61" i="4"/>
  <c r="AK61" i="4"/>
  <c r="AL61" i="4"/>
  <c r="AM61" i="4"/>
  <c r="AN61" i="4"/>
  <c r="AO61" i="4"/>
  <c r="AP61" i="4"/>
  <c r="AQ61" i="4"/>
  <c r="AR61" i="4"/>
  <c r="AS61" i="4"/>
  <c r="AT61" i="4"/>
  <c r="AU61" i="4"/>
  <c r="AV61" i="4"/>
  <c r="AW61" i="4"/>
  <c r="AX61" i="4"/>
  <c r="AY61" i="4"/>
  <c r="AZ61" i="4"/>
  <c r="BA61" i="4"/>
  <c r="BB61" i="4"/>
  <c r="BC61" i="4"/>
  <c r="BD61" i="4"/>
  <c r="BE61" i="4"/>
  <c r="BF61" i="4"/>
  <c r="BG61" i="4"/>
  <c r="BH61" i="4"/>
  <c r="BI61" i="4"/>
  <c r="BJ61" i="4"/>
  <c r="BK61" i="4"/>
  <c r="BL61" i="4"/>
  <c r="A62" i="4"/>
  <c r="B62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AD62" i="4"/>
  <c r="AE62" i="4"/>
  <c r="AF62" i="4"/>
  <c r="AG62" i="4"/>
  <c r="AH62" i="4"/>
  <c r="AI62" i="4"/>
  <c r="AJ62" i="4"/>
  <c r="AK62" i="4"/>
  <c r="AL62" i="4"/>
  <c r="AM62" i="4"/>
  <c r="AN62" i="4"/>
  <c r="AO62" i="4"/>
  <c r="AP62" i="4"/>
  <c r="AQ62" i="4"/>
  <c r="AR62" i="4"/>
  <c r="AS62" i="4"/>
  <c r="AT62" i="4"/>
  <c r="AU62" i="4"/>
  <c r="AV62" i="4"/>
  <c r="AW62" i="4"/>
  <c r="AX62" i="4"/>
  <c r="AY62" i="4"/>
  <c r="AZ62" i="4"/>
  <c r="BA62" i="4"/>
  <c r="BB62" i="4"/>
  <c r="BC62" i="4"/>
  <c r="BD62" i="4"/>
  <c r="BE62" i="4"/>
  <c r="BF62" i="4"/>
  <c r="BG62" i="4"/>
  <c r="BH62" i="4"/>
  <c r="BI62" i="4"/>
  <c r="BJ62" i="4"/>
  <c r="BK62" i="4"/>
  <c r="BL62" i="4"/>
  <c r="A63" i="4"/>
  <c r="B63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AD63" i="4"/>
  <c r="AE63" i="4"/>
  <c r="AF63" i="4"/>
  <c r="AG63" i="4"/>
  <c r="AH63" i="4"/>
  <c r="AI63" i="4"/>
  <c r="AJ63" i="4"/>
  <c r="AK63" i="4"/>
  <c r="AL63" i="4"/>
  <c r="AM63" i="4"/>
  <c r="AN63" i="4"/>
  <c r="AO63" i="4"/>
  <c r="AP63" i="4"/>
  <c r="AQ63" i="4"/>
  <c r="AR63" i="4"/>
  <c r="AS63" i="4"/>
  <c r="AT63" i="4"/>
  <c r="AU63" i="4"/>
  <c r="AV63" i="4"/>
  <c r="AW63" i="4"/>
  <c r="AX63" i="4"/>
  <c r="AY63" i="4"/>
  <c r="AZ63" i="4"/>
  <c r="BA63" i="4"/>
  <c r="BB63" i="4"/>
  <c r="BC63" i="4"/>
  <c r="BD63" i="4"/>
  <c r="BE63" i="4"/>
  <c r="BF63" i="4"/>
  <c r="BG63" i="4"/>
  <c r="BH63" i="4"/>
  <c r="BI63" i="4"/>
  <c r="BJ63" i="4"/>
  <c r="BK63" i="4"/>
  <c r="BL63" i="4"/>
  <c r="A64" i="4"/>
  <c r="B64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AD64" i="4"/>
  <c r="AE64" i="4"/>
  <c r="AF64" i="4"/>
  <c r="AG64" i="4"/>
  <c r="AH64" i="4"/>
  <c r="AI64" i="4"/>
  <c r="AJ64" i="4"/>
  <c r="AK64" i="4"/>
  <c r="AL64" i="4"/>
  <c r="AM64" i="4"/>
  <c r="AN64" i="4"/>
  <c r="AO64" i="4"/>
  <c r="AP64" i="4"/>
  <c r="AQ64" i="4"/>
  <c r="AR64" i="4"/>
  <c r="AS64" i="4"/>
  <c r="AT64" i="4"/>
  <c r="AU64" i="4"/>
  <c r="AV64" i="4"/>
  <c r="AW64" i="4"/>
  <c r="AX64" i="4"/>
  <c r="AY64" i="4"/>
  <c r="AZ64" i="4"/>
  <c r="BA64" i="4"/>
  <c r="BB64" i="4"/>
  <c r="BC64" i="4"/>
  <c r="BD64" i="4"/>
  <c r="BE64" i="4"/>
  <c r="BF64" i="4"/>
  <c r="BG64" i="4"/>
  <c r="BH64" i="4"/>
  <c r="BI64" i="4"/>
  <c r="BJ64" i="4"/>
  <c r="BK64" i="4"/>
  <c r="BL64" i="4"/>
  <c r="A66" i="4"/>
  <c r="A68" i="4"/>
  <c r="A69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<sst xmlns="http://schemas.openxmlformats.org/spreadsheetml/2006/main" count="300" uniqueCount="132">
  <si>
    <t>CLOCK</t>
  </si>
  <si>
    <t>IN</t>
  </si>
  <si>
    <t>RESET</t>
  </si>
  <si>
    <t>BUFFER</t>
  </si>
  <si>
    <t>CARRY</t>
  </si>
  <si>
    <t>BITA</t>
  </si>
  <si>
    <t>BITB</t>
  </si>
  <si>
    <t>BORROW</t>
  </si>
  <si>
    <t>NOT</t>
  </si>
  <si>
    <t>4-BIT DOWN COUNTER</t>
  </si>
  <si>
    <t>FULL ADDER</t>
  </si>
  <si>
    <t>AND</t>
  </si>
  <si>
    <t>FULL SUBBER</t>
  </si>
  <si>
    <t>OR</t>
  </si>
  <si>
    <t>XOR</t>
  </si>
  <si>
    <t>REVERSE DOWN COUNTER BITS TO MAKE UP COUNTER</t>
  </si>
  <si>
    <t>OUT</t>
  </si>
  <si>
    <t>NOR</t>
  </si>
  <si>
    <t>OUT 4</t>
  </si>
  <si>
    <t xml:space="preserve">OUT 3 </t>
  </si>
  <si>
    <t>OUT 2</t>
  </si>
  <si>
    <t>OUT 1</t>
  </si>
  <si>
    <t>NAND</t>
  </si>
  <si>
    <t>4-BIT SUBBER</t>
  </si>
  <si>
    <t>XNOR</t>
  </si>
  <si>
    <t>HALF ADDER</t>
  </si>
  <si>
    <t>HALF SUBBER</t>
  </si>
  <si>
    <t>SR LATCH</t>
  </si>
  <si>
    <t>JK FLIPFLOP</t>
  </si>
  <si>
    <t>CONTROL</t>
  </si>
  <si>
    <t>4-BIT ADD/SUB</t>
  </si>
  <si>
    <t>OUT 4-BIT</t>
  </si>
  <si>
    <t>OVERFLOW</t>
  </si>
  <si>
    <t>CARRY/BORROW</t>
  </si>
  <si>
    <t>SELECT</t>
  </si>
  <si>
    <t>4-BIT OR</t>
  </si>
  <si>
    <t>4-BIT AND</t>
  </si>
  <si>
    <t>ZERO</t>
  </si>
  <si>
    <t>SET DELAY</t>
  </si>
  <si>
    <t>DELAY TIMER</t>
  </si>
  <si>
    <t>OUTPUT</t>
  </si>
  <si>
    <t>BITS</t>
  </si>
  <si>
    <t>POINTER</t>
  </si>
  <si>
    <t>ROW REFERENCE</t>
  </si>
  <si>
    <t>COLUMN REFERENCE</t>
  </si>
  <si>
    <t xml:space="preserve"> </t>
  </si>
  <si>
    <t>ARRAY POINTER</t>
  </si>
  <si>
    <t>CELL POINTER</t>
  </si>
  <si>
    <t>POINTER INDEX</t>
  </si>
  <si>
    <t>ARRAY BITS</t>
  </si>
  <si>
    <t>2(4bit)-1 MUX</t>
  </si>
  <si>
    <t>2(1bit)-1 MUX</t>
  </si>
  <si>
    <t>NEGATIVE</t>
  </si>
  <si>
    <t>4-BIT ALU</t>
  </si>
  <si>
    <t>MATH/LOGIC</t>
  </si>
  <si>
    <t>ADD/SUB AND/OR</t>
  </si>
  <si>
    <t>Y INDEX</t>
  </si>
  <si>
    <t>X INDEX</t>
  </si>
  <si>
    <t>YOFFSET</t>
  </si>
  <si>
    <t>XOFFSET</t>
  </si>
  <si>
    <t>YINPUT</t>
  </si>
  <si>
    <t>XINPUT</t>
  </si>
  <si>
    <t>BIN INPUTS</t>
  </si>
  <si>
    <t>DECIMAL SETTINGS</t>
  </si>
  <si>
    <t>INDEX</t>
  </si>
  <si>
    <t>FULL BIT POINTER</t>
  </si>
  <si>
    <t>MEMORY SYSTEM</t>
  </si>
  <si>
    <t>0110</t>
  </si>
  <si>
    <t>0011</t>
  </si>
  <si>
    <t>0</t>
  </si>
  <si>
    <t>0111</t>
  </si>
  <si>
    <t>1001</t>
  </si>
  <si>
    <t>1100</t>
  </si>
  <si>
    <t>0001</t>
  </si>
  <si>
    <t>0010</t>
  </si>
  <si>
    <t>R/W</t>
  </si>
  <si>
    <t>ADDRESS</t>
  </si>
  <si>
    <t>INDATA</t>
  </si>
  <si>
    <t>OUTDATA</t>
  </si>
  <si>
    <t>TO DECIMAL</t>
  </si>
  <si>
    <t>SUBADDRESS</t>
  </si>
  <si>
    <t>TODEC</t>
  </si>
  <si>
    <t>X ADDRESS</t>
  </si>
  <si>
    <t>Y ADDRESS</t>
  </si>
  <si>
    <t>READ</t>
  </si>
  <si>
    <t>WRITE</t>
  </si>
  <si>
    <t>00</t>
  </si>
  <si>
    <t>01</t>
  </si>
  <si>
    <t>10</t>
  </si>
  <si>
    <t>11</t>
  </si>
  <si>
    <t>CONCAT</t>
  </si>
  <si>
    <t>HIDDEN IN</t>
  </si>
  <si>
    <t>DATA</t>
  </si>
  <si>
    <t>HIDDEN OUT</t>
  </si>
  <si>
    <t>OP</t>
  </si>
  <si>
    <t>Y</t>
  </si>
  <si>
    <t>X</t>
  </si>
  <si>
    <t>DEPRECIATED</t>
  </si>
  <si>
    <t>HIDDEN X</t>
  </si>
  <si>
    <t>HIDDEN Y</t>
  </si>
  <si>
    <t>0100</t>
  </si>
  <si>
    <t>0101</t>
  </si>
  <si>
    <t>Request Program Start</t>
  </si>
  <si>
    <t>Write to RAM</t>
  </si>
  <si>
    <t>Request Write to ROM</t>
  </si>
  <si>
    <t>Write to Screen</t>
  </si>
  <si>
    <t>Start Computer</t>
  </si>
  <si>
    <t>Call Clear Cell</t>
  </si>
  <si>
    <t>ALU Operations</t>
  </si>
  <si>
    <t>XXXX</t>
  </si>
  <si>
    <t>YYYY</t>
  </si>
  <si>
    <t>----</t>
  </si>
  <si>
    <t>AAAA</t>
  </si>
  <si>
    <t>BBBB</t>
  </si>
  <si>
    <t>OO</t>
  </si>
  <si>
    <t>PC</t>
  </si>
  <si>
    <t>ALU</t>
  </si>
  <si>
    <t>RAM</t>
  </si>
  <si>
    <t>Control Unit Bit Commands</t>
  </si>
  <si>
    <t>Read-From Multiplexer</t>
  </si>
  <si>
    <t>0000</t>
  </si>
  <si>
    <t>Stop Computer</t>
  </si>
  <si>
    <t>No OP</t>
  </si>
  <si>
    <t>1000</t>
  </si>
  <si>
    <t>RAM CONTROLLER</t>
  </si>
  <si>
    <t>RELY ON TO DEC</t>
  </si>
  <si>
    <t>XDEC</t>
  </si>
  <si>
    <t>YDEC</t>
  </si>
  <si>
    <t>FULLX</t>
  </si>
  <si>
    <t>FULLY</t>
  </si>
  <si>
    <t>OP BITS</t>
  </si>
  <si>
    <t>2 Byte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</si>
</sst>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sz val="10.8"/>
      <color theme="1"/>
      <name val="Calibri"/>
      <family val="2"/>
    </font>
    <font>
      <sz val="10.9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339933"/>
        <bgColor rgb="FF339933"/>
      </patternFill>
    </fill>
    <fill>
      <patternFill patternType="solid">
        <fgColor rgb="FFAEABAB"/>
        <bgColor rgb="FFAEABAB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39997558519241921"/>
        <bgColor indexed="64"/>
      </patternFill>
    </fill>
  </fills>
  <borders count="82">
    <border>
      <left/>
      <right/>
      <top/>
      <bottom/>
      <diagonal/>
    </border>
    <border>
      <left style="thin">
        <color rgb="FF000000"/>
      </left>
      <right style="thin">
        <color rgb="FF339933"/>
      </right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339933"/>
      </right>
      <top style="thin">
        <color rgb="FF000000"/>
      </top>
      <bottom style="thin">
        <color rgb="FF339933"/>
      </bottom>
      <diagonal/>
    </border>
    <border>
      <left/>
      <right style="thin">
        <color rgb="FF000000"/>
      </right>
      <top style="thin">
        <color rgb="FF000000"/>
      </top>
      <bottom style="thin">
        <color rgb="FF339933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339933"/>
      </right>
      <top/>
      <bottom style="thin">
        <color rgb="FF339933"/>
      </bottom>
      <diagonal/>
    </border>
    <border>
      <left style="thin">
        <color rgb="FF339933"/>
      </left>
      <right/>
      <top style="thin">
        <color rgb="FF339933"/>
      </top>
      <bottom style="thin">
        <color rgb="FF339933"/>
      </bottom>
      <diagonal/>
    </border>
    <border>
      <left/>
      <right/>
      <top/>
      <bottom/>
      <diagonal/>
    </border>
    <border>
      <left/>
      <right style="thin">
        <color rgb="FF339933"/>
      </right>
      <top style="thin">
        <color rgb="FF339933"/>
      </top>
      <bottom style="thin">
        <color rgb="FF339933"/>
      </bottom>
      <diagonal/>
    </border>
    <border>
      <left style="thin">
        <color rgb="FF339933"/>
      </left>
      <right style="thin">
        <color rgb="FF339933"/>
      </right>
      <top style="thin">
        <color rgb="FF339933"/>
      </top>
      <bottom/>
      <diagonal/>
    </border>
    <border>
      <left/>
      <right style="thin">
        <color rgb="FF000000"/>
      </right>
      <top style="thin">
        <color rgb="FF339933"/>
      </top>
      <bottom style="thin">
        <color rgb="FF339933"/>
      </bottom>
      <diagonal/>
    </border>
    <border>
      <left style="thin">
        <color rgb="FF000000"/>
      </left>
      <right style="thin">
        <color rgb="FF339933"/>
      </right>
      <top style="thin">
        <color rgb="FF339933"/>
      </top>
      <bottom style="thin">
        <color rgb="FF339933"/>
      </bottom>
      <diagonal/>
    </border>
    <border>
      <left style="thin">
        <color rgb="FF000000"/>
      </left>
      <right/>
      <top style="thin">
        <color rgb="FF339933"/>
      </top>
      <bottom style="thin">
        <color rgb="FF339933"/>
      </bottom>
      <diagonal/>
    </border>
    <border>
      <left/>
      <right/>
      <top style="thin">
        <color rgb="FF339933"/>
      </top>
      <bottom style="thin">
        <color rgb="FF339933"/>
      </bottom>
      <diagonal/>
    </border>
    <border>
      <left style="thin">
        <color rgb="FF339933"/>
      </left>
      <right style="thin">
        <color rgb="FF339933"/>
      </right>
      <top/>
      <bottom/>
      <diagonal/>
    </border>
    <border>
      <left style="thin">
        <color rgb="FF339933"/>
      </left>
      <right style="thin">
        <color rgb="FF000000"/>
      </right>
      <top style="thin">
        <color rgb="FF33993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339933"/>
      </left>
      <right/>
      <top/>
      <bottom style="thin">
        <color rgb="FF339933"/>
      </bottom>
      <diagonal/>
    </border>
    <border>
      <left style="thin">
        <color rgb="FF339933"/>
      </left>
      <right style="thin">
        <color rgb="FF339933"/>
      </right>
      <top/>
      <bottom style="thin">
        <color rgb="FF339933"/>
      </bottom>
      <diagonal/>
    </border>
    <border>
      <left style="thin">
        <color rgb="FF339933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339933"/>
      </right>
      <top/>
      <bottom/>
      <diagonal/>
    </border>
    <border>
      <left style="thin">
        <color rgb="FF339933"/>
      </left>
      <right style="thin">
        <color rgb="FF000000"/>
      </right>
      <top/>
      <bottom style="thin">
        <color rgb="FF339933"/>
      </bottom>
      <diagonal/>
    </border>
    <border>
      <left/>
      <right style="thin">
        <color rgb="FF000000"/>
      </right>
      <top style="thin">
        <color rgb="FF339933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339933"/>
      </bottom>
      <diagonal/>
    </border>
    <border>
      <left/>
      <right style="thin">
        <color rgb="FF339933"/>
      </right>
      <top/>
      <bottom/>
      <diagonal/>
    </border>
    <border>
      <left/>
      <right style="thin">
        <color rgb="FF339933"/>
      </right>
      <top style="thin">
        <color rgb="FF339933"/>
      </top>
      <bottom/>
      <diagonal/>
    </border>
    <border>
      <left/>
      <right style="thin">
        <color rgb="FF000000"/>
      </right>
      <top style="thin">
        <color rgb="FF339933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339933"/>
      </right>
      <top style="thin">
        <color rgb="FF339933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339933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339933"/>
      </top>
      <bottom style="thin">
        <color rgb="FF000000"/>
      </bottom>
      <diagonal/>
    </border>
    <border>
      <left/>
      <right/>
      <top style="thin">
        <color rgb="FF339933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339933"/>
      </bottom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339933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339933"/>
      </bottom>
      <diagonal/>
    </border>
    <border>
      <left style="thin">
        <color rgb="FF000000"/>
      </left>
      <right/>
      <top style="thin">
        <color rgb="FF339933"/>
      </top>
      <bottom/>
      <diagonal/>
    </border>
    <border>
      <left style="thin">
        <color rgb="FF000000"/>
      </left>
      <right/>
      <top/>
      <bottom style="thin">
        <color rgb="FF339933"/>
      </bottom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339933"/>
      </bottom>
      <diagonal/>
    </border>
    <border>
      <left/>
      <right/>
      <top style="thin">
        <color indexed="64"/>
      </top>
      <bottom style="thin">
        <color rgb="FF339933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339933"/>
      </right>
      <top/>
      <bottom style="thin">
        <color rgb="FF3399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5">
    <xf numFmtId="0" fontId="0" fillId="0" borderId="0" xfId="0"/>
    <xf numFmtId="0" fontId="8" fillId="0" borderId="0" xfId="0" applyFont="1" applyAlignment="1">
      <alignment horizontal="center"/>
    </xf>
    <xf numFmtId="0" fontId="9" fillId="0" borderId="0" xfId="0" applyFont="1"/>
    <xf numFmtId="0" fontId="8" fillId="2" borderId="1" xfId="0" applyFont="1" applyFill="1" applyBorder="1"/>
    <xf numFmtId="0" fontId="8" fillId="2" borderId="2" xfId="0" applyFont="1" applyFill="1" applyBorder="1"/>
    <xf numFmtId="0" fontId="8" fillId="3" borderId="2" xfId="0" applyFont="1" applyFill="1" applyBorder="1"/>
    <xf numFmtId="0" fontId="8" fillId="0" borderId="3" xfId="0" applyFont="1" applyBorder="1" applyAlignment="1">
      <alignment horizontal="center"/>
    </xf>
    <xf numFmtId="0" fontId="8" fillId="2" borderId="4" xfId="0" applyFont="1" applyFill="1" applyBorder="1"/>
    <xf numFmtId="0" fontId="8" fillId="2" borderId="5" xfId="0" applyFont="1" applyFill="1" applyBorder="1"/>
    <xf numFmtId="0" fontId="8" fillId="0" borderId="6" xfId="0" applyFont="1" applyBorder="1" applyAlignment="1">
      <alignment horizontal="center"/>
    </xf>
    <xf numFmtId="0" fontId="8" fillId="2" borderId="7" xfId="0" applyFont="1" applyFill="1" applyBorder="1"/>
    <xf numFmtId="0" fontId="8" fillId="2" borderId="8" xfId="0" applyFont="1" applyFill="1" applyBorder="1"/>
    <xf numFmtId="0" fontId="8" fillId="3" borderId="9" xfId="0" applyFont="1" applyFill="1" applyBorder="1"/>
    <xf numFmtId="0" fontId="8" fillId="2" borderId="10" xfId="0" applyFont="1" applyFill="1" applyBorder="1"/>
    <xf numFmtId="0" fontId="8" fillId="2" borderId="12" xfId="0" applyFont="1" applyFill="1" applyBorder="1"/>
    <xf numFmtId="0" fontId="8" fillId="2" borderId="13" xfId="0" applyFont="1" applyFill="1" applyBorder="1"/>
    <xf numFmtId="0" fontId="8" fillId="2" borderId="14" xfId="0" applyFont="1" applyFill="1" applyBorder="1"/>
    <xf numFmtId="0" fontId="8" fillId="2" borderId="15" xfId="0" applyFont="1" applyFill="1" applyBorder="1"/>
    <xf numFmtId="0" fontId="8" fillId="2" borderId="18" xfId="0" applyFont="1" applyFill="1" applyBorder="1"/>
    <xf numFmtId="0" fontId="8" fillId="2" borderId="19" xfId="0" applyFont="1" applyFill="1" applyBorder="1"/>
    <xf numFmtId="0" fontId="8" fillId="2" borderId="22" xfId="0" applyFont="1" applyFill="1" applyBorder="1"/>
    <xf numFmtId="0" fontId="8" fillId="2" borderId="27" xfId="0" applyFont="1" applyFill="1" applyBorder="1"/>
    <xf numFmtId="0" fontId="8" fillId="2" borderId="9" xfId="0" applyFont="1" applyFill="1" applyBorder="1"/>
    <xf numFmtId="0" fontId="8" fillId="2" borderId="28" xfId="0" applyFont="1" applyFill="1" applyBorder="1"/>
    <xf numFmtId="0" fontId="8" fillId="2" borderId="29" xfId="0" applyFont="1" applyFill="1" applyBorder="1"/>
    <xf numFmtId="0" fontId="8" fillId="0" borderId="30" xfId="0" applyFont="1" applyBorder="1" applyAlignment="1">
      <alignment horizontal="center"/>
    </xf>
    <xf numFmtId="0" fontId="8" fillId="2" borderId="34" xfId="0" applyFont="1" applyFill="1" applyBorder="1"/>
    <xf numFmtId="0" fontId="8" fillId="3" borderId="35" xfId="0" applyFont="1" applyFill="1" applyBorder="1"/>
    <xf numFmtId="0" fontId="8" fillId="0" borderId="36" xfId="0" applyFont="1" applyBorder="1" applyAlignment="1">
      <alignment horizontal="center"/>
    </xf>
    <xf numFmtId="0" fontId="8" fillId="2" borderId="37" xfId="0" applyFont="1" applyFill="1" applyBorder="1"/>
    <xf numFmtId="0" fontId="8" fillId="0" borderId="40" xfId="0" applyFont="1" applyBorder="1" applyAlignment="1">
      <alignment horizontal="center"/>
    </xf>
    <xf numFmtId="0" fontId="8" fillId="2" borderId="43" xfId="0" applyFont="1" applyFill="1" applyBorder="1"/>
    <xf numFmtId="0" fontId="8" fillId="2" borderId="44" xfId="0" applyFont="1" applyFill="1" applyBorder="1"/>
    <xf numFmtId="0" fontId="8" fillId="2" borderId="45" xfId="0" applyFont="1" applyFill="1" applyBorder="1"/>
    <xf numFmtId="0" fontId="8" fillId="2" borderId="46" xfId="0" applyFont="1" applyFill="1" applyBorder="1"/>
    <xf numFmtId="0" fontId="8" fillId="2" borderId="48" xfId="0" applyFont="1" applyFill="1" applyBorder="1"/>
    <xf numFmtId="0" fontId="8" fillId="2" borderId="49" xfId="0" applyFont="1" applyFill="1" applyBorder="1"/>
    <xf numFmtId="0" fontId="8" fillId="2" borderId="51" xfId="0" applyFont="1" applyFill="1" applyBorder="1"/>
    <xf numFmtId="0" fontId="8" fillId="2" borderId="54" xfId="0" applyFont="1" applyFill="1" applyBorder="1"/>
    <xf numFmtId="0" fontId="8" fillId="2" borderId="35" xfId="0" applyFont="1" applyFill="1" applyBorder="1"/>
    <xf numFmtId="0" fontId="8" fillId="2" borderId="56" xfId="0" applyFont="1" applyFill="1" applyBorder="1"/>
    <xf numFmtId="0" fontId="8" fillId="2" borderId="57" xfId="0" applyFont="1" applyFill="1" applyBorder="1"/>
    <xf numFmtId="0" fontId="8" fillId="2" borderId="58" xfId="0" applyFont="1" applyFill="1" applyBorder="1"/>
    <xf numFmtId="0" fontId="8" fillId="2" borderId="59" xfId="0" applyFont="1" applyFill="1" applyBorder="1"/>
    <xf numFmtId="0" fontId="8" fillId="2" borderId="60" xfId="0" applyFont="1" applyFill="1" applyBorder="1"/>
    <xf numFmtId="0" fontId="10" fillId="3" borderId="57" xfId="0" applyFont="1" applyFill="1" applyBorder="1"/>
    <xf numFmtId="0" fontId="8" fillId="0" borderId="64" xfId="0" applyFont="1" applyBorder="1" applyAlignment="1">
      <alignment horizontal="center"/>
    </xf>
    <xf numFmtId="0" fontId="8" fillId="3" borderId="65" xfId="0" applyFont="1" applyFill="1" applyBorder="1"/>
    <xf numFmtId="0" fontId="0" fillId="0" borderId="67" xfId="0" applyBorder="1"/>
    <xf numFmtId="0" fontId="0" fillId="0" borderId="65" xfId="0" applyBorder="1"/>
    <xf numFmtId="0" fontId="0" fillId="0" borderId="68" xfId="0" applyBorder="1"/>
    <xf numFmtId="0" fontId="0" fillId="0" borderId="69" xfId="0" applyBorder="1"/>
    <xf numFmtId="0" fontId="0" fillId="0" borderId="61" xfId="0" applyBorder="1"/>
    <xf numFmtId="0" fontId="0" fillId="0" borderId="66" xfId="0" applyBorder="1"/>
    <xf numFmtId="0" fontId="0" fillId="0" borderId="70" xfId="0" applyBorder="1"/>
    <xf numFmtId="0" fontId="0" fillId="0" borderId="64" xfId="0" applyBorder="1"/>
    <xf numFmtId="0" fontId="0" fillId="0" borderId="71" xfId="0" applyBorder="1"/>
    <xf numFmtId="0" fontId="8" fillId="0" borderId="65" xfId="0" applyFont="1" applyBorder="1" applyAlignment="1">
      <alignment horizontal="center"/>
    </xf>
    <xf numFmtId="0" fontId="8" fillId="0" borderId="61" xfId="0" applyFont="1" applyBorder="1" applyAlignment="1">
      <alignment horizontal="center"/>
    </xf>
    <xf numFmtId="0" fontId="8" fillId="2" borderId="72" xfId="0" applyFont="1" applyFill="1" applyBorder="1"/>
    <xf numFmtId="0" fontId="8" fillId="2" borderId="73" xfId="0" applyFont="1" applyFill="1" applyBorder="1"/>
    <xf numFmtId="0" fontId="8" fillId="3" borderId="74" xfId="0" applyFont="1" applyFill="1" applyBorder="1"/>
    <xf numFmtId="0" fontId="8" fillId="3" borderId="47" xfId="0" applyFont="1" applyFill="1" applyBorder="1"/>
    <xf numFmtId="0" fontId="8" fillId="0" borderId="58" xfId="0" applyFont="1" applyBorder="1" applyAlignment="1">
      <alignment horizontal="center"/>
    </xf>
    <xf numFmtId="0" fontId="8" fillId="2" borderId="76" xfId="0" applyFont="1" applyFill="1" applyBorder="1"/>
    <xf numFmtId="0" fontId="8" fillId="2" borderId="65" xfId="0" applyFont="1" applyFill="1" applyBorder="1"/>
    <xf numFmtId="0" fontId="8" fillId="2" borderId="30" xfId="0" applyFont="1" applyFill="1" applyBorder="1"/>
    <xf numFmtId="0" fontId="8" fillId="2" borderId="61" xfId="0" applyFont="1" applyFill="1" applyBorder="1"/>
    <xf numFmtId="0" fontId="8" fillId="2" borderId="75" xfId="0" applyFont="1" applyFill="1" applyBorder="1"/>
    <xf numFmtId="0" fontId="8" fillId="2" borderId="77" xfId="0" applyFont="1" applyFill="1" applyBorder="1"/>
    <xf numFmtId="0" fontId="7" fillId="0" borderId="0" xfId="0" applyFont="1"/>
    <xf numFmtId="0" fontId="12" fillId="0" borderId="65" xfId="0" applyFont="1" applyBorder="1" applyAlignment="1">
      <alignment horizontal="center"/>
    </xf>
    <xf numFmtId="0" fontId="6" fillId="0" borderId="61" xfId="0" applyFont="1" applyBorder="1"/>
    <xf numFmtId="0" fontId="5" fillId="0" borderId="61" xfId="0" applyFont="1" applyBorder="1"/>
    <xf numFmtId="0" fontId="5" fillId="0" borderId="0" xfId="0" applyFont="1"/>
    <xf numFmtId="0" fontId="5" fillId="0" borderId="69" xfId="0" applyFont="1" applyBorder="1"/>
    <xf numFmtId="0" fontId="5" fillId="0" borderId="67" xfId="0" applyFont="1" applyBorder="1"/>
    <xf numFmtId="0" fontId="6" fillId="0" borderId="65" xfId="0" applyFont="1" applyBorder="1"/>
    <xf numFmtId="49" fontId="0" fillId="0" borderId="69" xfId="0" applyNumberFormat="1" applyBorder="1"/>
    <xf numFmtId="49" fontId="0" fillId="0" borderId="61" xfId="0" applyNumberFormat="1" applyBorder="1"/>
    <xf numFmtId="49" fontId="0" fillId="0" borderId="66" xfId="0" applyNumberFormat="1" applyBorder="1"/>
    <xf numFmtId="49" fontId="0" fillId="0" borderId="64" xfId="0" applyNumberFormat="1" applyBorder="1"/>
    <xf numFmtId="49" fontId="0" fillId="0" borderId="71" xfId="0" applyNumberFormat="1" applyBorder="1"/>
    <xf numFmtId="49" fontId="5" fillId="0" borderId="70" xfId="0" applyNumberFormat="1" applyFont="1" applyBorder="1"/>
    <xf numFmtId="49" fontId="5" fillId="0" borderId="64" xfId="0" applyNumberFormat="1" applyFont="1" applyBorder="1"/>
    <xf numFmtId="49" fontId="0" fillId="0" borderId="68" xfId="0" applyNumberFormat="1" applyBorder="1"/>
    <xf numFmtId="0" fontId="8" fillId="3" borderId="61" xfId="0" applyFont="1" applyFill="1" applyBorder="1"/>
    <xf numFmtId="0" fontId="0" fillId="0" borderId="61" xfId="0" applyBorder="1" applyAlignment="1">
      <alignment horizontal="center" vertical="center"/>
    </xf>
    <xf numFmtId="0" fontId="4" fillId="0" borderId="61" xfId="0" applyFont="1" applyBorder="1"/>
    <xf numFmtId="0" fontId="15" fillId="3" borderId="61" xfId="0" applyFont="1" applyFill="1" applyBorder="1"/>
    <xf numFmtId="0" fontId="0" fillId="0" borderId="64" xfId="0" applyBorder="1" applyAlignment="1">
      <alignment horizontal="center" vertical="center"/>
    </xf>
    <xf numFmtId="49" fontId="0" fillId="0" borderId="0" xfId="0" applyNumberFormat="1"/>
    <xf numFmtId="49" fontId="3" fillId="0" borderId="0" xfId="0" quotePrefix="1" applyNumberFormat="1" applyFont="1"/>
    <xf numFmtId="0" fontId="5" fillId="0" borderId="65" xfId="0" applyFont="1" applyBorder="1"/>
    <xf numFmtId="49" fontId="0" fillId="0" borderId="65" xfId="0" applyNumberFormat="1" applyBorder="1"/>
    <xf numFmtId="0" fontId="3" fillId="0" borderId="61" xfId="0" applyFont="1" applyBorder="1"/>
    <xf numFmtId="0" fontId="3" fillId="0" borderId="66" xfId="0" applyFont="1" applyBorder="1"/>
    <xf numFmtId="0" fontId="8" fillId="3" borderId="69" xfId="0" applyFont="1" applyFill="1" applyBorder="1"/>
    <xf numFmtId="0" fontId="4" fillId="0" borderId="69" xfId="0" applyFont="1" applyBorder="1"/>
    <xf numFmtId="0" fontId="0" fillId="0" borderId="0" xfId="0" quotePrefix="1"/>
    <xf numFmtId="0" fontId="8" fillId="4" borderId="61" xfId="0" applyFont="1" applyFill="1" applyBorder="1" applyAlignment="1">
      <alignment horizontal="center"/>
    </xf>
    <xf numFmtId="0" fontId="2" fillId="0" borderId="0" xfId="0" applyFont="1"/>
    <xf numFmtId="0" fontId="5" fillId="0" borderId="70" xfId="0" applyFont="1" applyBorder="1" applyAlignment="1">
      <alignment horizontal="center" vertical="center"/>
    </xf>
    <xf numFmtId="0" fontId="5" fillId="0" borderId="71" xfId="0" applyFont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8" fillId="3" borderId="62" xfId="0" applyFont="1" applyFill="1" applyBorder="1" applyAlignment="1">
      <alignment horizontal="center" vertical="center" wrapText="1"/>
    </xf>
    <xf numFmtId="0" fontId="11" fillId="0" borderId="63" xfId="0" applyFont="1" applyBorder="1"/>
    <xf numFmtId="0" fontId="8" fillId="3" borderId="64" xfId="0" applyFont="1" applyFill="1" applyBorder="1" applyAlignment="1">
      <alignment horizontal="center"/>
    </xf>
    <xf numFmtId="0" fontId="8" fillId="3" borderId="31" xfId="0" applyFont="1" applyFill="1" applyBorder="1" applyAlignment="1">
      <alignment horizontal="center" vertical="center"/>
    </xf>
    <xf numFmtId="0" fontId="11" fillId="0" borderId="61" xfId="0" applyFont="1" applyBorder="1"/>
    <xf numFmtId="0" fontId="8" fillId="3" borderId="61" xfId="0" applyFont="1" applyFill="1" applyBorder="1" applyAlignment="1">
      <alignment horizontal="center"/>
    </xf>
    <xf numFmtId="0" fontId="8" fillId="3" borderId="27" xfId="0" applyFont="1" applyFill="1" applyBorder="1" applyAlignment="1">
      <alignment horizontal="center"/>
    </xf>
    <xf numFmtId="0" fontId="14" fillId="3" borderId="65" xfId="0" applyFont="1" applyFill="1" applyBorder="1" applyAlignment="1">
      <alignment horizontal="center" vertical="center" wrapText="1"/>
    </xf>
    <xf numFmtId="0" fontId="14" fillId="3" borderId="61" xfId="0" applyFont="1" applyFill="1" applyBorder="1" applyAlignment="1">
      <alignment horizontal="center" vertical="center" wrapText="1"/>
    </xf>
    <xf numFmtId="16" fontId="8" fillId="3" borderId="53" xfId="0" applyNumberFormat="1" applyFont="1" applyFill="1" applyBorder="1" applyAlignment="1">
      <alignment horizontal="center" vertical="center" wrapText="1"/>
    </xf>
    <xf numFmtId="0" fontId="11" fillId="0" borderId="25" xfId="0" applyFont="1" applyBorder="1"/>
    <xf numFmtId="0" fontId="11" fillId="0" borderId="55" xfId="0" applyFont="1" applyBorder="1"/>
    <xf numFmtId="0" fontId="8" fillId="3" borderId="17" xfId="0" applyFont="1" applyFill="1" applyBorder="1" applyAlignment="1">
      <alignment horizontal="center" vertical="center" wrapText="1"/>
    </xf>
    <xf numFmtId="0" fontId="11" fillId="0" borderId="21" xfId="0" applyFont="1" applyBorder="1"/>
    <xf numFmtId="0" fontId="11" fillId="0" borderId="23" xfId="0" applyFont="1" applyBorder="1"/>
    <xf numFmtId="0" fontId="0" fillId="0" borderId="64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13" fillId="3" borderId="66" xfId="0" applyFont="1" applyFill="1" applyBorder="1" applyAlignment="1">
      <alignment vertical="center" wrapText="1"/>
    </xf>
    <xf numFmtId="0" fontId="8" fillId="3" borderId="24" xfId="0" applyFont="1" applyFill="1" applyBorder="1" applyAlignment="1">
      <alignment horizontal="center" vertical="center" wrapText="1"/>
    </xf>
    <xf numFmtId="0" fontId="11" fillId="0" borderId="26" xfId="0" applyFont="1" applyBorder="1"/>
    <xf numFmtId="0" fontId="10" fillId="3" borderId="24" xfId="0" applyFont="1" applyFill="1" applyBorder="1" applyAlignment="1">
      <alignment horizontal="center" vertical="center" wrapText="1"/>
    </xf>
    <xf numFmtId="0" fontId="12" fillId="3" borderId="66" xfId="0" applyFont="1" applyFill="1" applyBorder="1" applyAlignment="1">
      <alignment horizontal="center" vertical="center" wrapText="1"/>
    </xf>
    <xf numFmtId="0" fontId="10" fillId="3" borderId="11" xfId="0" applyFont="1" applyFill="1" applyBorder="1" applyAlignment="1">
      <alignment horizontal="center" vertical="center" wrapText="1"/>
    </xf>
    <xf numFmtId="0" fontId="11" fillId="0" borderId="16" xfId="0" applyFont="1" applyBorder="1"/>
    <xf numFmtId="0" fontId="11" fillId="0" borderId="20" xfId="0" applyFont="1" applyBorder="1"/>
    <xf numFmtId="0" fontId="8" fillId="3" borderId="31" xfId="0" applyFont="1" applyFill="1" applyBorder="1" applyAlignment="1">
      <alignment horizontal="center" vertical="center" wrapText="1"/>
    </xf>
    <xf numFmtId="0" fontId="11" fillId="0" borderId="32" xfId="0" applyFont="1" applyBorder="1"/>
    <xf numFmtId="0" fontId="11" fillId="0" borderId="33" xfId="0" applyFont="1" applyBorder="1"/>
    <xf numFmtId="0" fontId="11" fillId="0" borderId="38" xfId="0" applyFont="1" applyBorder="1"/>
    <xf numFmtId="0" fontId="0" fillId="0" borderId="0" xfId="0"/>
    <xf numFmtId="0" fontId="11" fillId="0" borderId="39" xfId="0" applyFont="1" applyBorder="1"/>
    <xf numFmtId="0" fontId="11" fillId="0" borderId="41" xfId="0" applyFont="1" applyBorder="1"/>
    <xf numFmtId="0" fontId="11" fillId="0" borderId="36" xfId="0" applyFont="1" applyBorder="1"/>
    <xf numFmtId="0" fontId="11" fillId="0" borderId="42" xfId="0" applyFont="1" applyBorder="1"/>
    <xf numFmtId="0" fontId="8" fillId="3" borderId="47" xfId="0" applyFont="1" applyFill="1" applyBorder="1" applyAlignment="1">
      <alignment horizontal="center" vertical="center" wrapText="1"/>
    </xf>
    <xf numFmtId="0" fontId="11" fillId="0" borderId="50" xfId="0" applyFont="1" applyBorder="1"/>
    <xf numFmtId="0" fontId="11" fillId="0" borderId="52" xfId="0" applyFont="1" applyBorder="1"/>
    <xf numFmtId="0" fontId="8" fillId="3" borderId="53" xfId="0" applyFont="1" applyFill="1" applyBorder="1" applyAlignment="1">
      <alignment horizontal="center" vertical="center" wrapText="1"/>
    </xf>
    <xf numFmtId="0" fontId="10" fillId="3" borderId="75" xfId="0" applyFont="1" applyFill="1" applyBorder="1" applyAlignment="1">
      <alignment horizontal="center" vertical="center" wrapText="1"/>
    </xf>
    <xf numFmtId="0" fontId="13" fillId="3" borderId="68" xfId="0" applyFont="1" applyFill="1" applyBorder="1" applyAlignment="1">
      <alignment horizontal="center" vertical="center" wrapText="1"/>
    </xf>
    <xf numFmtId="0" fontId="13" fillId="3" borderId="66" xfId="0" applyFont="1" applyFill="1" applyBorder="1" applyAlignment="1">
      <alignment horizontal="center" vertical="center" wrapText="1"/>
    </xf>
    <xf numFmtId="0" fontId="12" fillId="3" borderId="68" xfId="0" applyFont="1" applyFill="1" applyBorder="1" applyAlignment="1">
      <alignment horizontal="center" vertical="center" wrapText="1"/>
    </xf>
    <xf numFmtId="0" fontId="0" fillId="0" borderId="67" xfId="0" quotePrefix="1" applyBorder="1"/>
    <xf numFmtId="0" fontId="0" fillId="0" borderId="68" xfId="0" applyBorder="1"/>
    <xf numFmtId="0" fontId="0" fillId="0" borderId="69" xfId="0" quotePrefix="1" applyBorder="1"/>
    <xf numFmtId="0" fontId="0" fillId="0" borderId="66" xfId="0" applyBorder="1"/>
    <xf numFmtId="0" fontId="0" fillId="0" borderId="70" xfId="0" quotePrefix="1" applyBorder="1"/>
    <xf numFmtId="0" fontId="0" fillId="0" borderId="64" xfId="0" applyBorder="1"/>
    <xf numFmtId="0" fontId="0" fillId="0" borderId="71" xfId="0" applyBorder="1"/>
    <xf numFmtId="0" fontId="0" fillId="0" borderId="79" xfId="0" quotePrefix="1" applyBorder="1"/>
    <xf numFmtId="0" fontId="0" fillId="0" borderId="80" xfId="0" applyBorder="1"/>
    <xf numFmtId="0" fontId="0" fillId="0" borderId="80" xfId="0" applyBorder="1"/>
    <xf numFmtId="0" fontId="0" fillId="0" borderId="81" xfId="0" applyBorder="1"/>
    <xf numFmtId="0" fontId="0" fillId="0" borderId="67" xfId="0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78" xfId="0" applyBorder="1"/>
    <xf numFmtId="0" fontId="0" fillId="0" borderId="78" xfId="0" quotePrefix="1" applyBorder="1" applyAlignment="1">
      <alignment horizontal="center"/>
    </xf>
    <xf numFmtId="0" fontId="0" fillId="0" borderId="81" xfId="0" applyBorder="1"/>
    <xf numFmtId="0" fontId="0" fillId="0" borderId="81" xfId="0" quotePrefix="1" applyBorder="1"/>
    <xf numFmtId="0" fontId="0" fillId="0" borderId="79" xfId="0" applyFill="1" applyBorder="1"/>
    <xf numFmtId="0" fontId="0" fillId="0" borderId="79" xfId="0" applyBorder="1" applyAlignment="1">
      <alignment horizontal="left"/>
    </xf>
    <xf numFmtId="0" fontId="0" fillId="0" borderId="80" xfId="0" applyBorder="1" applyAlignment="1">
      <alignment horizontal="left"/>
    </xf>
    <xf numFmtId="0" fontId="0" fillId="0" borderId="81" xfId="0" applyBorder="1" applyAlignment="1">
      <alignment horizontal="left"/>
    </xf>
    <xf numFmtId="0" fontId="8" fillId="3" borderId="66" xfId="0" applyFont="1" applyFill="1" applyBorder="1"/>
    <xf numFmtId="0" fontId="0" fillId="0" borderId="66" xfId="0" applyBorder="1" applyAlignment="1">
      <alignment horizontal="left"/>
    </xf>
    <xf numFmtId="0" fontId="0" fillId="0" borderId="71" xfId="0" applyBorder="1" applyAlignment="1">
      <alignment horizontal="center"/>
    </xf>
    <xf numFmtId="0" fontId="0" fillId="0" borderId="71" xfId="0" applyBorder="1" applyAlignment="1">
      <alignment horizontal="left"/>
    </xf>
    <xf numFmtId="0" fontId="0" fillId="0" borderId="69" xfId="0" applyBorder="1" applyAlignment="1">
      <alignment horizontal="left"/>
    </xf>
    <xf numFmtId="0" fontId="0" fillId="0" borderId="70" xfId="0" applyBorder="1" applyAlignment="1">
      <alignment horizontal="left"/>
    </xf>
    <xf numFmtId="0" fontId="0" fillId="0" borderId="67" xfId="0" applyBorder="1"/>
    <xf numFmtId="0" fontId="0" fillId="0" borderId="69" xfId="0" applyBorder="1"/>
    <xf numFmtId="0" fontId="0" fillId="0" borderId="61" xfId="0" applyFill="1" applyBorder="1" applyAlignment="1">
      <alignment horizontal="center" vertical="center"/>
    </xf>
    <xf numFmtId="0" fontId="0" fillId="6" borderId="79" xfId="0" applyFill="1" applyBorder="1" applyAlignment="1">
      <alignment horizontal="center"/>
    </xf>
    <xf numFmtId="0" fontId="0" fillId="6" borderId="80" xfId="0" applyFill="1" applyBorder="1" applyAlignment="1">
      <alignment horizontal="center"/>
    </xf>
    <xf numFmtId="0" fontId="0" fillId="4" borderId="80" xfId="0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1" fillId="5" borderId="79" xfId="0" applyFont="1" applyFill="1" applyBorder="1" applyAlignment="1">
      <alignment horizontal="center"/>
    </xf>
    <xf numFmtId="0" fontId="1" fillId="5" borderId="80" xfId="0" applyFont="1" applyFill="1" applyBorder="1" applyAlignment="1">
      <alignment horizontal="center"/>
    </xf>
    <xf numFmtId="0" fontId="1" fillId="5" borderId="80" xfId="0" quotePrefix="1" applyFont="1" applyFill="1" applyBorder="1" applyAlignment="1">
      <alignment horizontal="center"/>
    </xf>
    <xf numFmtId="0" fontId="1" fillId="5" borderId="81" xfId="0" applyFont="1" applyFill="1" applyBorder="1" applyAlignment="1">
      <alignment horizontal="center"/>
    </xf>
    <xf numFmtId="0" fontId="0" fillId="6" borderId="66" xfId="0" applyFill="1" applyBorder="1" applyAlignment="1">
      <alignment horizontal="center"/>
    </xf>
    <xf numFmtId="0" fontId="0" fillId="4" borderId="69" xfId="0" applyFill="1" applyBorder="1" applyAlignment="1">
      <alignment horizontal="center"/>
    </xf>
    <xf numFmtId="0" fontId="8" fillId="0" borderId="64" xfId="0" applyFont="1" applyBorder="1" applyAlignment="1">
      <alignment horizontal="center"/>
    </xf>
    <xf numFmtId="0" fontId="8" fillId="0" borderId="70" xfId="0" applyFont="1" applyBorder="1" applyAlignment="1">
      <alignment horizontal="center"/>
    </xf>
  </cellXfs>
  <cellStyles count="1">
    <cellStyle name="Normal" xfId="0" builtinId="0"/>
  </cellStyles>
  <dxfs count="488"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openxmlformats.org/officeDocument/2006/relationships/calcChain" Target="calcChai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153"/>
  <sheetViews>
    <sheetView tabSelected="1" topLeftCell="AA74" zoomScale="90" zoomScaleNormal="90" workbookViewId="0">
      <selection activeCell="AY108" sqref="AY108"/>
    </sheetView>
  </sheetViews>
  <sheetFormatPr defaultColWidth="8.7109375" defaultRowHeight="15" customHeight="1" x14ac:dyDescent="0.25"/>
  <cols>
    <col min="10" max="11" width="8.7109375" customWidth="1"/>
  </cols>
  <sheetData>
    <row r="1" spans="1:32" ht="15" customHeight="1" x14ac:dyDescent="0.25">
      <c r="A1" s="1">
        <f ca="1">IF(A1 = 1, 0, IF(A1 = 0, 1))</f>
        <v>1</v>
      </c>
      <c r="B1" s="2" t="s">
        <v>0</v>
      </c>
      <c r="C1" s="1">
        <v>1</v>
      </c>
      <c r="D1" s="2" t="s">
        <v>1</v>
      </c>
      <c r="E1" s="1">
        <v>1</v>
      </c>
      <c r="F1" s="2" t="s">
        <v>2</v>
      </c>
    </row>
    <row r="2" spans="1:32" ht="15" customHeight="1" x14ac:dyDescent="0.25">
      <c r="A2" s="1"/>
      <c r="C2" s="1"/>
    </row>
    <row r="3" spans="1:32" ht="15" customHeight="1" x14ac:dyDescent="0.25">
      <c r="A3" s="1">
        <f ca="1">IF(A1=1, 1, 0)</f>
        <v>1</v>
      </c>
      <c r="B3" s="2" t="s">
        <v>3</v>
      </c>
      <c r="C3" s="1">
        <f>IF(C1=1, 1, 0)</f>
        <v>1</v>
      </c>
      <c r="D3" s="2" t="s">
        <v>3</v>
      </c>
    </row>
    <row r="4" spans="1:32" ht="15" customHeight="1" x14ac:dyDescent="0.25">
      <c r="A4" s="1"/>
      <c r="G4" s="3"/>
      <c r="H4" s="4"/>
      <c r="I4" s="5"/>
      <c r="J4" s="6">
        <f ca="1">IF(CLOCK = 0, J4, IF(AND(CLOCK = 1,INPUT = 1,RESET = 0), 0, IF(AND(CLOCK = 1,INPUT = 0,RESET = 1), 1, IF(AND(CLOCK = 1,INPUT = 0,RESET = 0), J4, IF(AND(CLOCK = 1,INPUT = 1,RESET = 1),IF(JK.1 = 1, 0, 1))))))</f>
        <v>0</v>
      </c>
      <c r="K4" s="5"/>
      <c r="L4" s="7"/>
      <c r="M4" s="7"/>
      <c r="N4" s="7"/>
      <c r="O4" s="7"/>
      <c r="P4" s="7"/>
      <c r="Q4" s="8"/>
      <c r="S4" s="3"/>
      <c r="T4" s="5" t="s">
        <v>4</v>
      </c>
      <c r="U4" s="5" t="s">
        <v>5</v>
      </c>
      <c r="V4" s="5" t="s">
        <v>6</v>
      </c>
      <c r="W4" s="7"/>
      <c r="X4" s="8"/>
      <c r="Z4" s="9">
        <v>0</v>
      </c>
      <c r="AA4" s="5" t="s">
        <v>7</v>
      </c>
      <c r="AB4" s="6">
        <v>0</v>
      </c>
      <c r="AC4" s="5" t="s">
        <v>6</v>
      </c>
      <c r="AD4" s="6">
        <v>0</v>
      </c>
      <c r="AE4" s="5" t="s">
        <v>5</v>
      </c>
      <c r="AF4" s="8"/>
    </row>
    <row r="5" spans="1:32" ht="15" customHeight="1" x14ac:dyDescent="0.25">
      <c r="A5" s="1">
        <f ca="1">IF(A3 = 1, 0, 1)</f>
        <v>0</v>
      </c>
      <c r="B5" s="2" t="s">
        <v>8</v>
      </c>
      <c r="G5" s="10"/>
      <c r="H5" s="11"/>
      <c r="I5" s="12"/>
      <c r="J5" s="1">
        <f ca="1">IF(CLOCK = 0, J5, IF(AND(CLOCK = 1,JK.1 = 1,JK.1 = 0), 0, IF(AND(CLOCK = 1,JK.1 = 0,JK.1 = 1), 1, IF(AND(CLOCK = 1,JK.1 = 0, JK.1 = 0), J5, IF(AND(CLOCK = 1,JK.1 = 1,JK.1 = 1), IF(JK.2 = 1, 0, 1))))))</f>
        <v>0</v>
      </c>
      <c r="K5" s="12"/>
      <c r="L5" s="13"/>
      <c r="M5" s="129" t="s">
        <v>9</v>
      </c>
      <c r="N5" s="13"/>
      <c r="O5" s="13"/>
      <c r="P5" s="13"/>
      <c r="Q5" s="14"/>
      <c r="S5" s="15"/>
      <c r="T5" s="1">
        <v>0</v>
      </c>
      <c r="U5" s="1">
        <v>0</v>
      </c>
      <c r="V5" s="1">
        <v>0</v>
      </c>
      <c r="W5" s="13"/>
      <c r="X5" s="14"/>
      <c r="Z5" s="16"/>
      <c r="AA5" s="17"/>
      <c r="AB5" s="17"/>
      <c r="AC5" s="17"/>
      <c r="AD5" s="17"/>
      <c r="AE5" s="17"/>
      <c r="AF5" s="14"/>
    </row>
    <row r="6" spans="1:32" ht="15" customHeight="1" x14ac:dyDescent="0.25">
      <c r="A6" s="1"/>
      <c r="G6" s="15"/>
      <c r="H6" s="11"/>
      <c r="I6" s="12"/>
      <c r="J6" s="12"/>
      <c r="K6" s="1">
        <f ca="1">IF(AND(JK.1 = 1, JK.2 = 1), 1, 0)</f>
        <v>0</v>
      </c>
      <c r="L6" s="13"/>
      <c r="M6" s="130"/>
      <c r="N6" s="13"/>
      <c r="O6" s="13"/>
      <c r="P6" s="13"/>
      <c r="Q6" s="14"/>
      <c r="S6" s="15"/>
      <c r="T6" s="13"/>
      <c r="U6" s="13"/>
      <c r="V6" s="13"/>
      <c r="W6" s="13"/>
      <c r="X6" s="119" t="s">
        <v>10</v>
      </c>
      <c r="Z6" s="18"/>
      <c r="AA6" s="12"/>
      <c r="AB6" s="12"/>
      <c r="AC6" s="1">
        <f>IF(_xlfn.XOR(AB4 = 1, AD4 = 1), 1, 0)</f>
        <v>0</v>
      </c>
      <c r="AD6" s="12"/>
      <c r="AE6" s="17"/>
      <c r="AF6" s="14"/>
    </row>
    <row r="7" spans="1:32" ht="15" customHeight="1" x14ac:dyDescent="0.25">
      <c r="A7" s="1">
        <f ca="1">IF(AND(A3 = 1, C3 = 1), 1, 0)</f>
        <v>1</v>
      </c>
      <c r="B7" s="2" t="s">
        <v>11</v>
      </c>
      <c r="G7" s="10"/>
      <c r="H7" s="19"/>
      <c r="I7" s="12"/>
      <c r="J7" s="1">
        <f ca="1">IF(CLOCK = 0, J7, IF(AND(CLOCK = 1,AND.1 = 1,AND.1 = 0), 0, IF(AND(CLOCK = 1,AND.1 = 0,AND.1 = 1), 1, IF(AND(CLOCK = 1,AND.1 = 0,AND.1 = 0), J7, IF(AND(CLOCK = 1,AND.1 = 1,AND.1 = 1), IF(JK.3 = 1, 0, 1))))))</f>
        <v>1</v>
      </c>
      <c r="K7" s="12"/>
      <c r="L7" s="13"/>
      <c r="M7" s="131"/>
      <c r="N7" s="13"/>
      <c r="O7" s="13"/>
      <c r="P7" s="13"/>
      <c r="Q7" s="14"/>
      <c r="S7" s="15"/>
      <c r="T7" s="12"/>
      <c r="U7" s="12"/>
      <c r="V7" s="1">
        <f>IF(_xlfn.XOR(U5 = 1, V5 = 1), 1, 0)</f>
        <v>0</v>
      </c>
      <c r="W7" s="13"/>
      <c r="X7" s="120"/>
      <c r="Z7" s="18"/>
      <c r="AA7" s="1">
        <f>IF(AD4 = 1, 0, 1)</f>
        <v>1</v>
      </c>
      <c r="AB7" s="12"/>
      <c r="AC7" s="12"/>
      <c r="AD7" s="1">
        <f>IF(_xlfn.XOR(Z4 = 1, AC6 = 1), 1, 0)</f>
        <v>0</v>
      </c>
      <c r="AE7" s="17"/>
      <c r="AF7" s="14"/>
    </row>
    <row r="8" spans="1:32" ht="15" customHeight="1" x14ac:dyDescent="0.25">
      <c r="A8" s="1"/>
      <c r="G8" s="20"/>
      <c r="H8" s="19"/>
      <c r="I8" s="12"/>
      <c r="J8" s="12"/>
      <c r="K8" s="1">
        <f t="array" aca="1" ref="K8" ca="1">IF(AND(AND.1 = 1, JK.3 = 1), 1, 0)</f>
        <v>0</v>
      </c>
      <c r="L8" s="13"/>
      <c r="M8" s="13"/>
      <c r="N8" s="13"/>
      <c r="O8" s="13"/>
      <c r="P8" s="13"/>
      <c r="Q8" s="14"/>
      <c r="S8" s="15"/>
      <c r="T8" s="1">
        <f>IF(AND(U5 = 1, V5 = 1), 1, 0)</f>
        <v>0</v>
      </c>
      <c r="U8" s="1">
        <f>IF(AND(T5 = 1, V7 = 1), 1, 0)</f>
        <v>0</v>
      </c>
      <c r="V8" s="12"/>
      <c r="W8" s="13"/>
      <c r="X8" s="121"/>
      <c r="Z8" s="18"/>
      <c r="AA8" s="12"/>
      <c r="AB8" s="12"/>
      <c r="AC8" s="1">
        <f>IF(AC6 = 1, 0, 1)</f>
        <v>1</v>
      </c>
      <c r="AD8" s="12"/>
      <c r="AE8" s="17"/>
      <c r="AF8" s="125" t="s">
        <v>12</v>
      </c>
    </row>
    <row r="9" spans="1:32" ht="15" customHeight="1" x14ac:dyDescent="0.25">
      <c r="A9" s="1">
        <f ca="1">IF(OR(A3 = 1, C3 =1), 1, 0)</f>
        <v>1</v>
      </c>
      <c r="B9" s="2" t="s">
        <v>13</v>
      </c>
      <c r="G9" s="16"/>
      <c r="H9" s="11"/>
      <c r="I9" s="12"/>
      <c r="J9" s="1">
        <f ca="1">IF(CLOCK = 0, J9, IF(AND(CLOCK = 1,AND.2 = 1,AND.2 = 0), 0, IF(AND(CLOCK = 1,AND.2 = 0,AND.2 = 1), 1, IF(AND(CLOCK = 1,AND.2 = 0,AND.2 = 0), J9, IF(AND(CLOCK = 1,AND.2 = 1,AND.2 = 1), IF(JK.4 = 1, 0, 1))))))</f>
        <v>1</v>
      </c>
      <c r="K9" s="12"/>
      <c r="L9" s="13"/>
      <c r="M9" s="13"/>
      <c r="N9" s="13"/>
      <c r="O9" s="13"/>
      <c r="P9" s="13"/>
      <c r="Q9" s="14"/>
      <c r="S9" s="15"/>
      <c r="T9" s="12"/>
      <c r="U9" s="12"/>
      <c r="V9" s="1">
        <f>IF(_xlfn.XOR(T5 = 1, V7 = 1), 1, 0)</f>
        <v>0</v>
      </c>
      <c r="W9" s="13"/>
      <c r="X9" s="14"/>
      <c r="Z9" s="18"/>
      <c r="AA9" s="1">
        <f>IF(AND(AB4 = 1, AA7 = 1), 1, 0)</f>
        <v>0</v>
      </c>
      <c r="AB9" s="12"/>
      <c r="AC9" s="12"/>
      <c r="AD9" s="12"/>
      <c r="AE9" s="17"/>
      <c r="AF9" s="117"/>
    </row>
    <row r="10" spans="1:32" ht="15" customHeight="1" x14ac:dyDescent="0.25">
      <c r="A10" s="1"/>
      <c r="G10" s="15"/>
      <c r="H10" s="17"/>
      <c r="I10" s="12"/>
      <c r="J10" s="12"/>
      <c r="K10" s="12"/>
      <c r="L10" s="13"/>
      <c r="M10" s="13"/>
      <c r="N10" s="13"/>
      <c r="O10" s="13"/>
      <c r="P10" s="13"/>
      <c r="Q10" s="14"/>
      <c r="S10" s="15"/>
      <c r="T10" s="12"/>
      <c r="U10" s="1">
        <f>IF(OR(T8 = 1, U8 =1), 1, 0)</f>
        <v>0</v>
      </c>
      <c r="V10" s="12"/>
      <c r="W10" s="13"/>
      <c r="X10" s="14"/>
      <c r="Z10" s="18"/>
      <c r="AA10" s="12"/>
      <c r="AB10" s="1">
        <f>IF(AND(Z4 = 1, AC8 = 1), 1, 0)</f>
        <v>0</v>
      </c>
      <c r="AC10" s="12"/>
      <c r="AD10" s="12"/>
      <c r="AE10" s="17"/>
      <c r="AF10" s="126"/>
    </row>
    <row r="11" spans="1:32" ht="15" customHeight="1" x14ac:dyDescent="0.25">
      <c r="A11" s="1">
        <f ca="1">IF(_xlfn.XOR(A3 = 1, C3 = 1), 1, 0)</f>
        <v>0</v>
      </c>
      <c r="B11" s="2" t="s">
        <v>14</v>
      </c>
      <c r="G11" s="20"/>
      <c r="H11" s="21"/>
      <c r="I11" s="22"/>
      <c r="J11" s="21"/>
      <c r="K11" s="21"/>
      <c r="L11" s="23"/>
      <c r="M11" s="23"/>
      <c r="N11" s="23"/>
      <c r="O11" s="23"/>
      <c r="P11" s="23"/>
      <c r="Q11" s="24"/>
      <c r="S11" s="15"/>
      <c r="T11" s="13"/>
      <c r="U11" s="13"/>
      <c r="V11" s="13"/>
      <c r="W11" s="13"/>
      <c r="X11" s="14"/>
      <c r="Z11" s="18"/>
      <c r="AA11" s="12"/>
      <c r="AB11" s="12"/>
      <c r="AC11" s="12"/>
      <c r="AD11" s="12"/>
      <c r="AE11" s="17"/>
      <c r="AF11" s="14"/>
    </row>
    <row r="12" spans="1:32" ht="15" customHeight="1" x14ac:dyDescent="0.25">
      <c r="A12" s="1"/>
      <c r="G12" s="25">
        <f ca="1">IF(JK.4 = 1, 0, 1)</f>
        <v>0</v>
      </c>
      <c r="H12" s="12" t="s">
        <v>8</v>
      </c>
      <c r="I12" s="1">
        <f ca="1">IF(JK.3 = 1, 0, 1)</f>
        <v>0</v>
      </c>
      <c r="J12" s="12" t="s">
        <v>8</v>
      </c>
      <c r="K12" s="1">
        <f ca="1">IF(JK.2 = 1, 0, 1)</f>
        <v>1</v>
      </c>
      <c r="L12" s="12" t="s">
        <v>8</v>
      </c>
      <c r="M12" s="1">
        <f ca="1">IF(JK.1 = 1, 0, 1)</f>
        <v>1</v>
      </c>
      <c r="N12" s="12" t="s">
        <v>8</v>
      </c>
      <c r="O12" s="132" t="s">
        <v>15</v>
      </c>
      <c r="P12" s="133"/>
      <c r="Q12" s="134"/>
      <c r="S12" s="26"/>
      <c r="T12" s="27" t="s">
        <v>4</v>
      </c>
      <c r="U12" s="28">
        <f>U10</f>
        <v>0</v>
      </c>
      <c r="V12" s="28">
        <f>V9</f>
        <v>0</v>
      </c>
      <c r="W12" s="27" t="s">
        <v>16</v>
      </c>
      <c r="X12" s="29"/>
      <c r="Z12" s="18"/>
      <c r="AA12" s="1">
        <f>IF(OR(AA9 = 1, AB10 =1), 1, 0)</f>
        <v>0</v>
      </c>
      <c r="AB12" s="12"/>
      <c r="AC12" s="12"/>
      <c r="AD12" s="12"/>
      <c r="AE12" s="17"/>
      <c r="AF12" s="14"/>
    </row>
    <row r="13" spans="1:32" ht="15" customHeight="1" x14ac:dyDescent="0.25">
      <c r="A13" s="1">
        <f ca="1">IF(AND(A3 = 0, C3 =0), 1, 0)</f>
        <v>0</v>
      </c>
      <c r="B13" s="2" t="s">
        <v>17</v>
      </c>
      <c r="G13" s="10"/>
      <c r="H13" s="21"/>
      <c r="I13" s="21"/>
      <c r="J13" s="21"/>
      <c r="K13" s="21"/>
      <c r="L13" s="21"/>
      <c r="M13" s="21"/>
      <c r="N13" s="22"/>
      <c r="O13" s="135"/>
      <c r="P13" s="136"/>
      <c r="Q13" s="137"/>
      <c r="Z13" s="16"/>
      <c r="AA13" s="17"/>
      <c r="AB13" s="17"/>
      <c r="AC13" s="17"/>
      <c r="AD13" s="17"/>
      <c r="AE13" s="17"/>
      <c r="AF13" s="14"/>
    </row>
    <row r="14" spans="1:32" ht="15" customHeight="1" x14ac:dyDescent="0.25">
      <c r="A14" s="1"/>
      <c r="G14" s="30">
        <f ca="1">NOT.4</f>
        <v>0</v>
      </c>
      <c r="H14" s="27" t="s">
        <v>18</v>
      </c>
      <c r="I14" s="28">
        <f ca="1">NOT.3</f>
        <v>0</v>
      </c>
      <c r="J14" s="27" t="s">
        <v>19</v>
      </c>
      <c r="K14" s="28">
        <f ca="1">NOT.2</f>
        <v>1</v>
      </c>
      <c r="L14" s="27" t="s">
        <v>20</v>
      </c>
      <c r="M14" s="28">
        <f ca="1">NOT.1</f>
        <v>1</v>
      </c>
      <c r="N14" s="27" t="s">
        <v>21</v>
      </c>
      <c r="O14" s="138"/>
      <c r="P14" s="139"/>
      <c r="Q14" s="140"/>
      <c r="Z14" s="31"/>
      <c r="AA14" s="28">
        <f>AA12</f>
        <v>0</v>
      </c>
      <c r="AB14" s="27" t="s">
        <v>7</v>
      </c>
      <c r="AC14" s="28">
        <f>AD7</f>
        <v>0</v>
      </c>
      <c r="AD14" s="27" t="s">
        <v>16</v>
      </c>
      <c r="AE14" s="32"/>
      <c r="AF14" s="29"/>
    </row>
    <row r="15" spans="1:32" ht="15" customHeight="1" x14ac:dyDescent="0.25">
      <c r="A15" s="1">
        <f ca="1">IF(AND(A3 = 1, C3 = 1), 0, 1)</f>
        <v>0</v>
      </c>
      <c r="B15" s="2" t="s">
        <v>22</v>
      </c>
    </row>
    <row r="16" spans="1:32" ht="15" customHeight="1" x14ac:dyDescent="0.25">
      <c r="A16" s="1"/>
      <c r="G16" s="33"/>
      <c r="H16" s="6">
        <v>0</v>
      </c>
      <c r="I16" s="6">
        <v>0</v>
      </c>
      <c r="J16" s="6">
        <v>0</v>
      </c>
      <c r="K16" s="6">
        <v>0</v>
      </c>
      <c r="L16" s="5" t="s">
        <v>5</v>
      </c>
      <c r="M16" s="34"/>
      <c r="N16" s="141" t="s">
        <v>23</v>
      </c>
      <c r="O16" s="8"/>
      <c r="Q16" s="3"/>
      <c r="R16" s="6">
        <v>1</v>
      </c>
      <c r="S16" s="5" t="s">
        <v>5</v>
      </c>
      <c r="T16" s="6">
        <v>1</v>
      </c>
      <c r="U16" s="5" t="s">
        <v>6</v>
      </c>
      <c r="V16" s="4"/>
      <c r="W16" s="8"/>
      <c r="Y16" s="35"/>
      <c r="Z16" s="6">
        <v>0</v>
      </c>
      <c r="AA16" s="5" t="s">
        <v>5</v>
      </c>
      <c r="AB16" s="6">
        <v>0</v>
      </c>
      <c r="AC16" s="5" t="s">
        <v>6</v>
      </c>
      <c r="AD16" s="4"/>
      <c r="AE16" s="36"/>
    </row>
    <row r="17" spans="1:34" ht="15" customHeight="1" x14ac:dyDescent="0.25">
      <c r="A17" s="1">
        <f ca="1">IF(OR(AND(A3 = 1, C3 = 1), AND(A3 = 0, C3 = 0)), 1, 0)</f>
        <v>1</v>
      </c>
      <c r="B17" s="2" t="s">
        <v>24</v>
      </c>
      <c r="G17" s="16"/>
      <c r="H17" s="1">
        <v>0</v>
      </c>
      <c r="I17" s="1">
        <v>0</v>
      </c>
      <c r="J17" s="1">
        <v>0</v>
      </c>
      <c r="K17" s="1">
        <v>0</v>
      </c>
      <c r="L17" s="12" t="s">
        <v>6</v>
      </c>
      <c r="M17" s="17"/>
      <c r="N17" s="142"/>
      <c r="O17" s="14"/>
      <c r="Q17" s="15"/>
      <c r="R17" s="13"/>
      <c r="S17" s="13"/>
      <c r="T17" s="13"/>
      <c r="U17" s="13"/>
      <c r="V17" s="22"/>
      <c r="W17" s="14"/>
      <c r="Y17" s="18"/>
      <c r="Z17" s="22"/>
      <c r="AA17" s="22"/>
      <c r="AB17" s="22"/>
      <c r="AC17" s="22"/>
      <c r="AD17" s="22"/>
      <c r="AE17" s="37"/>
    </row>
    <row r="18" spans="1:34" ht="15" customHeight="1" x14ac:dyDescent="0.25">
      <c r="G18" s="16"/>
      <c r="H18" s="17"/>
      <c r="I18" s="17"/>
      <c r="J18" s="17"/>
      <c r="K18" s="17"/>
      <c r="L18" s="17"/>
      <c r="M18" s="17"/>
      <c r="N18" s="143"/>
      <c r="O18" s="14"/>
      <c r="Q18" s="15"/>
      <c r="R18" s="12"/>
      <c r="S18" s="12"/>
      <c r="T18" s="1">
        <f>IF(_xlfn.XOR(R16 = 1, T16 = 1), 1, 0)</f>
        <v>0</v>
      </c>
      <c r="U18" s="12"/>
      <c r="V18" s="22"/>
      <c r="W18" s="119" t="s">
        <v>25</v>
      </c>
      <c r="Y18" s="18"/>
      <c r="Z18" s="12"/>
      <c r="AA18" s="12"/>
      <c r="AB18" s="1">
        <f>IF(_xlfn.XOR(Z16 = 1, AB16 = 1), 1, 0)</f>
        <v>0</v>
      </c>
      <c r="AC18" s="12"/>
      <c r="AD18" s="22"/>
      <c r="AE18" s="144" t="s">
        <v>26</v>
      </c>
    </row>
    <row r="19" spans="1:34" ht="15" customHeight="1" x14ac:dyDescent="0.25">
      <c r="A19" s="1">
        <f ca="1">IF(AND(A1 = 1, C1 = 1), 0, IF(AND(A1 = 1, C1 = 0), 1, IF(AND(A1 = 0, C1 = 1), 0, A19)))</f>
        <v>0</v>
      </c>
      <c r="B19" s="2" t="s">
        <v>27</v>
      </c>
      <c r="G19" s="16"/>
      <c r="H19" s="17"/>
      <c r="I19" s="17"/>
      <c r="J19" s="17"/>
      <c r="K19" s="17"/>
      <c r="L19" s="17"/>
      <c r="M19" s="38"/>
      <c r="N19" s="17"/>
      <c r="O19" s="14"/>
      <c r="Q19" s="15"/>
      <c r="R19" s="12"/>
      <c r="S19" s="12"/>
      <c r="T19" s="12"/>
      <c r="U19" s="12"/>
      <c r="V19" s="22"/>
      <c r="W19" s="120"/>
      <c r="Y19" s="18"/>
      <c r="Z19" s="1">
        <f>IF(Z16 = 1, 0, 1)</f>
        <v>1</v>
      </c>
      <c r="AA19" s="12"/>
      <c r="AB19" s="12"/>
      <c r="AC19" s="12"/>
      <c r="AD19" s="22"/>
      <c r="AE19" s="117"/>
    </row>
    <row r="20" spans="1:34" ht="15" customHeight="1" x14ac:dyDescent="0.25">
      <c r="G20" s="16"/>
      <c r="H20" s="9">
        <v>0</v>
      </c>
      <c r="I20" s="5" t="s">
        <v>7</v>
      </c>
      <c r="J20" s="6">
        <f>K17</f>
        <v>0</v>
      </c>
      <c r="K20" s="5" t="s">
        <v>6</v>
      </c>
      <c r="L20" s="6">
        <f>K16</f>
        <v>0</v>
      </c>
      <c r="M20" s="5" t="s">
        <v>5</v>
      </c>
      <c r="N20" s="8"/>
      <c r="O20" s="14"/>
      <c r="Q20" s="15"/>
      <c r="R20" s="12"/>
      <c r="S20" s="1">
        <f>IF(AND(R16 = 1, T16 = 1), 1, 0)</f>
        <v>1</v>
      </c>
      <c r="T20" s="12"/>
      <c r="U20" s="12"/>
      <c r="V20" s="22"/>
      <c r="W20" s="121"/>
      <c r="Y20" s="18"/>
      <c r="Z20" s="12"/>
      <c r="AA20" s="12"/>
      <c r="AB20" s="12"/>
      <c r="AC20" s="12"/>
      <c r="AD20" s="22"/>
      <c r="AE20" s="118"/>
    </row>
    <row r="21" spans="1:34" ht="15" customHeight="1" x14ac:dyDescent="0.25">
      <c r="A21" s="1">
        <f ca="1">IF(A1 = 0, A21, IF(AND(A1 = 1, C1 = 1, E1 = 0), 1, IF(AND(A1 = 1, C1 = 0, E1 = 1), 0, IF(AND(A1 = 1, C1 = 0, E1 = 0), A21, IF(AND(A1 = 1, C1 = 1, E1 = 1), IF(A21 = 1, 0, 1))))))</f>
        <v>1</v>
      </c>
      <c r="B21" s="2" t="s">
        <v>28</v>
      </c>
      <c r="G21" s="16"/>
      <c r="H21" s="16"/>
      <c r="I21" s="17"/>
      <c r="J21" s="17"/>
      <c r="K21" s="17"/>
      <c r="L21" s="17"/>
      <c r="M21" s="17"/>
      <c r="N21" s="14"/>
      <c r="O21" s="14"/>
      <c r="Q21" s="15"/>
      <c r="R21" s="12"/>
      <c r="S21" s="12"/>
      <c r="T21" s="12"/>
      <c r="U21" s="12"/>
      <c r="V21" s="22"/>
      <c r="W21" s="14"/>
      <c r="Y21" s="18"/>
      <c r="Z21" s="1">
        <f>IF(AND(Z19 = 1, AB16 = 1), 1, 0)</f>
        <v>0</v>
      </c>
      <c r="AA21" s="12"/>
      <c r="AB21" s="12"/>
      <c r="AC21" s="12"/>
      <c r="AD21" s="22"/>
      <c r="AE21" s="37"/>
    </row>
    <row r="22" spans="1:34" ht="15" customHeight="1" x14ac:dyDescent="0.25">
      <c r="G22" s="16"/>
      <c r="H22" s="18"/>
      <c r="I22" s="12"/>
      <c r="J22" s="12"/>
      <c r="K22" s="1">
        <f>IF(_xlfn.XOR(J20 = 1, L20 = 1), 1, 0)</f>
        <v>0</v>
      </c>
      <c r="L22" s="12"/>
      <c r="M22" s="17"/>
      <c r="N22" s="14"/>
      <c r="O22" s="14"/>
      <c r="Q22" s="15"/>
      <c r="R22" s="13"/>
      <c r="S22" s="13"/>
      <c r="T22" s="13"/>
      <c r="U22" s="13"/>
      <c r="V22" s="22"/>
      <c r="W22" s="14"/>
      <c r="Y22" s="18"/>
      <c r="Z22" s="22"/>
      <c r="AA22" s="22"/>
      <c r="AB22" s="22"/>
      <c r="AC22" s="22"/>
      <c r="AD22" s="22"/>
      <c r="AE22" s="37"/>
    </row>
    <row r="23" spans="1:34" ht="15" customHeight="1" x14ac:dyDescent="0.25">
      <c r="G23" s="16"/>
      <c r="H23" s="18"/>
      <c r="I23" s="1">
        <f>IF(L20 = 1, 0, 1)</f>
        <v>1</v>
      </c>
      <c r="J23" s="12"/>
      <c r="K23" s="12"/>
      <c r="L23" s="1">
        <f>IF(_xlfn.XOR(H20 = 1, K22 = 1), 1, 0)</f>
        <v>0</v>
      </c>
      <c r="M23" s="17"/>
      <c r="N23" s="14"/>
      <c r="O23" s="14"/>
      <c r="Q23" s="26"/>
      <c r="R23" s="28">
        <f>S20</f>
        <v>1</v>
      </c>
      <c r="S23" s="27" t="s">
        <v>4</v>
      </c>
      <c r="T23" s="28">
        <f>T18</f>
        <v>0</v>
      </c>
      <c r="U23" s="27" t="s">
        <v>16</v>
      </c>
      <c r="V23" s="39"/>
      <c r="W23" s="29"/>
      <c r="Y23" s="40"/>
      <c r="Z23" s="28">
        <f>Z21</f>
        <v>0</v>
      </c>
      <c r="AA23" s="27" t="s">
        <v>7</v>
      </c>
      <c r="AB23" s="28">
        <f>AB18</f>
        <v>0</v>
      </c>
      <c r="AC23" s="27" t="s">
        <v>16</v>
      </c>
      <c r="AD23" s="39"/>
      <c r="AE23" s="41"/>
    </row>
    <row r="24" spans="1:34" ht="15" customHeight="1" x14ac:dyDescent="0.25">
      <c r="G24" s="16"/>
      <c r="H24" s="18"/>
      <c r="I24" s="12"/>
      <c r="J24" s="12"/>
      <c r="K24" s="1">
        <f>IF(K22 = 1, 0, 1)</f>
        <v>1</v>
      </c>
      <c r="L24" s="12"/>
      <c r="M24" s="17"/>
      <c r="N24" s="125" t="s">
        <v>12</v>
      </c>
      <c r="O24" s="14"/>
    </row>
    <row r="25" spans="1:34" ht="15" customHeight="1" x14ac:dyDescent="0.25">
      <c r="G25" s="16"/>
      <c r="H25" s="18"/>
      <c r="I25" s="1">
        <f>IF(AND(J20 = 1, I23 = 1), 1, 0)</f>
        <v>0</v>
      </c>
      <c r="J25" s="12"/>
      <c r="K25" s="12"/>
      <c r="L25" s="12"/>
      <c r="M25" s="17"/>
      <c r="N25" s="117"/>
      <c r="O25" s="14"/>
      <c r="Q25" s="33"/>
      <c r="R25" s="6">
        <v>0</v>
      </c>
      <c r="S25" s="6">
        <v>0</v>
      </c>
      <c r="T25" s="6">
        <v>0</v>
      </c>
      <c r="U25" s="6">
        <v>0</v>
      </c>
      <c r="V25" s="5" t="s">
        <v>5</v>
      </c>
      <c r="W25" s="6">
        <v>0</v>
      </c>
      <c r="X25" s="5" t="s">
        <v>29</v>
      </c>
      <c r="Y25" s="8"/>
      <c r="AA25" s="35"/>
      <c r="AB25" s="6">
        <v>1</v>
      </c>
      <c r="AC25" s="5" t="s">
        <v>5</v>
      </c>
      <c r="AD25" s="6">
        <v>0</v>
      </c>
      <c r="AE25" s="5" t="s">
        <v>6</v>
      </c>
      <c r="AF25" s="6">
        <v>0</v>
      </c>
      <c r="AG25" s="5" t="s">
        <v>34</v>
      </c>
      <c r="AH25" s="36"/>
    </row>
    <row r="26" spans="1:34" ht="15" customHeight="1" x14ac:dyDescent="0.25">
      <c r="G26" s="16"/>
      <c r="H26" s="18"/>
      <c r="I26" s="12"/>
      <c r="J26" s="1">
        <f>IF(AND(H20 = 1, K24 = 1), 1, 0)</f>
        <v>0</v>
      </c>
      <c r="K26" s="12"/>
      <c r="L26" s="12"/>
      <c r="M26" s="17"/>
      <c r="N26" s="126"/>
      <c r="O26" s="14"/>
      <c r="Q26" s="16"/>
      <c r="R26" s="1">
        <v>0</v>
      </c>
      <c r="S26" s="1">
        <v>0</v>
      </c>
      <c r="T26" s="1">
        <v>0</v>
      </c>
      <c r="U26" s="1">
        <v>0</v>
      </c>
      <c r="V26" s="12" t="s">
        <v>6</v>
      </c>
      <c r="W26" s="17"/>
      <c r="X26" s="17"/>
      <c r="Y26" s="14"/>
      <c r="AA26" s="18"/>
      <c r="AB26" s="22"/>
      <c r="AC26" s="22"/>
      <c r="AD26" s="22"/>
      <c r="AE26" s="22"/>
      <c r="AF26" s="22"/>
      <c r="AG26" s="22"/>
      <c r="AH26" s="37"/>
    </row>
    <row r="27" spans="1:34" ht="15" customHeight="1" x14ac:dyDescent="0.25">
      <c r="G27" s="16"/>
      <c r="H27" s="18"/>
      <c r="I27" s="12"/>
      <c r="J27" s="12"/>
      <c r="K27" s="12"/>
      <c r="L27" s="12"/>
      <c r="M27" s="17"/>
      <c r="N27" s="14"/>
      <c r="O27" s="14"/>
      <c r="Q27" s="16"/>
      <c r="R27" s="17"/>
      <c r="S27" s="17"/>
      <c r="T27" s="17"/>
      <c r="U27" s="17"/>
      <c r="V27" s="17"/>
      <c r="W27" s="17"/>
      <c r="X27" s="17"/>
      <c r="Y27" s="14"/>
      <c r="AA27" s="18"/>
      <c r="AB27" s="22"/>
      <c r="AC27" s="1">
        <f>IF(AND(AB25 = 1, AF25 = 1), 1, 0)</f>
        <v>0</v>
      </c>
      <c r="AD27" s="12"/>
      <c r="AE27" s="12"/>
      <c r="AF27" s="12"/>
      <c r="AG27" s="22"/>
      <c r="AH27" s="116" t="s">
        <v>51</v>
      </c>
    </row>
    <row r="28" spans="1:34" ht="15" customHeight="1" x14ac:dyDescent="0.25">
      <c r="G28" s="16"/>
      <c r="H28" s="18"/>
      <c r="I28" s="1">
        <f>IF(OR(I25 = 1, J26 =1), 1, 0)</f>
        <v>0</v>
      </c>
      <c r="J28" s="12"/>
      <c r="K28" s="12"/>
      <c r="L28" s="12"/>
      <c r="M28" s="17"/>
      <c r="N28" s="14"/>
      <c r="O28" s="14"/>
      <c r="Q28" s="16"/>
      <c r="R28" s="17"/>
      <c r="S28" s="17"/>
      <c r="T28" s="17"/>
      <c r="U28" s="1">
        <f>IF(_xlfn.XOR(U26 = 1, W25 = 1), 1, 0)</f>
        <v>0</v>
      </c>
      <c r="V28" s="27" t="s">
        <v>14</v>
      </c>
      <c r="W28" s="17"/>
      <c r="X28" s="17"/>
      <c r="Y28" s="127" t="s">
        <v>30</v>
      </c>
      <c r="AA28" s="18"/>
      <c r="AB28" s="22"/>
      <c r="AC28" s="12"/>
      <c r="AD28" s="1">
        <f>IF(AND(AD25 = 1, AE28 = 1), 1, 0)</f>
        <v>0</v>
      </c>
      <c r="AE28" s="1">
        <f>IF(AF25 = 1, 0, 1)</f>
        <v>1</v>
      </c>
      <c r="AF28" s="12"/>
      <c r="AG28" s="22"/>
      <c r="AH28" s="117"/>
    </row>
    <row r="29" spans="1:34" ht="15" customHeight="1" x14ac:dyDescent="0.25">
      <c r="G29" s="16"/>
      <c r="H29" s="16"/>
      <c r="I29" s="17"/>
      <c r="J29" s="17"/>
      <c r="K29" s="17"/>
      <c r="L29" s="17"/>
      <c r="M29" s="17"/>
      <c r="N29" s="14"/>
      <c r="O29" s="14"/>
      <c r="Q29" s="16"/>
      <c r="R29" s="3"/>
      <c r="S29" s="5" t="s">
        <v>4</v>
      </c>
      <c r="T29" s="5" t="s">
        <v>5</v>
      </c>
      <c r="U29" s="5" t="s">
        <v>6</v>
      </c>
      <c r="V29" s="7"/>
      <c r="W29" s="8"/>
      <c r="X29" s="17"/>
      <c r="Y29" s="117"/>
      <c r="AA29" s="18"/>
      <c r="AB29" s="22"/>
      <c r="AC29" s="1">
        <f>IF(OR(AC27 = 1, AD28 =1), 1, 0)</f>
        <v>0</v>
      </c>
      <c r="AD29" s="12"/>
      <c r="AE29" s="12"/>
      <c r="AF29" s="12"/>
      <c r="AG29" s="22"/>
      <c r="AH29" s="118"/>
    </row>
    <row r="30" spans="1:34" ht="15" customHeight="1" x14ac:dyDescent="0.25">
      <c r="G30" s="16"/>
      <c r="H30" s="31"/>
      <c r="I30" s="28">
        <f>I28</f>
        <v>0</v>
      </c>
      <c r="J30" s="27" t="s">
        <v>7</v>
      </c>
      <c r="K30" s="28">
        <f>L23</f>
        <v>0</v>
      </c>
      <c r="L30" s="27" t="s">
        <v>16</v>
      </c>
      <c r="M30" s="32"/>
      <c r="N30" s="29"/>
      <c r="O30" s="14"/>
      <c r="Q30" s="16"/>
      <c r="R30" s="15"/>
      <c r="S30" s="1">
        <f>W25</f>
        <v>0</v>
      </c>
      <c r="T30" s="1">
        <f>U25</f>
        <v>0</v>
      </c>
      <c r="U30" s="1">
        <f>U28</f>
        <v>0</v>
      </c>
      <c r="V30" s="13"/>
      <c r="W30" s="14"/>
      <c r="X30" s="17"/>
      <c r="Y30" s="126"/>
      <c r="AA30" s="18"/>
      <c r="AB30" s="22"/>
      <c r="AC30" s="22"/>
      <c r="AD30" s="22"/>
      <c r="AE30" s="22"/>
      <c r="AF30" s="22"/>
      <c r="AG30" s="22"/>
      <c r="AH30" s="37"/>
    </row>
    <row r="31" spans="1:34" ht="15" customHeight="1" x14ac:dyDescent="0.25">
      <c r="G31" s="16"/>
      <c r="H31" s="17"/>
      <c r="I31" s="17"/>
      <c r="J31" s="42"/>
      <c r="K31" s="17"/>
      <c r="L31" s="17"/>
      <c r="M31" s="42"/>
      <c r="N31" s="17"/>
      <c r="O31" s="14"/>
      <c r="Q31" s="16"/>
      <c r="R31" s="15"/>
      <c r="S31" s="13"/>
      <c r="T31" s="13"/>
      <c r="U31" s="13"/>
      <c r="V31" s="13"/>
      <c r="W31" s="119" t="s">
        <v>10</v>
      </c>
      <c r="X31" s="17"/>
      <c r="Y31" s="14"/>
      <c r="AA31" s="40"/>
      <c r="AB31" s="39"/>
      <c r="AC31" s="46">
        <f>AC29</f>
        <v>0</v>
      </c>
      <c r="AD31" s="27" t="s">
        <v>16</v>
      </c>
      <c r="AE31" s="39"/>
      <c r="AF31" s="39"/>
      <c r="AG31" s="39"/>
      <c r="AH31" s="41"/>
    </row>
    <row r="32" spans="1:34" ht="15" customHeight="1" x14ac:dyDescent="0.25">
      <c r="G32" s="16"/>
      <c r="H32" s="9">
        <f>I30</f>
        <v>0</v>
      </c>
      <c r="I32" s="5" t="s">
        <v>7</v>
      </c>
      <c r="J32" s="6">
        <f>J17</f>
        <v>0</v>
      </c>
      <c r="K32" s="5" t="s">
        <v>6</v>
      </c>
      <c r="L32" s="6">
        <f>J16</f>
        <v>0</v>
      </c>
      <c r="M32" s="5" t="s">
        <v>5</v>
      </c>
      <c r="N32" s="8"/>
      <c r="O32" s="14"/>
      <c r="Q32" s="16"/>
      <c r="R32" s="15"/>
      <c r="S32" s="12"/>
      <c r="T32" s="12"/>
      <c r="U32" s="1">
        <f>IF(_xlfn.XOR(T30 = 1, U30 = 1), 1, 0)</f>
        <v>0</v>
      </c>
      <c r="V32" s="13"/>
      <c r="W32" s="120"/>
      <c r="X32" s="17"/>
      <c r="Y32" s="14"/>
    </row>
    <row r="33" spans="7:35" ht="15" customHeight="1" x14ac:dyDescent="0.25">
      <c r="G33" s="16"/>
      <c r="H33" s="16"/>
      <c r="I33" s="17"/>
      <c r="J33" s="17"/>
      <c r="K33" s="17"/>
      <c r="L33" s="17"/>
      <c r="M33" s="17"/>
      <c r="N33" s="14"/>
      <c r="O33" s="14"/>
      <c r="Q33" s="16"/>
      <c r="R33" s="15"/>
      <c r="S33" s="1">
        <f>IF(AND(T30 = 1, U30 = 1), 1, 0)</f>
        <v>0</v>
      </c>
      <c r="T33" s="1">
        <f>IF(AND(S30 = 1, U32 = 1), 1, 0)</f>
        <v>0</v>
      </c>
      <c r="U33" s="12"/>
      <c r="V33" s="13"/>
      <c r="W33" s="121"/>
      <c r="X33" s="17"/>
      <c r="Y33" s="14"/>
      <c r="AA33" s="35"/>
      <c r="AB33" s="57">
        <v>0</v>
      </c>
      <c r="AC33" s="57">
        <v>0</v>
      </c>
      <c r="AD33" s="57">
        <v>0</v>
      </c>
      <c r="AE33" s="57">
        <v>0</v>
      </c>
      <c r="AF33" s="47" t="s">
        <v>5</v>
      </c>
      <c r="AG33" s="36"/>
    </row>
    <row r="34" spans="7:35" ht="15" customHeight="1" x14ac:dyDescent="0.25">
      <c r="G34" s="16"/>
      <c r="H34" s="18"/>
      <c r="I34" s="12"/>
      <c r="J34" s="12"/>
      <c r="K34" s="1">
        <f>IF(_xlfn.XOR(J32 = 1, L32 = 1), 1, 0)</f>
        <v>0</v>
      </c>
      <c r="L34" s="12"/>
      <c r="M34" s="17"/>
      <c r="N34" s="14"/>
      <c r="O34" s="14"/>
      <c r="Q34" s="16"/>
      <c r="R34" s="15"/>
      <c r="S34" s="12"/>
      <c r="T34" s="12"/>
      <c r="U34" s="1">
        <f>IF(_xlfn.XOR(S30 = 1, U32 = 1), 1, 0)</f>
        <v>0</v>
      </c>
      <c r="V34" s="13"/>
      <c r="W34" s="14"/>
      <c r="X34" s="17"/>
      <c r="Y34" s="14"/>
      <c r="AA34" s="18"/>
      <c r="AB34" s="1">
        <v>0</v>
      </c>
      <c r="AC34" s="1">
        <v>0</v>
      </c>
      <c r="AD34" s="1">
        <v>0</v>
      </c>
      <c r="AE34" s="1">
        <v>0</v>
      </c>
      <c r="AF34" s="12" t="s">
        <v>6</v>
      </c>
      <c r="AG34" s="37"/>
    </row>
    <row r="35" spans="7:35" ht="15" customHeight="1" x14ac:dyDescent="0.25">
      <c r="G35" s="16"/>
      <c r="H35" s="18"/>
      <c r="I35" s="1">
        <f>IF(L32 = 1, 0, 1)</f>
        <v>1</v>
      </c>
      <c r="J35" s="12"/>
      <c r="K35" s="12"/>
      <c r="L35" s="1">
        <f>IF(_xlfn.XOR(H32 = 1, K34 = 1), 1, 0)</f>
        <v>0</v>
      </c>
      <c r="M35" s="17"/>
      <c r="N35" s="14"/>
      <c r="O35" s="14"/>
      <c r="Q35" s="16"/>
      <c r="R35" s="15"/>
      <c r="S35" s="12"/>
      <c r="T35" s="1">
        <f>IF(OR(S33 = 1, T33 =1), 1, 0)</f>
        <v>0</v>
      </c>
      <c r="U35" s="12"/>
      <c r="V35" s="13"/>
      <c r="W35" s="14"/>
      <c r="X35" s="17"/>
      <c r="Y35" s="14"/>
      <c r="AA35" s="18"/>
      <c r="AB35" s="22"/>
      <c r="AC35" s="22"/>
      <c r="AD35" s="22"/>
      <c r="AE35" s="22"/>
      <c r="AF35" s="22"/>
      <c r="AG35" s="128" t="s">
        <v>35</v>
      </c>
    </row>
    <row r="36" spans="7:35" ht="15" customHeight="1" x14ac:dyDescent="0.25">
      <c r="G36" s="16"/>
      <c r="H36" s="18"/>
      <c r="I36" s="12"/>
      <c r="J36" s="12"/>
      <c r="K36" s="1">
        <f>IF(K34 = 1, 0, 1)</f>
        <v>1</v>
      </c>
      <c r="L36" s="12"/>
      <c r="M36" s="17"/>
      <c r="N36" s="125" t="s">
        <v>12</v>
      </c>
      <c r="O36" s="14"/>
      <c r="Q36" s="16"/>
      <c r="R36" s="15"/>
      <c r="S36" s="13"/>
      <c r="T36" s="13"/>
      <c r="U36" s="13"/>
      <c r="V36" s="13"/>
      <c r="W36" s="14"/>
      <c r="X36" s="17"/>
      <c r="Y36" s="14"/>
      <c r="AA36" s="18"/>
      <c r="AB36" s="1">
        <f>IF(OR(AB33 = 1, AB34 =1), 1, 0)</f>
        <v>0</v>
      </c>
      <c r="AC36" s="1">
        <f>IF(OR(AC33 = 1, AC34 =1), 1, 0)</f>
        <v>0</v>
      </c>
      <c r="AD36" s="1">
        <f>IF(OR(AD33 = 1, AD34 =1), 1, 0)</f>
        <v>0</v>
      </c>
      <c r="AE36" s="1">
        <f>IF(OR(AE33 = 1, AE34 =1), 1, 0)</f>
        <v>0</v>
      </c>
      <c r="AF36" s="22"/>
      <c r="AG36" s="128"/>
    </row>
    <row r="37" spans="7:35" ht="15" customHeight="1" x14ac:dyDescent="0.25">
      <c r="G37" s="16"/>
      <c r="H37" s="18"/>
      <c r="I37" s="1">
        <f>IF(AND(J32 = 1, I35 = 1), 1, 0)</f>
        <v>0</v>
      </c>
      <c r="J37" s="12"/>
      <c r="K37" s="12"/>
      <c r="L37" s="12"/>
      <c r="M37" s="17"/>
      <c r="N37" s="117"/>
      <c r="O37" s="14"/>
      <c r="Q37" s="16"/>
      <c r="R37" s="26"/>
      <c r="S37" s="27" t="s">
        <v>4</v>
      </c>
      <c r="T37" s="28">
        <f>T35</f>
        <v>0</v>
      </c>
      <c r="U37" s="28">
        <f>U34</f>
        <v>0</v>
      </c>
      <c r="V37" s="27" t="s">
        <v>16</v>
      </c>
      <c r="W37" s="29"/>
      <c r="X37" s="17"/>
      <c r="Y37" s="14"/>
      <c r="AA37" s="18"/>
      <c r="AB37" s="22"/>
      <c r="AC37" s="22"/>
      <c r="AD37" s="22"/>
      <c r="AE37" s="22"/>
      <c r="AF37" s="22"/>
      <c r="AG37" s="128"/>
    </row>
    <row r="38" spans="7:35" ht="15" customHeight="1" x14ac:dyDescent="0.25">
      <c r="G38" s="16"/>
      <c r="H38" s="18"/>
      <c r="I38" s="12"/>
      <c r="J38" s="1">
        <f>IF(AND(H32 = 1, K36 = 1), 1, 0)</f>
        <v>0</v>
      </c>
      <c r="K38" s="12"/>
      <c r="L38" s="12"/>
      <c r="M38" s="17"/>
      <c r="N38" s="126"/>
      <c r="O38" s="14"/>
      <c r="Q38" s="16"/>
      <c r="R38" s="17"/>
      <c r="S38" s="17"/>
      <c r="T38" s="17"/>
      <c r="U38" s="1">
        <f>IF(_xlfn.XOR(T26 = 1, W25 = 1), 1, 0)</f>
        <v>0</v>
      </c>
      <c r="V38" s="27" t="s">
        <v>14</v>
      </c>
      <c r="W38" s="17"/>
      <c r="X38" s="17"/>
      <c r="Y38" s="14"/>
      <c r="AA38" s="40"/>
      <c r="AB38" s="46">
        <f>AB36</f>
        <v>0</v>
      </c>
      <c r="AC38" s="46">
        <f>AC36</f>
        <v>0</v>
      </c>
      <c r="AD38" s="46">
        <f>AD36</f>
        <v>0</v>
      </c>
      <c r="AE38" s="46">
        <f>AE36</f>
        <v>0</v>
      </c>
      <c r="AF38" s="27" t="s">
        <v>16</v>
      </c>
      <c r="AG38" s="41"/>
    </row>
    <row r="39" spans="7:35" ht="15" customHeight="1" x14ac:dyDescent="0.25">
      <c r="G39" s="16"/>
      <c r="H39" s="18"/>
      <c r="I39" s="12"/>
      <c r="J39" s="12"/>
      <c r="K39" s="12"/>
      <c r="L39" s="12"/>
      <c r="M39" s="17"/>
      <c r="N39" s="14"/>
      <c r="O39" s="14"/>
      <c r="Q39" s="16"/>
      <c r="R39" s="3"/>
      <c r="S39" s="5" t="s">
        <v>4</v>
      </c>
      <c r="T39" s="5" t="s">
        <v>5</v>
      </c>
      <c r="U39" s="5" t="s">
        <v>6</v>
      </c>
      <c r="V39" s="7"/>
      <c r="W39" s="8"/>
      <c r="X39" s="17"/>
      <c r="Y39" s="14"/>
    </row>
    <row r="40" spans="7:35" ht="15" customHeight="1" x14ac:dyDescent="0.25">
      <c r="G40" s="16"/>
      <c r="H40" s="18"/>
      <c r="I40" s="1">
        <f>IF(OR(I37 = 1, J38 =1), 1, 0)</f>
        <v>0</v>
      </c>
      <c r="J40" s="12"/>
      <c r="K40" s="12"/>
      <c r="L40" s="12"/>
      <c r="M40" s="17"/>
      <c r="N40" s="14"/>
      <c r="O40" s="14"/>
      <c r="Q40" s="16"/>
      <c r="R40" s="15"/>
      <c r="S40" s="1">
        <f>T37</f>
        <v>0</v>
      </c>
      <c r="T40" s="1">
        <f>T25</f>
        <v>0</v>
      </c>
      <c r="U40" s="1">
        <f>U38</f>
        <v>0</v>
      </c>
      <c r="V40" s="13"/>
      <c r="W40" s="14"/>
      <c r="X40" s="17"/>
      <c r="Y40" s="14"/>
      <c r="AA40" s="35"/>
      <c r="AB40" s="57">
        <v>0</v>
      </c>
      <c r="AC40" s="57">
        <v>0</v>
      </c>
      <c r="AD40" s="57">
        <v>0</v>
      </c>
      <c r="AE40" s="57">
        <v>0</v>
      </c>
      <c r="AF40" s="47" t="s">
        <v>5</v>
      </c>
      <c r="AG40" s="36"/>
    </row>
    <row r="41" spans="7:35" ht="15" customHeight="1" x14ac:dyDescent="0.25">
      <c r="G41" s="16"/>
      <c r="H41" s="16"/>
      <c r="I41" s="17"/>
      <c r="J41" s="17"/>
      <c r="K41" s="17"/>
      <c r="L41" s="17"/>
      <c r="M41" s="17"/>
      <c r="N41" s="14"/>
      <c r="O41" s="14"/>
      <c r="Q41" s="16"/>
      <c r="R41" s="15"/>
      <c r="S41" s="13"/>
      <c r="T41" s="13"/>
      <c r="U41" s="13"/>
      <c r="V41" s="13"/>
      <c r="W41" s="119" t="s">
        <v>10</v>
      </c>
      <c r="X41" s="17"/>
      <c r="Y41" s="14"/>
      <c r="AA41" s="18"/>
      <c r="AB41" s="1">
        <v>0</v>
      </c>
      <c r="AC41" s="1">
        <v>0</v>
      </c>
      <c r="AD41" s="1">
        <v>0</v>
      </c>
      <c r="AE41" s="1">
        <v>0</v>
      </c>
      <c r="AF41" s="12" t="s">
        <v>6</v>
      </c>
      <c r="AG41" s="37"/>
    </row>
    <row r="42" spans="7:35" ht="15" customHeight="1" x14ac:dyDescent="0.25">
      <c r="G42" s="16"/>
      <c r="H42" s="31"/>
      <c r="I42" s="28">
        <f>I40</f>
        <v>0</v>
      </c>
      <c r="J42" s="27" t="s">
        <v>7</v>
      </c>
      <c r="K42" s="28">
        <f>L35</f>
        <v>0</v>
      </c>
      <c r="L42" s="27" t="s">
        <v>16</v>
      </c>
      <c r="M42" s="32"/>
      <c r="N42" s="29"/>
      <c r="O42" s="14"/>
      <c r="Q42" s="16"/>
      <c r="R42" s="15"/>
      <c r="S42" s="12"/>
      <c r="T42" s="12"/>
      <c r="U42" s="1">
        <f>IF(_xlfn.XOR(T40 = 1, U40 = 1), 1, 0)</f>
        <v>0</v>
      </c>
      <c r="V42" s="13"/>
      <c r="W42" s="120"/>
      <c r="X42" s="17"/>
      <c r="Y42" s="14"/>
      <c r="AA42" s="18"/>
      <c r="AB42" s="22"/>
      <c r="AC42" s="22"/>
      <c r="AD42" s="22"/>
      <c r="AE42" s="22"/>
      <c r="AF42" s="22"/>
      <c r="AG42" s="124" t="s">
        <v>36</v>
      </c>
    </row>
    <row r="43" spans="7:35" ht="15" customHeight="1" x14ac:dyDescent="0.25">
      <c r="G43" s="16"/>
      <c r="H43" s="17"/>
      <c r="I43" s="17"/>
      <c r="J43" s="17"/>
      <c r="K43" s="17"/>
      <c r="L43" s="17"/>
      <c r="M43" s="17"/>
      <c r="N43" s="17"/>
      <c r="O43" s="14"/>
      <c r="Q43" s="16"/>
      <c r="R43" s="15"/>
      <c r="S43" s="1">
        <f>IF(AND(T40 = 1, U40 = 1), 1, 0)</f>
        <v>0</v>
      </c>
      <c r="T43" s="1">
        <f>IF(AND(S40 = 1, U42 = 1), 1, 0)</f>
        <v>0</v>
      </c>
      <c r="U43" s="12"/>
      <c r="V43" s="13"/>
      <c r="W43" s="121"/>
      <c r="X43" s="17"/>
      <c r="Y43" s="14"/>
      <c r="AA43" s="18"/>
      <c r="AB43" s="1">
        <f>IF(AND(AB40 = 1, AB41 = 1), 1, 0)</f>
        <v>0</v>
      </c>
      <c r="AC43" s="1">
        <f>IF(AND(AC40 = 1, AC41 = 1), 1, 0)</f>
        <v>0</v>
      </c>
      <c r="AD43" s="1">
        <f>IF(AND(AD40 = 1, AD41 = 1), 1, 0)</f>
        <v>0</v>
      </c>
      <c r="AE43" s="1">
        <f>IF(AND(AE40 = 1, AE41 = 1), 1, 0)</f>
        <v>0</v>
      </c>
      <c r="AF43" s="22"/>
      <c r="AG43" s="124"/>
    </row>
    <row r="44" spans="7:35" ht="15" customHeight="1" x14ac:dyDescent="0.25">
      <c r="G44" s="16"/>
      <c r="H44" s="9">
        <f>I42</f>
        <v>0</v>
      </c>
      <c r="I44" s="5" t="s">
        <v>7</v>
      </c>
      <c r="J44" s="6">
        <f>I17</f>
        <v>0</v>
      </c>
      <c r="K44" s="5" t="s">
        <v>6</v>
      </c>
      <c r="L44" s="6">
        <f>I16</f>
        <v>0</v>
      </c>
      <c r="M44" s="5" t="s">
        <v>5</v>
      </c>
      <c r="N44" s="8"/>
      <c r="O44" s="14"/>
      <c r="Q44" s="16"/>
      <c r="R44" s="15"/>
      <c r="S44" s="12"/>
      <c r="T44" s="12"/>
      <c r="U44" s="1">
        <f>IF(_xlfn.XOR(S40 = 1, U42 = 1), 1, 0)</f>
        <v>0</v>
      </c>
      <c r="V44" s="13"/>
      <c r="W44" s="14"/>
      <c r="X44" s="17"/>
      <c r="Y44" s="14"/>
      <c r="AA44" s="18"/>
      <c r="AB44" s="22"/>
      <c r="AC44" s="22"/>
      <c r="AD44" s="22"/>
      <c r="AE44" s="22"/>
      <c r="AF44" s="22"/>
      <c r="AG44" s="124"/>
    </row>
    <row r="45" spans="7:35" ht="15" customHeight="1" x14ac:dyDescent="0.25">
      <c r="G45" s="16"/>
      <c r="H45" s="16"/>
      <c r="I45" s="17"/>
      <c r="J45" s="17"/>
      <c r="K45" s="17"/>
      <c r="L45" s="17"/>
      <c r="M45" s="17"/>
      <c r="N45" s="14"/>
      <c r="O45" s="14"/>
      <c r="Q45" s="16"/>
      <c r="R45" s="15"/>
      <c r="S45" s="12"/>
      <c r="T45" s="1">
        <f>IF(OR(S43 = 1, T43 =1), 1, 0)</f>
        <v>0</v>
      </c>
      <c r="U45" s="12"/>
      <c r="V45" s="13"/>
      <c r="W45" s="14"/>
      <c r="X45" s="17"/>
      <c r="Y45" s="14"/>
      <c r="AA45" s="40"/>
      <c r="AB45" s="46">
        <f>AB43</f>
        <v>0</v>
      </c>
      <c r="AC45" s="46">
        <f>AC43</f>
        <v>0</v>
      </c>
      <c r="AD45" s="46">
        <f>AD43</f>
        <v>0</v>
      </c>
      <c r="AE45" s="46">
        <f>AE43</f>
        <v>0</v>
      </c>
      <c r="AF45" s="27" t="s">
        <v>16</v>
      </c>
      <c r="AG45" s="41"/>
    </row>
    <row r="46" spans="7:35" ht="15" customHeight="1" x14ac:dyDescent="0.25">
      <c r="G46" s="16"/>
      <c r="H46" s="18"/>
      <c r="I46" s="12"/>
      <c r="J46" s="12"/>
      <c r="K46" s="1">
        <f>IF(_xlfn.XOR(J44 = 1, L44 = 1), 1, 0)</f>
        <v>0</v>
      </c>
      <c r="L46" s="12"/>
      <c r="M46" s="17"/>
      <c r="N46" s="14"/>
      <c r="O46" s="14"/>
      <c r="Q46" s="16"/>
      <c r="R46" s="15"/>
      <c r="S46" s="13"/>
      <c r="T46" s="13"/>
      <c r="U46" s="13"/>
      <c r="V46" s="13"/>
      <c r="W46" s="14"/>
      <c r="X46" s="17"/>
      <c r="Y46" s="14"/>
    </row>
    <row r="47" spans="7:35" ht="15" customHeight="1" x14ac:dyDescent="0.25">
      <c r="G47" s="16"/>
      <c r="H47" s="18"/>
      <c r="I47" s="1">
        <f>IF(L44 = 1, 0, 1)</f>
        <v>1</v>
      </c>
      <c r="J47" s="12"/>
      <c r="K47" s="12"/>
      <c r="L47" s="1">
        <f>IF(_xlfn.XOR(H44 = 1, K46 = 1), 1, 0)</f>
        <v>0</v>
      </c>
      <c r="M47" s="17"/>
      <c r="N47" s="14"/>
      <c r="O47" s="14"/>
      <c r="Q47" s="16"/>
      <c r="R47" s="26"/>
      <c r="S47" s="27" t="s">
        <v>4</v>
      </c>
      <c r="T47" s="28">
        <f>T45</f>
        <v>0</v>
      </c>
      <c r="U47" s="28">
        <f>U44</f>
        <v>0</v>
      </c>
      <c r="V47" s="27" t="s">
        <v>16</v>
      </c>
      <c r="W47" s="29"/>
      <c r="X47" s="17"/>
      <c r="Y47" s="14"/>
      <c r="AA47" s="35"/>
      <c r="AB47" s="57">
        <v>0</v>
      </c>
      <c r="AC47" s="57">
        <v>1</v>
      </c>
      <c r="AD47" s="57">
        <v>1</v>
      </c>
      <c r="AE47" s="57">
        <v>1</v>
      </c>
      <c r="AF47" s="47" t="s">
        <v>5</v>
      </c>
      <c r="AG47" s="6">
        <v>0</v>
      </c>
      <c r="AH47" s="5" t="s">
        <v>34</v>
      </c>
      <c r="AI47" s="36"/>
    </row>
    <row r="48" spans="7:35" ht="15" customHeight="1" x14ac:dyDescent="0.25">
      <c r="G48" s="16"/>
      <c r="H48" s="18"/>
      <c r="I48" s="12"/>
      <c r="J48" s="12"/>
      <c r="K48" s="1">
        <f>IF(K46 = 1, 0, 1)</f>
        <v>1</v>
      </c>
      <c r="L48" s="12"/>
      <c r="M48" s="17"/>
      <c r="N48" s="125" t="s">
        <v>12</v>
      </c>
      <c r="O48" s="14"/>
      <c r="Q48" s="16"/>
      <c r="R48" s="17"/>
      <c r="S48" s="17"/>
      <c r="T48" s="17"/>
      <c r="U48" s="1">
        <f>IF(_xlfn.XOR(S26 = 1, W25 = 1), 1, 0)</f>
        <v>0</v>
      </c>
      <c r="V48" s="27" t="s">
        <v>14</v>
      </c>
      <c r="W48" s="17"/>
      <c r="X48" s="17"/>
      <c r="Y48" s="14"/>
      <c r="AA48" s="18"/>
      <c r="AB48" s="1">
        <v>1</v>
      </c>
      <c r="AC48" s="1">
        <v>0</v>
      </c>
      <c r="AD48" s="1">
        <v>1</v>
      </c>
      <c r="AE48" s="1">
        <v>0</v>
      </c>
      <c r="AF48" s="12" t="s">
        <v>6</v>
      </c>
      <c r="AG48" s="22"/>
      <c r="AH48" s="22"/>
      <c r="AI48" s="37"/>
    </row>
    <row r="49" spans="7:35" ht="15" customHeight="1" x14ac:dyDescent="0.25">
      <c r="G49" s="16"/>
      <c r="H49" s="18"/>
      <c r="I49" s="1">
        <f>IF(AND(J44 = 1, I47 = 1), 1, 0)</f>
        <v>0</v>
      </c>
      <c r="J49" s="12"/>
      <c r="K49" s="12"/>
      <c r="L49" s="12"/>
      <c r="M49" s="17"/>
      <c r="N49" s="117"/>
      <c r="O49" s="14"/>
      <c r="Q49" s="16"/>
      <c r="R49" s="3"/>
      <c r="S49" s="5" t="s">
        <v>4</v>
      </c>
      <c r="T49" s="5" t="s">
        <v>5</v>
      </c>
      <c r="U49" s="5" t="s">
        <v>6</v>
      </c>
      <c r="V49" s="7"/>
      <c r="W49" s="8"/>
      <c r="X49" s="17"/>
      <c r="Y49" s="14"/>
      <c r="AA49" s="18"/>
      <c r="AB49" s="22"/>
      <c r="AC49" s="22"/>
      <c r="AD49" s="22"/>
      <c r="AE49" s="22"/>
      <c r="AF49" s="22"/>
      <c r="AG49" s="22"/>
      <c r="AH49" s="22"/>
      <c r="AI49" s="37"/>
    </row>
    <row r="50" spans="7:35" ht="15" customHeight="1" x14ac:dyDescent="0.25">
      <c r="G50" s="16"/>
      <c r="H50" s="18"/>
      <c r="I50" s="12"/>
      <c r="J50" s="1">
        <f>IF(AND(H44 = 1, K48 = 1), 1, 0)</f>
        <v>0</v>
      </c>
      <c r="K50" s="12"/>
      <c r="L50" s="12"/>
      <c r="M50" s="17"/>
      <c r="N50" s="126"/>
      <c r="O50" s="14"/>
      <c r="Q50" s="16"/>
      <c r="R50" s="15"/>
      <c r="S50" s="1">
        <f>T47</f>
        <v>0</v>
      </c>
      <c r="T50" s="1">
        <f>S25</f>
        <v>0</v>
      </c>
      <c r="U50" s="1">
        <f>U48</f>
        <v>0</v>
      </c>
      <c r="V50" s="13"/>
      <c r="W50" s="14"/>
      <c r="X50" s="17"/>
      <c r="Y50" s="14"/>
      <c r="AA50" s="18"/>
      <c r="AB50" s="1">
        <f>IF(AND(AE47 = 1, AG47 = 1), 1, 0)</f>
        <v>0</v>
      </c>
      <c r="AC50" s="12"/>
      <c r="AD50" s="12"/>
      <c r="AE50" s="12"/>
      <c r="AF50" s="22"/>
      <c r="AG50" s="22"/>
      <c r="AH50" s="22"/>
      <c r="AI50" s="37"/>
    </row>
    <row r="51" spans="7:35" ht="15" customHeight="1" x14ac:dyDescent="0.25">
      <c r="G51" s="16"/>
      <c r="H51" s="18"/>
      <c r="I51" s="12"/>
      <c r="J51" s="12"/>
      <c r="K51" s="12"/>
      <c r="L51" s="12"/>
      <c r="M51" s="17"/>
      <c r="N51" s="14"/>
      <c r="O51" s="14"/>
      <c r="Q51" s="16"/>
      <c r="R51" s="15"/>
      <c r="S51" s="13"/>
      <c r="T51" s="13"/>
      <c r="U51" s="13"/>
      <c r="V51" s="13"/>
      <c r="W51" s="119" t="s">
        <v>10</v>
      </c>
      <c r="X51" s="17"/>
      <c r="Y51" s="14"/>
      <c r="AA51" s="18"/>
      <c r="AB51" s="12"/>
      <c r="AC51" s="1">
        <f>IF(AND(AE48 = 1, AD51 = 1), 1, 0)</f>
        <v>0</v>
      </c>
      <c r="AD51" s="1">
        <f>IF(AG47 = 1, 0, 1)</f>
        <v>1</v>
      </c>
      <c r="AE51" s="12"/>
      <c r="AF51" s="22"/>
      <c r="AG51" s="22"/>
      <c r="AH51" s="22"/>
      <c r="AI51" s="37"/>
    </row>
    <row r="52" spans="7:35" ht="15" customHeight="1" x14ac:dyDescent="0.25">
      <c r="G52" s="16"/>
      <c r="H52" s="18"/>
      <c r="I52" s="1">
        <f>IF(OR(I49 = 1, J50 =1), 1, 0)</f>
        <v>0</v>
      </c>
      <c r="J52" s="12"/>
      <c r="K52" s="12"/>
      <c r="L52" s="12"/>
      <c r="M52" s="17"/>
      <c r="N52" s="14"/>
      <c r="O52" s="14"/>
      <c r="Q52" s="16"/>
      <c r="R52" s="15"/>
      <c r="S52" s="12"/>
      <c r="T52" s="12"/>
      <c r="U52" s="1">
        <f>IF(_xlfn.XOR(T50 = 1, U50 = 1), 1, 0)</f>
        <v>0</v>
      </c>
      <c r="V52" s="13"/>
      <c r="W52" s="120"/>
      <c r="X52" s="17"/>
      <c r="Y52" s="14"/>
      <c r="AA52" s="18"/>
      <c r="AB52" s="1">
        <f>IF(OR(AB50 = 1, AC51 =1), 1, 0)</f>
        <v>0</v>
      </c>
      <c r="AC52" s="12"/>
      <c r="AD52" s="12"/>
      <c r="AE52" s="12"/>
      <c r="AF52" s="22"/>
      <c r="AG52" s="22"/>
      <c r="AH52" s="22"/>
      <c r="AI52" s="37"/>
    </row>
    <row r="53" spans="7:35" ht="15" customHeight="1" x14ac:dyDescent="0.25">
      <c r="G53" s="16"/>
      <c r="H53" s="16"/>
      <c r="I53" s="17"/>
      <c r="J53" s="17"/>
      <c r="K53" s="17"/>
      <c r="L53" s="17"/>
      <c r="M53" s="17"/>
      <c r="N53" s="14"/>
      <c r="O53" s="14"/>
      <c r="Q53" s="16"/>
      <c r="R53" s="15"/>
      <c r="S53" s="1">
        <f>IF(AND(T50 = 1, U50 = 1), 1, 0)</f>
        <v>0</v>
      </c>
      <c r="T53" s="1">
        <f>IF(AND(S50 = 1, U52 = 1), 1, 0)</f>
        <v>0</v>
      </c>
      <c r="U53" s="12"/>
      <c r="V53" s="13"/>
      <c r="W53" s="121"/>
      <c r="X53" s="17"/>
      <c r="Y53" s="14"/>
      <c r="AA53" s="18"/>
      <c r="AB53" s="22"/>
      <c r="AC53" s="22"/>
      <c r="AD53" s="22"/>
      <c r="AE53" s="22"/>
      <c r="AF53" s="22"/>
      <c r="AG53" s="22"/>
      <c r="AH53" s="22"/>
      <c r="AI53" s="37"/>
    </row>
    <row r="54" spans="7:35" ht="15" customHeight="1" x14ac:dyDescent="0.25">
      <c r="G54" s="16"/>
      <c r="H54" s="31"/>
      <c r="I54" s="28">
        <f>I52</f>
        <v>0</v>
      </c>
      <c r="J54" s="27" t="s">
        <v>7</v>
      </c>
      <c r="K54" s="28">
        <f>L47</f>
        <v>0</v>
      </c>
      <c r="L54" s="27" t="s">
        <v>16</v>
      </c>
      <c r="M54" s="32"/>
      <c r="N54" s="29"/>
      <c r="O54" s="14"/>
      <c r="Q54" s="16"/>
      <c r="R54" s="15"/>
      <c r="S54" s="12"/>
      <c r="T54" s="12"/>
      <c r="U54" s="1">
        <f>IF(_xlfn.XOR(S50 = 1, U52 = 1), 1, 0)</f>
        <v>0</v>
      </c>
      <c r="V54" s="13"/>
      <c r="W54" s="14"/>
      <c r="X54" s="17"/>
      <c r="Y54" s="14"/>
      <c r="AA54" s="18"/>
      <c r="AB54" s="1">
        <f>IF(AND(AD47 = 1, AG47 = 1), 1, 0)</f>
        <v>0</v>
      </c>
      <c r="AC54" s="12"/>
      <c r="AD54" s="12"/>
      <c r="AE54" s="12"/>
      <c r="AF54" s="22"/>
      <c r="AG54" s="22"/>
      <c r="AH54" s="22"/>
      <c r="AI54" s="37"/>
    </row>
    <row r="55" spans="7:35" ht="15" customHeight="1" x14ac:dyDescent="0.25">
      <c r="G55" s="16"/>
      <c r="H55" s="17"/>
      <c r="I55" s="17"/>
      <c r="J55" s="17"/>
      <c r="K55" s="17"/>
      <c r="L55" s="17"/>
      <c r="M55" s="17"/>
      <c r="N55" s="17"/>
      <c r="O55" s="14"/>
      <c r="Q55" s="16"/>
      <c r="R55" s="15"/>
      <c r="S55" s="12"/>
      <c r="T55" s="1">
        <f>IF(OR(S53 = 1, T53 =1), 1, 0)</f>
        <v>0</v>
      </c>
      <c r="U55" s="12"/>
      <c r="V55" s="13"/>
      <c r="W55" s="14"/>
      <c r="X55" s="17"/>
      <c r="Y55" s="14"/>
      <c r="AA55" s="18"/>
      <c r="AB55" s="12"/>
      <c r="AC55" s="1">
        <f>IF(AND(AD48 = 1, AD55 = 1), 1, 0)</f>
        <v>1</v>
      </c>
      <c r="AD55" s="1">
        <f>IF(AG47 = 1, 0, 1)</f>
        <v>1</v>
      </c>
      <c r="AE55" s="12"/>
      <c r="AF55" s="22"/>
      <c r="AG55" s="22"/>
      <c r="AH55" s="22"/>
      <c r="AI55" s="37"/>
    </row>
    <row r="56" spans="7:35" ht="15" customHeight="1" x14ac:dyDescent="0.25">
      <c r="G56" s="16"/>
      <c r="H56" s="9">
        <f>I54</f>
        <v>0</v>
      </c>
      <c r="I56" s="5" t="s">
        <v>7</v>
      </c>
      <c r="J56" s="6">
        <f>H17</f>
        <v>0</v>
      </c>
      <c r="K56" s="5" t="s">
        <v>6</v>
      </c>
      <c r="L56" s="6">
        <f>H16</f>
        <v>0</v>
      </c>
      <c r="M56" s="5" t="s">
        <v>5</v>
      </c>
      <c r="N56" s="8"/>
      <c r="O56" s="14"/>
      <c r="Q56" s="16"/>
      <c r="R56" s="15"/>
      <c r="S56" s="13"/>
      <c r="T56" s="13"/>
      <c r="U56" s="13"/>
      <c r="V56" s="13"/>
      <c r="W56" s="14"/>
      <c r="X56" s="17"/>
      <c r="Y56" s="14"/>
      <c r="AA56" s="18"/>
      <c r="AB56" s="1">
        <f>IF(OR(AB54 = 1, AC55 =1), 1, 0)</f>
        <v>1</v>
      </c>
      <c r="AC56" s="12"/>
      <c r="AD56" s="12"/>
      <c r="AE56" s="12"/>
      <c r="AF56" s="22"/>
      <c r="AG56" s="22"/>
      <c r="AH56" s="22"/>
      <c r="AI56" s="116" t="s">
        <v>50</v>
      </c>
    </row>
    <row r="57" spans="7:35" ht="15" customHeight="1" x14ac:dyDescent="0.25">
      <c r="G57" s="16"/>
      <c r="H57" s="43"/>
      <c r="I57" s="17"/>
      <c r="J57" s="17"/>
      <c r="K57" s="17"/>
      <c r="L57" s="17"/>
      <c r="M57" s="17"/>
      <c r="N57" s="14"/>
      <c r="O57" s="14"/>
      <c r="Q57" s="16"/>
      <c r="R57" s="26"/>
      <c r="S57" s="27" t="s">
        <v>4</v>
      </c>
      <c r="T57" s="28">
        <f>T55</f>
        <v>0</v>
      </c>
      <c r="U57" s="28">
        <f>U54</f>
        <v>0</v>
      </c>
      <c r="V57" s="27" t="s">
        <v>16</v>
      </c>
      <c r="W57" s="29"/>
      <c r="X57" s="17"/>
      <c r="Y57" s="14"/>
      <c r="AA57" s="18"/>
      <c r="AB57" s="22"/>
      <c r="AC57" s="22"/>
      <c r="AD57" s="22"/>
      <c r="AE57" s="22"/>
      <c r="AF57" s="22"/>
      <c r="AG57" s="22"/>
      <c r="AH57" s="22"/>
      <c r="AI57" s="117"/>
    </row>
    <row r="58" spans="7:35" ht="15" customHeight="1" x14ac:dyDescent="0.25">
      <c r="G58" s="16"/>
      <c r="H58" s="18"/>
      <c r="I58" s="12"/>
      <c r="J58" s="12"/>
      <c r="K58" s="1">
        <f>IF(_xlfn.XOR(J56 = 1, L56 = 1), 1, 0)</f>
        <v>0</v>
      </c>
      <c r="L58" s="12"/>
      <c r="M58" s="17"/>
      <c r="N58" s="14"/>
      <c r="O58" s="14"/>
      <c r="Q58" s="16"/>
      <c r="R58" s="17"/>
      <c r="S58" s="17"/>
      <c r="T58" s="17"/>
      <c r="U58" s="1">
        <f>IF(_xlfn.XOR(R26 = 1, W25 = 1), 1, 0)</f>
        <v>0</v>
      </c>
      <c r="V58" s="27" t="s">
        <v>14</v>
      </c>
      <c r="W58" s="17"/>
      <c r="X58" s="17"/>
      <c r="Y58" s="14"/>
      <c r="AA58" s="18"/>
      <c r="AB58" s="1">
        <f>IF(AND(AC47 = 1, AG47 = 1), 1, 0)</f>
        <v>0</v>
      </c>
      <c r="AC58" s="12"/>
      <c r="AD58" s="12"/>
      <c r="AE58" s="12"/>
      <c r="AF58" s="22"/>
      <c r="AG58" s="22"/>
      <c r="AH58" s="22"/>
      <c r="AI58" s="118"/>
    </row>
    <row r="59" spans="7:35" ht="15" customHeight="1" x14ac:dyDescent="0.25">
      <c r="G59" s="16"/>
      <c r="H59" s="18"/>
      <c r="I59" s="1">
        <f>IF(L56 = 1, 0, 1)</f>
        <v>1</v>
      </c>
      <c r="J59" s="12"/>
      <c r="K59" s="12"/>
      <c r="L59" s="1">
        <f>IF(_xlfn.XOR(H56 = 1, K58 = 1), 1, 0)</f>
        <v>0</v>
      </c>
      <c r="M59" s="17"/>
      <c r="N59" s="14"/>
      <c r="O59" s="14"/>
      <c r="Q59" s="16"/>
      <c r="R59" s="3"/>
      <c r="S59" s="5" t="s">
        <v>4</v>
      </c>
      <c r="T59" s="5" t="s">
        <v>5</v>
      </c>
      <c r="U59" s="5" t="s">
        <v>6</v>
      </c>
      <c r="V59" s="7"/>
      <c r="W59" s="8"/>
      <c r="X59" s="17"/>
      <c r="Y59" s="14"/>
      <c r="AA59" s="18"/>
      <c r="AB59" s="12"/>
      <c r="AC59" s="1">
        <f>IF(AND(AC48 = 1, AD59 = 1), 1, 0)</f>
        <v>0</v>
      </c>
      <c r="AD59" s="1">
        <f>IF(AG47 = 1, 0, 1)</f>
        <v>1</v>
      </c>
      <c r="AE59" s="12"/>
      <c r="AF59" s="22"/>
      <c r="AG59" s="22"/>
      <c r="AH59" s="22"/>
      <c r="AI59" s="37"/>
    </row>
    <row r="60" spans="7:35" ht="15" customHeight="1" x14ac:dyDescent="0.25">
      <c r="G60" s="16"/>
      <c r="H60" s="18"/>
      <c r="I60" s="12"/>
      <c r="J60" s="12"/>
      <c r="K60" s="1">
        <f>IF(K58 = 1, 0, 1)</f>
        <v>1</v>
      </c>
      <c r="L60" s="12"/>
      <c r="M60" s="17"/>
      <c r="N60" s="125" t="s">
        <v>12</v>
      </c>
      <c r="O60" s="14"/>
      <c r="Q60" s="16"/>
      <c r="R60" s="15"/>
      <c r="S60" s="1">
        <f>T57</f>
        <v>0</v>
      </c>
      <c r="T60" s="1">
        <f>R25</f>
        <v>0</v>
      </c>
      <c r="U60" s="1">
        <f>U58</f>
        <v>0</v>
      </c>
      <c r="V60" s="13"/>
      <c r="W60" s="14"/>
      <c r="X60" s="17"/>
      <c r="Y60" s="14"/>
      <c r="AA60" s="18"/>
      <c r="AB60" s="1">
        <f>IF(OR(AB58 = 1, AC59 =1), 1, 0)</f>
        <v>0</v>
      </c>
      <c r="AC60" s="12"/>
      <c r="AD60" s="12"/>
      <c r="AE60" s="12"/>
      <c r="AF60" s="22"/>
      <c r="AG60" s="22"/>
      <c r="AH60" s="22"/>
      <c r="AI60" s="37"/>
    </row>
    <row r="61" spans="7:35" ht="15" customHeight="1" x14ac:dyDescent="0.25">
      <c r="G61" s="16"/>
      <c r="H61" s="18"/>
      <c r="I61" s="1">
        <f>IF(AND(J56 = 1, I59 = 1), 1, 0)</f>
        <v>0</v>
      </c>
      <c r="J61" s="12"/>
      <c r="K61" s="12"/>
      <c r="L61" s="12"/>
      <c r="M61" s="17"/>
      <c r="N61" s="117"/>
      <c r="O61" s="14"/>
      <c r="Q61" s="16"/>
      <c r="R61" s="15"/>
      <c r="S61" s="13"/>
      <c r="T61" s="13"/>
      <c r="U61" s="13"/>
      <c r="V61" s="13"/>
      <c r="W61" s="119" t="s">
        <v>10</v>
      </c>
      <c r="X61" s="17"/>
      <c r="Y61" s="14"/>
      <c r="AA61" s="18"/>
      <c r="AB61" s="22"/>
      <c r="AC61" s="22"/>
      <c r="AD61" s="22"/>
      <c r="AE61" s="22"/>
      <c r="AF61" s="22"/>
      <c r="AG61" s="22"/>
      <c r="AH61" s="22"/>
      <c r="AI61" s="37"/>
    </row>
    <row r="62" spans="7:35" ht="15" customHeight="1" x14ac:dyDescent="0.25">
      <c r="G62" s="16"/>
      <c r="H62" s="18"/>
      <c r="I62" s="12"/>
      <c r="J62" s="1">
        <f>IF(AND(H56 = 1, K60 = 1), 1, 0)</f>
        <v>0</v>
      </c>
      <c r="K62" s="12"/>
      <c r="L62" s="12"/>
      <c r="M62" s="17"/>
      <c r="N62" s="126"/>
      <c r="O62" s="14"/>
      <c r="Q62" s="16"/>
      <c r="R62" s="15"/>
      <c r="S62" s="12"/>
      <c r="T62" s="12"/>
      <c r="U62" s="1">
        <f>IF(_xlfn.XOR(T60 = 1, U60 = 1), 1, 0)</f>
        <v>0</v>
      </c>
      <c r="V62" s="13"/>
      <c r="W62" s="120"/>
      <c r="X62" s="17"/>
      <c r="Y62" s="14"/>
      <c r="AA62" s="18"/>
      <c r="AB62" s="1">
        <f>IF(AND(AB47 = 1, AG47 = 1), 1, 0)</f>
        <v>0</v>
      </c>
      <c r="AC62" s="12"/>
      <c r="AD62" s="12"/>
      <c r="AE62" s="12"/>
      <c r="AF62" s="22"/>
      <c r="AG62" s="22"/>
      <c r="AH62" s="22"/>
      <c r="AI62" s="37"/>
    </row>
    <row r="63" spans="7:35" ht="15" customHeight="1" x14ac:dyDescent="0.25">
      <c r="G63" s="16"/>
      <c r="H63" s="18"/>
      <c r="I63" s="12"/>
      <c r="J63" s="12"/>
      <c r="K63" s="12"/>
      <c r="L63" s="12"/>
      <c r="M63" s="17"/>
      <c r="N63" s="14"/>
      <c r="O63" s="14"/>
      <c r="Q63" s="16"/>
      <c r="R63" s="15"/>
      <c r="S63" s="1">
        <f>IF(AND(T60 = 1, U60 = 1), 1, 0)</f>
        <v>0</v>
      </c>
      <c r="T63" s="1">
        <f>IF(AND(S60 = 1, U62 = 1), 1, 0)</f>
        <v>0</v>
      </c>
      <c r="U63" s="12"/>
      <c r="V63" s="13"/>
      <c r="W63" s="121"/>
      <c r="X63" s="17"/>
      <c r="Y63" s="14"/>
      <c r="AA63" s="18"/>
      <c r="AB63" s="12"/>
      <c r="AC63" s="1">
        <f>IF(AND(AB48 = 1, AD63 = 1), 1, 0)</f>
        <v>1</v>
      </c>
      <c r="AD63" s="1">
        <f>IF(AG47 = 1, 0, 1)</f>
        <v>1</v>
      </c>
      <c r="AE63" s="12"/>
      <c r="AF63" s="22"/>
      <c r="AG63" s="22"/>
      <c r="AH63" s="22"/>
      <c r="AI63" s="37"/>
    </row>
    <row r="64" spans="7:35" ht="15" customHeight="1" x14ac:dyDescent="0.25">
      <c r="G64" s="16"/>
      <c r="H64" s="18"/>
      <c r="I64" s="1">
        <f>IF(OR(I61 = 1, J62 =1), 1, 0)</f>
        <v>0</v>
      </c>
      <c r="J64" s="12"/>
      <c r="K64" s="12"/>
      <c r="L64" s="12"/>
      <c r="M64" s="17"/>
      <c r="N64" s="14"/>
      <c r="O64" s="14"/>
      <c r="Q64" s="16"/>
      <c r="R64" s="15"/>
      <c r="S64" s="12"/>
      <c r="T64" s="12"/>
      <c r="U64" s="1">
        <f>IF(_xlfn.XOR(S60 = 1, U62 = 1), 1, 0)</f>
        <v>0</v>
      </c>
      <c r="V64" s="13"/>
      <c r="W64" s="14"/>
      <c r="X64" s="17"/>
      <c r="Y64" s="14"/>
      <c r="AA64" s="18"/>
      <c r="AB64" s="1">
        <f>IF(OR(AB62 = 1, AC63 =1), 1, 0)</f>
        <v>1</v>
      </c>
      <c r="AC64" s="12"/>
      <c r="AD64" s="12"/>
      <c r="AE64" s="12"/>
      <c r="AF64" s="22"/>
      <c r="AG64" s="22"/>
      <c r="AH64" s="22"/>
      <c r="AI64" s="37"/>
    </row>
    <row r="65" spans="4:58" ht="15" customHeight="1" x14ac:dyDescent="0.25">
      <c r="G65" s="16"/>
      <c r="H65" s="44"/>
      <c r="I65" s="17"/>
      <c r="J65" s="17"/>
      <c r="K65" s="17"/>
      <c r="L65" s="17"/>
      <c r="M65" s="17"/>
      <c r="N65" s="14"/>
      <c r="O65" s="14"/>
      <c r="Q65" s="16"/>
      <c r="R65" s="15"/>
      <c r="S65" s="12"/>
      <c r="T65" s="1">
        <f>IF(OR(S63 = 1, T63 =1), 1, 0)</f>
        <v>0</v>
      </c>
      <c r="U65" s="12"/>
      <c r="V65" s="13"/>
      <c r="W65" s="14"/>
      <c r="X65" s="17"/>
      <c r="Y65" s="14"/>
      <c r="AA65" s="18"/>
      <c r="AB65" s="22"/>
      <c r="AC65" s="22"/>
      <c r="AD65" s="22"/>
      <c r="AE65" s="22"/>
      <c r="AF65" s="22"/>
      <c r="AG65" s="22"/>
      <c r="AH65" s="22"/>
      <c r="AI65" s="37"/>
    </row>
    <row r="66" spans="4:58" ht="15" customHeight="1" x14ac:dyDescent="0.25">
      <c r="G66" s="16"/>
      <c r="H66" s="31"/>
      <c r="I66" s="28">
        <f>I64</f>
        <v>0</v>
      </c>
      <c r="J66" s="27" t="s">
        <v>7</v>
      </c>
      <c r="K66" s="28">
        <f>L59</f>
        <v>0</v>
      </c>
      <c r="L66" s="27" t="s">
        <v>16</v>
      </c>
      <c r="M66" s="32"/>
      <c r="N66" s="29"/>
      <c r="O66" s="14"/>
      <c r="Q66" s="16"/>
      <c r="R66" s="15"/>
      <c r="S66" s="13"/>
      <c r="T66" s="13"/>
      <c r="U66" s="13"/>
      <c r="V66" s="13"/>
      <c r="W66" s="14"/>
      <c r="X66" s="17"/>
      <c r="Y66" s="14"/>
      <c r="AA66" s="40"/>
      <c r="AB66" s="46">
        <f>AB64</f>
        <v>1</v>
      </c>
      <c r="AC66" s="46">
        <f>AB60</f>
        <v>0</v>
      </c>
      <c r="AD66" s="46">
        <f>AB56</f>
        <v>1</v>
      </c>
      <c r="AE66" s="46">
        <f>AB52</f>
        <v>0</v>
      </c>
      <c r="AF66" s="27" t="s">
        <v>16</v>
      </c>
      <c r="AG66" s="39"/>
      <c r="AH66" s="39"/>
      <c r="AI66" s="41"/>
    </row>
    <row r="67" spans="4:58" ht="15" customHeight="1" x14ac:dyDescent="0.25">
      <c r="G67" s="16"/>
      <c r="H67" s="17"/>
      <c r="I67" s="17"/>
      <c r="J67" s="17"/>
      <c r="K67" s="17"/>
      <c r="L67" s="17"/>
      <c r="M67" s="17"/>
      <c r="N67" s="17"/>
      <c r="O67" s="14"/>
      <c r="Q67" s="16"/>
      <c r="R67" s="26"/>
      <c r="S67" s="27" t="s">
        <v>4</v>
      </c>
      <c r="T67" s="28">
        <f>T65</f>
        <v>0</v>
      </c>
      <c r="U67" s="28">
        <f>U64</f>
        <v>0</v>
      </c>
      <c r="V67" s="27" t="s">
        <v>16</v>
      </c>
      <c r="W67" s="29"/>
      <c r="X67" s="17"/>
      <c r="Y67" s="14"/>
    </row>
    <row r="68" spans="4:58" ht="15" customHeight="1" x14ac:dyDescent="0.25">
      <c r="G68" s="31"/>
      <c r="H68" s="28">
        <f>I66</f>
        <v>0</v>
      </c>
      <c r="I68" s="27" t="s">
        <v>7</v>
      </c>
      <c r="J68" s="28">
        <f>K66</f>
        <v>0</v>
      </c>
      <c r="K68" s="28">
        <f>K54</f>
        <v>0</v>
      </c>
      <c r="L68" s="28">
        <f>K42</f>
        <v>0</v>
      </c>
      <c r="M68" s="28">
        <f>K30</f>
        <v>0</v>
      </c>
      <c r="N68" s="27" t="s">
        <v>31</v>
      </c>
      <c r="O68" s="29"/>
      <c r="Q68" s="16"/>
      <c r="R68" s="17"/>
      <c r="S68" s="17"/>
      <c r="T68" s="17"/>
      <c r="U68" s="17"/>
      <c r="V68" s="17"/>
      <c r="W68" s="17"/>
      <c r="X68" s="17"/>
      <c r="Y68" s="14"/>
    </row>
    <row r="69" spans="4:58" ht="15" customHeight="1" x14ac:dyDescent="0.25">
      <c r="Q69" s="16"/>
      <c r="R69" s="17"/>
      <c r="S69" s="17"/>
      <c r="T69" s="17"/>
      <c r="U69" s="17"/>
      <c r="V69" s="17"/>
      <c r="W69" s="17"/>
      <c r="X69" s="17"/>
      <c r="Y69" s="14"/>
    </row>
    <row r="70" spans="4:58" ht="15" customHeight="1" x14ac:dyDescent="0.25">
      <c r="Q70" s="16"/>
      <c r="R70" s="17"/>
      <c r="S70" s="17"/>
      <c r="T70" s="17"/>
      <c r="U70" s="17"/>
      <c r="V70" s="17"/>
      <c r="W70" s="17"/>
      <c r="X70" s="17"/>
      <c r="Y70" s="14"/>
    </row>
    <row r="71" spans="4:58" ht="15" customHeight="1" x14ac:dyDescent="0.25">
      <c r="Q71" s="16"/>
      <c r="R71" s="1">
        <f>IF(_xlfn.XOR(T67 = 1, T57 = 1), 1, 0)</f>
        <v>0</v>
      </c>
      <c r="S71" s="110" t="s">
        <v>32</v>
      </c>
      <c r="T71" s="111"/>
      <c r="U71" s="17"/>
      <c r="V71" s="17"/>
      <c r="W71" s="17"/>
      <c r="X71" s="17"/>
      <c r="Y71" s="14"/>
    </row>
    <row r="72" spans="4:58" ht="15" customHeight="1" x14ac:dyDescent="0.25">
      <c r="Q72" s="31"/>
      <c r="R72" s="28">
        <f>T67</f>
        <v>0</v>
      </c>
      <c r="S72" s="107" t="s">
        <v>33</v>
      </c>
      <c r="T72" s="108"/>
      <c r="U72" s="28">
        <f>U67</f>
        <v>0</v>
      </c>
      <c r="V72" s="28">
        <f>U57</f>
        <v>0</v>
      </c>
      <c r="W72" s="28">
        <f>U47</f>
        <v>0</v>
      </c>
      <c r="X72" s="28">
        <f>U37</f>
        <v>0</v>
      </c>
      <c r="Y72" s="45" t="s">
        <v>31</v>
      </c>
    </row>
    <row r="78" spans="4:58" ht="15" customHeight="1" x14ac:dyDescent="0.25">
      <c r="E78" s="74" t="s">
        <v>66</v>
      </c>
      <c r="G78" t="s">
        <v>97</v>
      </c>
      <c r="Z78" t="s">
        <v>124</v>
      </c>
      <c r="AO78" t="s">
        <v>124</v>
      </c>
      <c r="AQ78" t="s">
        <v>131</v>
      </c>
    </row>
    <row r="79" spans="4:58" ht="15" customHeight="1" x14ac:dyDescent="0.25">
      <c r="D79" s="52"/>
      <c r="E79" s="48"/>
      <c r="F79" s="49"/>
      <c r="G79" s="93" t="s">
        <v>64</v>
      </c>
      <c r="H79" s="94" cm="1">
        <f t="array" aca="1" ref="H79" ca="1">INDIRECT(ADDRESS(J83 + H83, J84 + H84))</f>
        <v>1011</v>
      </c>
      <c r="I79" s="49"/>
      <c r="J79" s="49"/>
      <c r="K79" s="49"/>
      <c r="L79" s="49"/>
      <c r="M79" s="50"/>
      <c r="N79" s="52" t="s">
        <v>42</v>
      </c>
      <c r="Z79" s="48"/>
      <c r="AA79" s="49"/>
      <c r="AB79" s="49"/>
      <c r="AC79" s="49"/>
      <c r="AD79" s="49"/>
      <c r="AE79" s="49"/>
      <c r="AF79" s="49" t="s">
        <v>95</v>
      </c>
      <c r="AG79" s="49" t="s">
        <v>96</v>
      </c>
      <c r="AH79" s="49"/>
      <c r="AI79" s="49" t="s">
        <v>96</v>
      </c>
      <c r="AJ79" s="49" t="s">
        <v>95</v>
      </c>
      <c r="AK79" s="49"/>
      <c r="AL79" s="49"/>
      <c r="AM79" s="50"/>
      <c r="AO79" s="48"/>
      <c r="AP79" s="49"/>
      <c r="AQ79" s="49"/>
      <c r="AR79" s="49"/>
      <c r="AS79" s="49"/>
      <c r="AT79" s="49"/>
      <c r="AU79" s="49"/>
      <c r="AV79" s="49"/>
      <c r="AW79" s="49"/>
      <c r="AX79" s="49"/>
      <c r="AY79" s="49"/>
      <c r="AZ79" s="49"/>
      <c r="BA79" s="49"/>
      <c r="BB79" s="49"/>
      <c r="BC79" s="49"/>
      <c r="BD79" s="49"/>
      <c r="BE79" s="49"/>
      <c r="BF79" s="50"/>
    </row>
    <row r="80" spans="4:58" ht="15" customHeight="1" x14ac:dyDescent="0.25">
      <c r="D80" s="52"/>
      <c r="E80" s="51"/>
      <c r="F80" s="52"/>
      <c r="G80" s="104" t="s">
        <v>49</v>
      </c>
      <c r="H80" s="105"/>
      <c r="I80" s="105"/>
      <c r="J80" s="106"/>
      <c r="K80" s="52"/>
      <c r="L80" s="52"/>
      <c r="M80" s="53"/>
      <c r="N80" s="49"/>
      <c r="O80" s="49"/>
      <c r="P80" s="49" t="s">
        <v>49</v>
      </c>
      <c r="Q80" s="49"/>
      <c r="R80" s="49"/>
      <c r="S80" s="49"/>
      <c r="T80" s="49"/>
      <c r="U80" s="49"/>
      <c r="V80" s="49"/>
      <c r="W80" s="49"/>
      <c r="X80" s="50"/>
      <c r="Z80" s="51"/>
      <c r="AA80" s="52"/>
      <c r="AB80" s="52"/>
      <c r="AD80" s="95" t="s">
        <v>80</v>
      </c>
      <c r="AE80" s="95"/>
      <c r="AF80" s="95" t="str">
        <f ca="1">AL83</f>
        <v>0000</v>
      </c>
      <c r="AG80" s="95" t="str">
        <f ca="1">AJ83</f>
        <v>0101</v>
      </c>
      <c r="AH80" s="95" t="s">
        <v>81</v>
      </c>
      <c r="AI80" s="95">
        <f ca="1">VALUE(BIN2DEC(AG80) + 1)</f>
        <v>6</v>
      </c>
      <c r="AJ80" s="95">
        <f ca="1">VALUE(BIN2DEC(AF80) + 1)</f>
        <v>1</v>
      </c>
      <c r="AK80" s="52"/>
      <c r="AM80" s="53"/>
      <c r="AO80" s="163" t="s">
        <v>96</v>
      </c>
      <c r="AP80" s="164"/>
      <c r="AQ80" s="164"/>
      <c r="AR80" s="164"/>
      <c r="AS80" s="164"/>
      <c r="AT80" s="164"/>
      <c r="AU80" s="164"/>
      <c r="AV80" s="165"/>
      <c r="AW80" s="163" t="s">
        <v>95</v>
      </c>
      <c r="AX80" s="164"/>
      <c r="AY80" s="164"/>
      <c r="AZ80" s="164"/>
      <c r="BA80" s="164"/>
      <c r="BB80" s="164"/>
      <c r="BC80" s="164"/>
      <c r="BD80" s="165"/>
      <c r="BE80" s="52"/>
      <c r="BF80" s="53"/>
    </row>
    <row r="81" spans="4:58" ht="15" customHeight="1" x14ac:dyDescent="0.25">
      <c r="D81" s="52"/>
      <c r="E81" s="51"/>
      <c r="F81" s="52"/>
      <c r="G81" s="78">
        <v>1011</v>
      </c>
      <c r="H81" s="79" t="s">
        <v>70</v>
      </c>
      <c r="I81" s="79" t="s">
        <v>71</v>
      </c>
      <c r="J81" s="80" t="s">
        <v>73</v>
      </c>
      <c r="K81" s="52"/>
      <c r="L81" s="52"/>
      <c r="M81" s="53"/>
      <c r="N81" s="52"/>
      <c r="O81" s="52"/>
      <c r="P81" s="52">
        <v>1</v>
      </c>
      <c r="Q81" s="52">
        <v>1</v>
      </c>
      <c r="R81" s="52">
        <v>1</v>
      </c>
      <c r="S81" s="52">
        <v>0</v>
      </c>
      <c r="T81" s="52" t="s">
        <v>45</v>
      </c>
      <c r="U81" s="52"/>
      <c r="V81" s="52" cm="1">
        <f t="array" aca="1" ref="V81" ca="1">INDIRECT(ADDRESS(U84, U83 + R85))</f>
        <v>1</v>
      </c>
      <c r="W81" s="52" t="s">
        <v>46</v>
      </c>
      <c r="X81" s="53"/>
      <c r="Z81" s="51"/>
      <c r="AA81" s="86" t="s">
        <v>90</v>
      </c>
      <c r="AB81" s="52" t="str">
        <f>_xlfn.CONCAT(AA82,AB82)</f>
        <v>10</v>
      </c>
      <c r="AC81" s="52"/>
      <c r="AD81" s="52">
        <v>1</v>
      </c>
      <c r="AE81" s="52">
        <v>0</v>
      </c>
      <c r="AF81" s="52">
        <v>1</v>
      </c>
      <c r="AG81" s="52">
        <v>0</v>
      </c>
      <c r="AH81" s="86" t="s">
        <v>91</v>
      </c>
      <c r="AI81" s="52"/>
      <c r="AJ81" s="52"/>
      <c r="AK81" s="52"/>
      <c r="AL81" s="52"/>
      <c r="AM81" s="53"/>
      <c r="AO81" s="187">
        <v>0</v>
      </c>
      <c r="AP81" s="188">
        <v>0</v>
      </c>
      <c r="AQ81" s="188">
        <v>0</v>
      </c>
      <c r="AR81" s="188">
        <v>0</v>
      </c>
      <c r="AS81" s="188">
        <v>0</v>
      </c>
      <c r="AT81" s="188">
        <v>0</v>
      </c>
      <c r="AU81" s="188">
        <v>0</v>
      </c>
      <c r="AV81" s="188">
        <v>0</v>
      </c>
      <c r="AW81" s="188">
        <v>0</v>
      </c>
      <c r="AX81" s="188">
        <v>0</v>
      </c>
      <c r="AY81" s="188">
        <v>0</v>
      </c>
      <c r="AZ81" s="188">
        <v>0</v>
      </c>
      <c r="BA81" s="188">
        <v>0</v>
      </c>
      <c r="BB81" s="188">
        <v>0</v>
      </c>
      <c r="BC81" s="188">
        <v>0</v>
      </c>
      <c r="BD81" s="190">
        <v>1</v>
      </c>
      <c r="BE81" s="163" t="s">
        <v>91</v>
      </c>
      <c r="BF81" s="165"/>
    </row>
    <row r="82" spans="4:58" ht="15" customHeight="1" x14ac:dyDescent="0.25">
      <c r="E82" s="51"/>
      <c r="F82" s="52"/>
      <c r="G82" s="83" t="s">
        <v>67</v>
      </c>
      <c r="H82" s="84" t="s">
        <v>68</v>
      </c>
      <c r="I82" s="81" t="s">
        <v>72</v>
      </c>
      <c r="J82" s="82" t="s">
        <v>74</v>
      </c>
      <c r="K82" s="52"/>
      <c r="L82" s="52"/>
      <c r="M82" s="53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3"/>
      <c r="Z82" s="97" t="s">
        <v>94</v>
      </c>
      <c r="AA82" s="58">
        <v>1</v>
      </c>
      <c r="AB82" s="58">
        <v>0</v>
      </c>
      <c r="AC82" s="52"/>
      <c r="AD82" s="58" t="str">
        <f ca="1">IF(AB81 = "10", AD83, IF(AB81 = "00", AD81, IF(AB81 = "01", AD81, IF(AB81 = "11", AD81, AD82))))</f>
        <v>0</v>
      </c>
      <c r="AE82" s="58" t="str">
        <f ca="1">IF(AB81 = "10", AE83, IF(AB81 = "00", AE81, IF(AB81 = "01", AE81, IF(AB81 = "11", AE81, AE82))))</f>
        <v/>
      </c>
      <c r="AF82" s="58" t="str">
        <f ca="1">IF(AB81 = "10", AF83, IF(AB81 = "00", AF81, IF(AB81 = "01", AF81, IF(AB81 = "11", AF81, AF82))))</f>
        <v/>
      </c>
      <c r="AG82" s="58" t="str">
        <f ca="1">IF(AB81 = "10", AG83, IF(AB81 = "00", AG81, IF(AB81 = "01", AG81, IF(AB81 = "11", AG81, AG82))))</f>
        <v/>
      </c>
      <c r="AH82" s="86" t="s">
        <v>92</v>
      </c>
      <c r="AI82" s="52"/>
      <c r="AJ82" s="52"/>
      <c r="AK82" s="52"/>
      <c r="AL82" s="52"/>
      <c r="AM82" s="53"/>
      <c r="AO82" s="183" t="str">
        <f ca="1">IF(OPBITS = "10", AO83, IF(OR(OPBITS = "00", OPBITS = "01"), AO81, IF(OPBITS = "11", AO81, AO82)))</f>
        <v>0</v>
      </c>
      <c r="AP82" s="184" t="str">
        <f ca="1">IF(OPBITS = "10", AP83, IF(OR(OPBITS = "00", OPBITS = "01"), AP81, IF(OPBITS = "11", AP81, AP82)))</f>
        <v>0</v>
      </c>
      <c r="AQ82" s="184" t="str">
        <f ca="1">IF(OPBITS = "10", AQ83, IF(OR(OPBITS = "00", OPBITS = "01"), AQ81, IF(OPBITS = "11", AQ81, AQ82)))</f>
        <v>0</v>
      </c>
      <c r="AR82" s="184" t="str">
        <f ca="1">IF(OPBITS = "10", AR83, IF(OR(OPBITS = "00", OPBITS = "01"), AR81, IF(OPBITS = "11", AR81, AR82)))</f>
        <v>0</v>
      </c>
      <c r="AS82" s="184" t="str">
        <f ca="1">IF(OPBITS = "10", AS83, IF(OR(OPBITS = "00", OPBITS = "01"), AS81, IF(OPBITS = "11", AS81, AS82)))</f>
        <v>0</v>
      </c>
      <c r="AT82" s="184" t="str">
        <f ca="1">IF(OPBITS = "10", AT83, IF(OR(OPBITS = "00", OPBITS = "01"), AT81, IF(OPBITS = "11", AT81, AT82)))</f>
        <v>0</v>
      </c>
      <c r="AU82" s="184" t="str">
        <f ca="1">IF(OPBITS = "10", AU83, IF(OR(OPBITS = "00", OPBITS = "01"), AU81, IF(OPBITS = "11", AU81, AU82)))</f>
        <v>0</v>
      </c>
      <c r="AV82" s="191" t="str">
        <f ca="1">IF(OPBITS = "10", AV83, IF(OR(OPBITS = "00", OPBITS = "01"), AV81, IF(OPBITS = "11", AV81, AV82)))</f>
        <v>0</v>
      </c>
      <c r="AW82" s="192" t="str">
        <f ca="1">IF(OPBITS = "10", AW83, IF(OR(OPBITS = "00", OPBITS = "01"), AW81, IF(OPBITS = "11", AW81, AW82)))</f>
        <v>0</v>
      </c>
      <c r="AX82" s="185" t="str">
        <f ca="1">IF(OPBITS = "10", AX83, IF(OR(OPBITS = "00", OPBITS = "01"), AX81, IF(OPBITS = "11", AX81, AX82)))</f>
        <v>0</v>
      </c>
      <c r="AY82" s="185" t="str">
        <f ca="1">IF(OPBITS = "10", AY83, IF(OR(OPBITS = "00", OPBITS = "01"), AY81, IF(OPBITS = "11", AY81, AY82)))</f>
        <v>0</v>
      </c>
      <c r="AZ82" s="185" t="str">
        <f ca="1">IF(OPBITS = "10", AZ83, IF(OR(OPBITS = "00", OPBITS = "01"), AZ81, IF(OPBITS = "11", AZ81, AZ82)))</f>
        <v>0</v>
      </c>
      <c r="BA82" s="185" t="str">
        <f ca="1">IF(OPBITS = "10", BA83, IF(OR(OPBITS = "00", OPBITS = "01"), BA81, IF(OPBITS = "11", BA81, BA82)))</f>
        <v>0</v>
      </c>
      <c r="BB82" s="185" t="str">
        <f ca="1">IF(OPBITS = "10", BB83, IF(OR(OPBITS = "00", OPBITS = "01"), BB81, IF(OPBITS = "11", BB81, BB82)))</f>
        <v>0</v>
      </c>
      <c r="BC82" s="185" t="str">
        <f ca="1">IF(OPBITS = "10", BC83, IF(OR(OPBITS = "00", OPBITS = "01"), BC81, IF(OPBITS = "11", BC81, BC82)))</f>
        <v>0</v>
      </c>
      <c r="BD82" s="185" t="str">
        <f ca="1">IF(OPBITS = "10", BD83, IF(OR(OPBITS = "00", OPBITS = "01"), BD81, IF(OPBITS = "11", BD81, BD82)))</f>
        <v>1</v>
      </c>
      <c r="BE82" s="163" t="s">
        <v>92</v>
      </c>
      <c r="BF82" s="165"/>
    </row>
    <row r="83" spans="4:58" ht="15" customHeight="1" x14ac:dyDescent="0.25">
      <c r="E83" s="76" t="s">
        <v>60</v>
      </c>
      <c r="F83" s="85" t="s">
        <v>69</v>
      </c>
      <c r="G83" s="48" t="s">
        <v>56</v>
      </c>
      <c r="H83" s="77">
        <f>BIN2DEC(F83)</f>
        <v>0</v>
      </c>
      <c r="I83" s="77" t="s">
        <v>58</v>
      </c>
      <c r="J83" s="50">
        <v>81</v>
      </c>
      <c r="K83" s="52"/>
      <c r="L83" s="52"/>
      <c r="M83" s="53"/>
      <c r="N83" s="52"/>
      <c r="O83" s="52"/>
      <c r="P83" s="52">
        <v>1010</v>
      </c>
      <c r="Q83" s="52" t="s">
        <v>41</v>
      </c>
      <c r="R83" s="52"/>
      <c r="S83" s="52"/>
      <c r="T83" s="52"/>
      <c r="U83" s="52">
        <v>15</v>
      </c>
      <c r="V83" s="52" t="s">
        <v>43</v>
      </c>
      <c r="W83" s="52"/>
      <c r="X83" s="53"/>
      <c r="Z83" s="51"/>
      <c r="AA83" s="52"/>
      <c r="AB83" s="52"/>
      <c r="AC83" s="52"/>
      <c r="AD83" s="58" t="str" cm="1">
        <f t="array" aca="1" ref="AD83" ca="1">LEFT(INDIRECT("RAM!" &amp; ADDRESS(AJ80,AI80)))</f>
        <v>0</v>
      </c>
      <c r="AE83" s="58" t="str" cm="1">
        <f t="array" aca="1" ref="AE83" ca="1">MID(INDIRECT("RAM!" &amp; ADDRESS(AJ80,AI80)), 2, 1)</f>
        <v/>
      </c>
      <c r="AF83" s="58" t="str" cm="1">
        <f t="array" aca="1" ref="AF83" ca="1">MID(INDIRECT("RAM!" &amp; ADDRESS(AJ80, AI80)), 3, 1)</f>
        <v/>
      </c>
      <c r="AG83" s="58" t="str" cm="1">
        <f t="array" aca="1" ref="AG83" ca="1">MID(INDIRECT("RAM!" &amp; ADDRESS(AJ80, AI80)), 4, 1)</f>
        <v/>
      </c>
      <c r="AH83" s="86" t="s">
        <v>93</v>
      </c>
      <c r="AI83" s="52"/>
      <c r="AJ83" s="100" t="str">
        <f ca="1">IF(AND(AA82 = 0, AB82 = 0), _xlfn.CONCAT(AD82,AE82,AF82,AG82), AJ83)</f>
        <v>0101</v>
      </c>
      <c r="AK83" s="86" t="s">
        <v>98</v>
      </c>
      <c r="AL83" s="100" t="str">
        <f ca="1">IF(AND(AA82 = 0, AB82 = 1), _xlfn.CONCAT(AD82,AE82,AF82,AG82), AL83)</f>
        <v>0000</v>
      </c>
      <c r="AM83" s="174" t="s">
        <v>99</v>
      </c>
      <c r="AO83" s="187" t="str" cm="1">
        <f t="array" aca="1" ref="AO83" ca="1">LEFT(INDIRECT("RAM!" &amp; ADDRESS(XDEC,YDEC)))</f>
        <v>0</v>
      </c>
      <c r="AP83" s="188" t="str" cm="1">
        <f t="array" aca="1" ref="AP83" ca="1">MID(INDIRECT("RAM!" &amp; ADDRESS(XDEC, YDEC)), 2, 1)</f>
        <v>0</v>
      </c>
      <c r="AQ83" s="188" t="str" cm="1">
        <f t="array" aca="1" ref="AQ83" ca="1">MID(INDIRECT("RAM!" &amp; ADDRESS(XDEC, YDEC)), 3, 1)</f>
        <v>0</v>
      </c>
      <c r="AR83" s="189" t="str" cm="1">
        <f t="array" aca="1" ref="AR83" ca="1">MID(INDIRECT("RAM!" &amp; ADDRESS(XDEC, YDEC)), 4, 1)</f>
        <v>0</v>
      </c>
      <c r="AS83" s="189" t="str" cm="1">
        <f t="array" aca="1" ref="AS83" ca="1">MID(INDIRECT("RAM!" &amp; ADDRESS(XDEC, YDEC)), 5, 1)</f>
        <v>0</v>
      </c>
      <c r="AT83" s="189" t="str" cm="1">
        <f t="array" aca="1" ref="AT83" ca="1">MID(INDIRECT("RAM!" &amp; ADDRESS(XDEC, YDEC)), 6, 1)</f>
        <v>0</v>
      </c>
      <c r="AU83" s="188" t="str" cm="1">
        <f t="array" aca="1" ref="AU83" ca="1">MID(INDIRECT("RAM!" &amp; ADDRESS(XDEC, YDEC)), 7, 1)</f>
        <v>0</v>
      </c>
      <c r="AV83" s="188" t="str" cm="1">
        <f t="array" aca="1" ref="AV83" ca="1">MID(INDIRECT("RAM!" &amp; ADDRESS(XDEC, YDEC)), 8, 1)</f>
        <v>0</v>
      </c>
      <c r="AW83" s="188" t="str" cm="1">
        <f t="array" aca="1" ref="AW83" ca="1">MID(INDIRECT("RAM!" &amp; ADDRESS(XDEC, YDEC)), 9, 1)</f>
        <v>0</v>
      </c>
      <c r="AX83" s="188" t="str" cm="1">
        <f t="array" aca="1" ref="AX83" ca="1">MID(INDIRECT("RAM!" &amp; ADDRESS(XDEC, YDEC)), 10, 1)</f>
        <v>0</v>
      </c>
      <c r="AY83" s="188" t="str" cm="1">
        <f t="array" aca="1" ref="AY83" ca="1">MID(INDIRECT("RAM!" &amp; ADDRESS(XDEC, YDEC)), 11, 1)</f>
        <v>0</v>
      </c>
      <c r="AZ83" s="188" t="str" cm="1">
        <f t="array" aca="1" ref="AZ83" ca="1">MID(INDIRECT("RAM!" &amp; ADDRESS(XDEC, YDEC)), 12, 1)</f>
        <v>0</v>
      </c>
      <c r="BA83" s="188" t="str" cm="1">
        <f t="array" aca="1" ref="BA83" ca="1">MID(INDIRECT("RAM!" &amp; ADDRESS(XDEC, YDEC)), 13, 1)</f>
        <v>0</v>
      </c>
      <c r="BB83" s="188" t="str" cm="1">
        <f t="array" aca="1" ref="BB83" ca="1">MID(INDIRECT("RAM!" &amp; ADDRESS(XDEC, YDEC)), 14, 1)</f>
        <v>0</v>
      </c>
      <c r="BC83" s="188" t="str" cm="1">
        <f t="array" aca="1" ref="BC83" ca="1">MID(INDIRECT("RAM!" &amp; ADDRESS(XDEC, YDEC)), 15, 1)</f>
        <v>0</v>
      </c>
      <c r="BD83" s="190" t="str" cm="1">
        <f t="array" aca="1" ref="BD83" ca="1">MID(INDIRECT("RAM!" &amp; ADDRESS(XDEC, YDEC)), 16, 1)</f>
        <v>1</v>
      </c>
      <c r="BE83" s="163" t="s">
        <v>93</v>
      </c>
      <c r="BF83" s="165"/>
    </row>
    <row r="84" spans="4:58" ht="15" customHeight="1" x14ac:dyDescent="0.25">
      <c r="E84" s="75" t="s">
        <v>61</v>
      </c>
      <c r="F84" s="80" t="s">
        <v>69</v>
      </c>
      <c r="G84" s="51" t="s">
        <v>57</v>
      </c>
      <c r="H84" s="52">
        <f>BIN2DEC(F84)</f>
        <v>0</v>
      </c>
      <c r="I84" s="72" t="s">
        <v>59</v>
      </c>
      <c r="J84" s="53">
        <v>7</v>
      </c>
      <c r="K84" s="52"/>
      <c r="L84" s="52"/>
      <c r="M84" s="53"/>
      <c r="N84" s="52"/>
      <c r="O84" s="52"/>
      <c r="P84" s="52"/>
      <c r="Q84" s="52"/>
      <c r="R84" s="52"/>
      <c r="S84" s="52"/>
      <c r="T84" s="52"/>
      <c r="U84" s="52">
        <v>81</v>
      </c>
      <c r="V84" s="52" t="s">
        <v>44</v>
      </c>
      <c r="W84" s="52"/>
      <c r="X84" s="53"/>
      <c r="Z84" s="51"/>
      <c r="AA84" s="52"/>
      <c r="AB84" s="52"/>
      <c r="AC84" s="52"/>
      <c r="AD84" s="52"/>
      <c r="AE84" s="52" t="s">
        <v>125</v>
      </c>
      <c r="AF84" s="52"/>
      <c r="AG84" s="52"/>
      <c r="AH84" s="52"/>
      <c r="AI84" s="52"/>
      <c r="AJ84" s="52"/>
      <c r="AK84" s="52"/>
      <c r="AL84" s="52"/>
      <c r="AM84" s="53"/>
      <c r="AO84" s="51"/>
      <c r="AP84" s="52"/>
      <c r="AQ84" s="52"/>
      <c r="AR84" s="87"/>
      <c r="AS84" s="87"/>
      <c r="AT84" s="87"/>
      <c r="AU84" s="52"/>
      <c r="AV84" s="52"/>
      <c r="AW84" s="52"/>
      <c r="AX84" s="52"/>
      <c r="AY84" s="52"/>
      <c r="AZ84" s="52"/>
      <c r="BA84" s="52"/>
      <c r="BB84" s="52"/>
      <c r="BC84" s="52"/>
      <c r="BD84" s="52"/>
      <c r="BE84" s="52"/>
      <c r="BF84" s="53"/>
    </row>
    <row r="85" spans="4:58" ht="15" customHeight="1" x14ac:dyDescent="0.25">
      <c r="E85" s="102" t="s">
        <v>62</v>
      </c>
      <c r="F85" s="103"/>
      <c r="G85" s="102" t="s">
        <v>63</v>
      </c>
      <c r="H85" s="122"/>
      <c r="I85" s="122"/>
      <c r="J85" s="123"/>
      <c r="K85" s="52"/>
      <c r="L85" s="52"/>
      <c r="M85" s="53"/>
      <c r="N85" s="52" t="s">
        <v>47</v>
      </c>
      <c r="O85" s="52"/>
      <c r="P85" s="52" t="str">
        <f ca="1">MID(P83, R85, 1)</f>
        <v>0</v>
      </c>
      <c r="Q85" s="52"/>
      <c r="R85" s="52">
        <f ca="1">IF(CLOCK = 1, IF(R85 = (LEN(P83) + 1), 1, R85 + 1),  R85)</f>
        <v>3</v>
      </c>
      <c r="S85" s="52" t="s">
        <v>48</v>
      </c>
      <c r="T85" s="52"/>
      <c r="U85" s="52"/>
      <c r="V85" s="52"/>
      <c r="W85" s="52"/>
      <c r="X85" s="53"/>
      <c r="Z85" s="51"/>
      <c r="AA85" s="52"/>
      <c r="AB85" s="52"/>
      <c r="AC85" s="52"/>
      <c r="AD85" s="52"/>
      <c r="AE85" s="52"/>
      <c r="AF85" s="52"/>
      <c r="AG85" s="52"/>
      <c r="AH85" s="52"/>
      <c r="AI85" s="52"/>
      <c r="AJ85" s="52"/>
      <c r="AK85" s="52"/>
      <c r="AL85" s="52"/>
      <c r="AM85" s="53"/>
      <c r="AO85" s="51"/>
      <c r="AP85" s="52"/>
      <c r="AQ85" s="52"/>
      <c r="AR85" s="87"/>
      <c r="AS85" s="87"/>
      <c r="AT85" s="87"/>
      <c r="AU85" s="160" t="s">
        <v>126</v>
      </c>
      <c r="AV85" s="162"/>
      <c r="AW85" s="160" t="s">
        <v>127</v>
      </c>
      <c r="AX85" s="162"/>
      <c r="AY85" s="52"/>
      <c r="AZ85" s="52"/>
      <c r="BA85" s="52"/>
      <c r="BB85" s="52"/>
      <c r="BC85" s="52"/>
      <c r="BD85" s="52"/>
      <c r="BE85" s="52"/>
      <c r="BF85" s="53"/>
    </row>
    <row r="86" spans="4:58" ht="15" customHeight="1" x14ac:dyDescent="0.25">
      <c r="D86" s="52"/>
      <c r="E86" s="51"/>
      <c r="F86" s="52"/>
      <c r="G86" s="95" t="s">
        <v>80</v>
      </c>
      <c r="H86" s="95"/>
      <c r="I86" s="95">
        <f>VALUE(_xlfn.CONCAT(H87,I87))</f>
        <v>0</v>
      </c>
      <c r="J86" s="95">
        <f>VALUE(_xlfn.CONCAT(J87,K87))</f>
        <v>0</v>
      </c>
      <c r="K86" s="95" t="s">
        <v>81</v>
      </c>
      <c r="L86" s="95">
        <f>VALUE(BIN2DEC(I86))</f>
        <v>0</v>
      </c>
      <c r="M86" s="96">
        <f>VALUE(BIN2DEC(J86))</f>
        <v>0</v>
      </c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3"/>
      <c r="Z86" s="51"/>
      <c r="AA86" s="52"/>
      <c r="AB86" s="52"/>
      <c r="AC86" s="52"/>
      <c r="AD86" s="52"/>
      <c r="AE86" s="52"/>
      <c r="AF86" s="52"/>
      <c r="AG86" s="52"/>
      <c r="AH86" s="52"/>
      <c r="AI86" s="52"/>
      <c r="AJ86" s="52"/>
      <c r="AK86" s="52"/>
      <c r="AL86" s="52"/>
      <c r="AM86" s="53"/>
      <c r="AO86" s="51"/>
      <c r="AP86" s="52"/>
      <c r="AQ86" s="52"/>
      <c r="AR86" s="52"/>
      <c r="AS86" s="52"/>
      <c r="AT86" s="52"/>
      <c r="AU86" s="186">
        <f ca="1">VALUE(BIN2DEC(AU88) + 1)</f>
        <v>1</v>
      </c>
      <c r="AV86" s="176"/>
      <c r="AW86" s="186">
        <f ca="1">VALUE(BIN2DEC(AW88) + 1)</f>
        <v>1</v>
      </c>
      <c r="AX86" s="176"/>
      <c r="AY86" s="52"/>
      <c r="AZ86" s="52"/>
      <c r="BA86" s="52"/>
      <c r="BB86" s="52"/>
      <c r="BC86" s="52"/>
      <c r="BD86" s="52"/>
      <c r="BE86" s="52"/>
      <c r="BF86" s="53"/>
    </row>
    <row r="87" spans="4:58" ht="15" customHeight="1" x14ac:dyDescent="0.25">
      <c r="D87" s="52"/>
      <c r="E87" s="97" t="s">
        <v>75</v>
      </c>
      <c r="F87" s="58">
        <v>0</v>
      </c>
      <c r="G87" s="86" t="s">
        <v>76</v>
      </c>
      <c r="H87" s="58">
        <v>0</v>
      </c>
      <c r="I87" s="58">
        <v>0</v>
      </c>
      <c r="J87" s="58">
        <v>0</v>
      </c>
      <c r="K87" s="58">
        <v>0</v>
      </c>
      <c r="L87" s="52"/>
      <c r="M87" s="53"/>
      <c r="N87" s="52"/>
      <c r="O87" s="52"/>
      <c r="P87" s="52">
        <v>1</v>
      </c>
      <c r="Q87" s="52" t="s">
        <v>38</v>
      </c>
      <c r="R87" s="52"/>
      <c r="S87" s="52"/>
      <c r="T87" s="52"/>
      <c r="U87" s="52" t="str">
        <f>_xlfn.CONCAT(P81,Q81,R81,S81)</f>
        <v>1110</v>
      </c>
      <c r="V87" s="73" t="s">
        <v>65</v>
      </c>
      <c r="W87" s="52"/>
      <c r="X87" s="53"/>
      <c r="Z87" s="149" t="s">
        <v>86</v>
      </c>
      <c r="AA87" s="180" t="s">
        <v>82</v>
      </c>
      <c r="AB87" s="150"/>
      <c r="AC87" s="52"/>
      <c r="AD87" s="52"/>
      <c r="AE87" s="52"/>
      <c r="AF87" s="52"/>
      <c r="AG87" s="52"/>
      <c r="AH87" s="52"/>
      <c r="AI87" s="52"/>
      <c r="AJ87" s="52"/>
      <c r="AK87" s="52"/>
      <c r="AL87" s="52"/>
      <c r="AM87" s="53"/>
      <c r="AO87" s="51"/>
      <c r="AP87" s="52"/>
      <c r="AQ87" s="52"/>
      <c r="AR87" s="52"/>
      <c r="AS87" s="52"/>
      <c r="AT87" s="52"/>
      <c r="AU87" s="160" t="s">
        <v>128</v>
      </c>
      <c r="AV87" s="162"/>
      <c r="AW87" s="160" t="s">
        <v>129</v>
      </c>
      <c r="AX87" s="162"/>
      <c r="AY87" s="52"/>
      <c r="AZ87" s="52"/>
      <c r="BA87" s="52"/>
      <c r="BB87" s="52"/>
      <c r="BC87" s="52"/>
      <c r="BD87" s="52"/>
      <c r="BE87" s="52"/>
      <c r="BF87" s="53"/>
    </row>
    <row r="88" spans="4:58" ht="15" customHeight="1" x14ac:dyDescent="0.25">
      <c r="D88" s="52"/>
      <c r="E88" s="51"/>
      <c r="F88" s="52"/>
      <c r="G88" s="86" t="s">
        <v>77</v>
      </c>
      <c r="H88" s="58">
        <v>0</v>
      </c>
      <c r="I88" s="58">
        <v>0</v>
      </c>
      <c r="J88" s="58">
        <v>0</v>
      </c>
      <c r="K88" s="58">
        <v>0</v>
      </c>
      <c r="L88" s="52"/>
      <c r="M88" s="53"/>
      <c r="N88" s="52"/>
      <c r="O88" s="52"/>
      <c r="P88" s="52"/>
      <c r="Q88" s="52"/>
      <c r="R88" s="52"/>
      <c r="S88" s="52"/>
      <c r="T88" s="52"/>
      <c r="U88" s="52">
        <f>BIN2DEC(U87)</f>
        <v>14</v>
      </c>
      <c r="V88" s="88" t="s">
        <v>79</v>
      </c>
      <c r="W88" s="52"/>
      <c r="X88" s="53"/>
      <c r="Z88" s="151" t="s">
        <v>87</v>
      </c>
      <c r="AA88" s="181" t="s">
        <v>83</v>
      </c>
      <c r="AB88" s="152"/>
      <c r="AC88" s="52"/>
      <c r="AD88" s="52"/>
      <c r="AE88" s="52"/>
      <c r="AF88" s="52"/>
      <c r="AG88" s="52"/>
      <c r="AH88" s="52"/>
      <c r="AI88" s="52"/>
      <c r="AJ88" s="52"/>
      <c r="AK88" s="52"/>
      <c r="AL88" s="52"/>
      <c r="AM88" s="53"/>
      <c r="AO88" s="51"/>
      <c r="AP88" s="52"/>
      <c r="AQ88" s="52"/>
      <c r="AR88" s="52"/>
      <c r="AS88" s="52"/>
      <c r="AT88" s="52"/>
      <c r="AU88" s="186" t="str">
        <f ca="1">IF(AND(AU90 = 0, AW90 = 0), _xlfn.CONCAT(AO82:AV82), AU88)</f>
        <v>00000000</v>
      </c>
      <c r="AV88" s="176"/>
      <c r="AW88" s="186" t="str">
        <f ca="1">IF(AND(AU90 = 0, AW90 = 1), _xlfn.CONCAT(AW82:BD82), AW88)</f>
        <v>00000000</v>
      </c>
      <c r="AX88" s="176"/>
      <c r="AY88" s="52"/>
      <c r="AZ88" s="52"/>
      <c r="BA88" s="52"/>
      <c r="BB88" s="52"/>
      <c r="BC88" s="52"/>
      <c r="BD88" s="52"/>
      <c r="BE88" s="52"/>
      <c r="BF88" s="53"/>
    </row>
    <row r="89" spans="4:58" ht="15" customHeight="1" x14ac:dyDescent="0.25">
      <c r="D89" s="52"/>
      <c r="E89" s="98"/>
      <c r="F89" s="52"/>
      <c r="G89" s="89" t="s">
        <v>78</v>
      </c>
      <c r="H89" s="58" t="str" cm="1">
        <f t="array" aca="1" ref="H89" ca="1">LEFT(INDIRECT(ADDRESS(L86 + 91,M86 + 6)))</f>
        <v>0</v>
      </c>
      <c r="I89" s="58" t="str" cm="1">
        <f t="array" aca="1" ref="I89" ca="1">MID(INDIRECT(ADDRESS(L86 + 91,M86 + 6)), 2, 1)</f>
        <v>0</v>
      </c>
      <c r="J89" s="58" t="str" cm="1">
        <f t="array" aca="1" ref="J89" ca="1">MID(INDIRECT(ADDRESS(L86 + 91,M86 + 6)), 3, 1)</f>
        <v>0</v>
      </c>
      <c r="K89" s="58" t="str" cm="1">
        <f t="array" aca="1" ref="K89" ca="1">MID(INDIRECT(ADDRESS(L86 + 91,M86 + 6)), 4, 1)</f>
        <v>0</v>
      </c>
      <c r="L89" s="52"/>
      <c r="M89" s="53"/>
      <c r="N89" s="52"/>
      <c r="O89" s="52"/>
      <c r="P89" s="52">
        <f ca="1">IF(CLOCK = 1, IF(P89 &gt;= P87, 0, P89 + 1), P89)</f>
        <v>1</v>
      </c>
      <c r="Q89" s="52"/>
      <c r="R89" s="52" t="str">
        <f ca="1">IF(P89 = P87, IF(LEN(R89) = LEN(P83), "", R89 &amp; P85), R89)</f>
        <v>10</v>
      </c>
      <c r="S89" s="52"/>
      <c r="T89" s="52"/>
      <c r="U89" s="52"/>
      <c r="V89" s="52"/>
      <c r="W89" s="52"/>
      <c r="X89" s="53"/>
      <c r="Z89" s="151" t="s">
        <v>88</v>
      </c>
      <c r="AA89" s="178" t="s">
        <v>84</v>
      </c>
      <c r="AB89" s="175"/>
      <c r="AC89" s="52"/>
      <c r="AD89" s="52"/>
      <c r="AE89" s="52"/>
      <c r="AF89" s="52"/>
      <c r="AG89" s="52"/>
      <c r="AH89" s="52"/>
      <c r="AI89" s="52"/>
      <c r="AJ89" s="52"/>
      <c r="AK89" s="52"/>
      <c r="AL89" s="52"/>
      <c r="AM89" s="53"/>
      <c r="AO89" s="51"/>
      <c r="AP89" s="52"/>
      <c r="AQ89" s="52"/>
      <c r="AR89" s="52"/>
      <c r="AS89" s="52"/>
      <c r="AT89" s="52"/>
      <c r="AU89" s="160" t="s">
        <v>130</v>
      </c>
      <c r="AV89" s="161"/>
      <c r="AW89" s="161"/>
      <c r="AX89" s="162"/>
      <c r="AY89" s="52"/>
      <c r="AZ89" s="52"/>
      <c r="BA89" s="52"/>
      <c r="BB89" s="52"/>
      <c r="BC89" s="52"/>
      <c r="BD89" s="52"/>
      <c r="BE89" s="52"/>
      <c r="BF89" s="53"/>
    </row>
    <row r="90" spans="4:58" ht="15" customHeight="1" x14ac:dyDescent="0.25">
      <c r="D90" s="52"/>
      <c r="E90" s="51"/>
      <c r="F90" s="52"/>
      <c r="G90" s="52"/>
      <c r="H90" s="52"/>
      <c r="I90" s="52"/>
      <c r="J90" s="52"/>
      <c r="K90" s="52"/>
      <c r="L90" s="52"/>
      <c r="M90" s="53"/>
      <c r="N90" s="55"/>
      <c r="O90" s="55"/>
      <c r="P90" s="55" t="s">
        <v>39</v>
      </c>
      <c r="Q90" s="55"/>
      <c r="R90" s="55" t="s">
        <v>40</v>
      </c>
      <c r="S90" s="55"/>
      <c r="T90" s="55"/>
      <c r="U90" s="55"/>
      <c r="V90" s="55"/>
      <c r="W90" s="55"/>
      <c r="X90" s="56"/>
      <c r="Z90" s="153" t="s">
        <v>89</v>
      </c>
      <c r="AA90" s="179" t="s">
        <v>85</v>
      </c>
      <c r="AB90" s="177"/>
      <c r="AC90" s="55"/>
      <c r="AD90" s="55"/>
      <c r="AE90" s="55"/>
      <c r="AF90" s="55"/>
      <c r="AG90" s="55"/>
      <c r="AH90" s="55"/>
      <c r="AI90" s="55"/>
      <c r="AJ90" s="55"/>
      <c r="AK90" s="55"/>
      <c r="AL90" s="55"/>
      <c r="AM90" s="56"/>
      <c r="AO90" s="54"/>
      <c r="AP90" s="55"/>
      <c r="AQ90" s="55"/>
      <c r="AR90" s="55"/>
      <c r="AS90" s="55"/>
      <c r="AT90" s="55"/>
      <c r="AU90" s="194">
        <v>1</v>
      </c>
      <c r="AV90" s="193"/>
      <c r="AW90" s="193">
        <v>0</v>
      </c>
      <c r="AX90" s="193"/>
      <c r="AY90" s="168" t="str">
        <f>_xlfn.CONCAT(AU90:AW90)</f>
        <v>10</v>
      </c>
      <c r="AZ90" s="55"/>
      <c r="BA90" s="55"/>
      <c r="BB90" s="55"/>
      <c r="BC90" s="55"/>
      <c r="BD90" s="55"/>
      <c r="BE90" s="55"/>
      <c r="BF90" s="56"/>
    </row>
    <row r="91" spans="4:58" ht="15" customHeight="1" x14ac:dyDescent="0.25">
      <c r="D91" s="52"/>
      <c r="E91" s="51"/>
      <c r="F91" s="87" t="str">
        <f ca="1">IF(AND(F87 = 1, _xlfn.CONCAT(H87, I87, J87, K87) = "0000"), _xlfn.CONCAT(H88, I88, J88, K88), F91)</f>
        <v>0000</v>
      </c>
      <c r="G91" s="87" t="str">
        <f ca="1">IF(AND(F87 = 1, _xlfn.CONCAT(H87, I87, J87, K87) = "0001"), _xlfn.CONCAT(H88, I88, J88, K88), G91)</f>
        <v>0001</v>
      </c>
      <c r="H91" s="87" t="str">
        <f ca="1">IF(AND(F87 = 1, _xlfn.CONCAT(H87, I87, J87, K87) = "0010"), _xlfn.CONCAT(H88, I88, J88, K88), H91)</f>
        <v>0010</v>
      </c>
      <c r="I91" s="87" t="str">
        <f ca="1">IF(AND(F87 = 1, _xlfn.CONCAT(H87, I87, J87, K87) = "0011"), _xlfn.CONCAT(H88, I88, J88, K88), I91)</f>
        <v>0011</v>
      </c>
      <c r="J91" s="52"/>
      <c r="K91" s="52"/>
      <c r="L91" s="52"/>
      <c r="M91" s="53"/>
      <c r="N91" s="52"/>
      <c r="AF91" s="99"/>
    </row>
    <row r="92" spans="4:58" ht="15" customHeight="1" x14ac:dyDescent="0.25">
      <c r="D92" s="52"/>
      <c r="E92" s="51"/>
      <c r="F92" s="87" t="str">
        <f ca="1">IF(AND(F87 = 1, _xlfn.CONCAT(H87, I87, J87, K87) = "0100"), _xlfn.CONCAT(H88, I88, J88, K88), F92)</f>
        <v>0100</v>
      </c>
      <c r="G92" s="87" t="str">
        <f ca="1">IF(AND(F87 = 1, _xlfn.CONCAT(H87, I87, J87, K87) = "0101"), _xlfn.CONCAT(H88, I88, J88, K88), G92)</f>
        <v>0101</v>
      </c>
      <c r="H92" s="87" t="str">
        <f ca="1">IF(AND(F87 = 1, _xlfn.CONCAT(H87, I87, J87, K87) = "0110"), _xlfn.CONCAT(H88, I88, J88, K88), H92)</f>
        <v>0110</v>
      </c>
      <c r="I92" s="87" t="str">
        <f ca="1">IF(AND(F87 = 1, _xlfn.CONCAT(H87, I87, J87, K87) = "0111"), _xlfn.CONCAT(H88, I88, J88, K88), I92)</f>
        <v>0111</v>
      </c>
      <c r="J92" s="52"/>
      <c r="K92" s="52"/>
      <c r="L92" s="52"/>
      <c r="M92" s="53"/>
      <c r="N92" s="52"/>
      <c r="AE92" s="163" t="s">
        <v>119</v>
      </c>
      <c r="AF92" s="164"/>
      <c r="AG92" s="165"/>
      <c r="AH92" s="163" t="s">
        <v>118</v>
      </c>
      <c r="AI92" s="164"/>
      <c r="AJ92" s="165"/>
    </row>
    <row r="93" spans="4:58" ht="15" customHeight="1" x14ac:dyDescent="0.25">
      <c r="D93" s="52"/>
      <c r="E93" s="51"/>
      <c r="F93" s="87" t="str">
        <f ca="1">IF(AND(F87 = 1, _xlfn.CONCAT(H87, I87, J87, K87) = "1000"), _xlfn.CONCAT(H88, I88, J88, K88), F93)</f>
        <v>1000</v>
      </c>
      <c r="G93" s="87" t="str">
        <f ca="1">IF(AND(F87 = 1, _xlfn.CONCAT(H87, I87, J87, K87) = "1001"), _xlfn.CONCAT(H88, I88, J88, K88), G93)</f>
        <v>1001</v>
      </c>
      <c r="H93" s="87" t="str">
        <f ca="1">IF(AND(F87 = 1, _xlfn.CONCAT(H87, I87, J87, K87) = "1010"), _xlfn.CONCAT(H88, I88, J88, K88), H93)</f>
        <v>1010</v>
      </c>
      <c r="I93" s="87" t="str">
        <f ca="1">IF(AND(F87 = 1, _xlfn.CONCAT(H87, I87, J87, K87) = "1011"), _xlfn.CONCAT(H88, I88, J88, K88), I93)</f>
        <v>1011</v>
      </c>
      <c r="J93" s="52"/>
      <c r="K93" s="52"/>
      <c r="L93" s="52"/>
      <c r="M93" s="53"/>
      <c r="N93" s="52"/>
      <c r="AE93" s="166" t="s">
        <v>115</v>
      </c>
      <c r="AF93" s="167" t="s">
        <v>86</v>
      </c>
      <c r="AG93" s="167"/>
      <c r="AH93" s="170" t="s">
        <v>120</v>
      </c>
      <c r="AI93" s="157"/>
      <c r="AJ93" s="157"/>
      <c r="AK93" s="157"/>
      <c r="AL93" s="171" t="s">
        <v>121</v>
      </c>
      <c r="AM93" s="172"/>
      <c r="AN93" s="173"/>
      <c r="AR93" s="87"/>
      <c r="AS93" s="87"/>
      <c r="AT93" s="87"/>
    </row>
    <row r="94" spans="4:58" ht="15" customHeight="1" x14ac:dyDescent="0.25">
      <c r="E94" s="54"/>
      <c r="F94" s="90" t="str">
        <f ca="1">IF(AND(F87 = 1, _xlfn.CONCAT(H87, I87, J87, K87) = "1100"), _xlfn.CONCAT(H88, I88, J88, K88), F94)</f>
        <v>1100</v>
      </c>
      <c r="G94" s="90" t="str">
        <f ca="1">IF(AND(F87 = 1, _xlfn.CONCAT(H87, I87, J87, K87) = "1101"), _xlfn.CONCAT(H88, I88, J88, K88), G94)</f>
        <v>1101</v>
      </c>
      <c r="H94" s="90" t="str">
        <f ca="1">IF(AND(F87 = 1, _xlfn.CONCAT(H87, I87, J87, K87) = "1110"), _xlfn.CONCAT(H88, I88, J88, K88), H94)</f>
        <v>1110</v>
      </c>
      <c r="I94" s="90" t="str">
        <f ca="1">IF(AND(F87 = 1, _xlfn.CONCAT(H87, I87, J87, K87) = "1111"), _xlfn.CONCAT(H88, I88, J88, K88), I94)</f>
        <v>1111</v>
      </c>
      <c r="J94" s="55"/>
      <c r="K94" s="55"/>
      <c r="L94" s="55"/>
      <c r="M94" s="56"/>
      <c r="N94" s="52"/>
      <c r="AE94" s="166" t="s">
        <v>116</v>
      </c>
      <c r="AF94" s="167" t="s">
        <v>87</v>
      </c>
      <c r="AG94" s="167"/>
      <c r="AH94" s="156" t="s">
        <v>73</v>
      </c>
      <c r="AI94" s="157"/>
      <c r="AJ94" s="157"/>
      <c r="AK94" s="168"/>
      <c r="AL94" s="158" t="s">
        <v>106</v>
      </c>
      <c r="AM94" s="158"/>
      <c r="AN94" s="159"/>
      <c r="AR94" s="87"/>
      <c r="AS94" s="87"/>
      <c r="AT94" s="87"/>
    </row>
    <row r="95" spans="4:58" ht="15" customHeight="1" x14ac:dyDescent="0.25">
      <c r="N95" s="70"/>
      <c r="AE95" s="166" t="s">
        <v>117</v>
      </c>
      <c r="AF95" s="167" t="s">
        <v>89</v>
      </c>
      <c r="AG95" s="167"/>
      <c r="AH95" s="156" t="s">
        <v>74</v>
      </c>
      <c r="AI95" s="157" t="s">
        <v>109</v>
      </c>
      <c r="AJ95" s="157" t="s">
        <v>110</v>
      </c>
      <c r="AK95" s="168"/>
      <c r="AL95" s="158" t="s">
        <v>102</v>
      </c>
      <c r="AM95" s="158"/>
      <c r="AN95" s="159"/>
      <c r="AR95" s="87"/>
      <c r="AS95" s="87"/>
      <c r="AT95" s="87"/>
    </row>
    <row r="96" spans="4:58" ht="15" customHeight="1" x14ac:dyDescent="0.25">
      <c r="AH96" s="156" t="s">
        <v>68</v>
      </c>
      <c r="AI96" s="157" t="s">
        <v>109</v>
      </c>
      <c r="AJ96" s="157" t="s">
        <v>110</v>
      </c>
      <c r="AK96" s="169" t="s">
        <v>111</v>
      </c>
      <c r="AL96" s="158" t="s">
        <v>103</v>
      </c>
      <c r="AM96" s="158"/>
      <c r="AN96" s="159"/>
      <c r="AR96" s="87"/>
      <c r="AS96" s="87"/>
      <c r="AT96" s="87"/>
    </row>
    <row r="97" spans="7:48" ht="15" customHeight="1" x14ac:dyDescent="0.25">
      <c r="G97" s="59"/>
      <c r="H97" s="71">
        <v>0</v>
      </c>
      <c r="I97" s="65"/>
      <c r="J97" s="57">
        <v>0</v>
      </c>
      <c r="K97" s="114" t="s">
        <v>55</v>
      </c>
      <c r="L97" s="57">
        <v>0</v>
      </c>
      <c r="M97" s="57">
        <v>0</v>
      </c>
      <c r="N97" s="57">
        <v>0</v>
      </c>
      <c r="O97" s="57">
        <v>0</v>
      </c>
      <c r="P97" s="47" t="s">
        <v>5</v>
      </c>
      <c r="Q97" s="60"/>
      <c r="R97" s="60"/>
      <c r="S97" s="60"/>
      <c r="T97" s="60"/>
      <c r="U97" s="60"/>
      <c r="V97" s="60"/>
      <c r="W97" s="60"/>
      <c r="X97" s="60"/>
      <c r="Y97" s="60"/>
      <c r="Z97" s="60"/>
      <c r="AA97" s="68"/>
      <c r="AH97" s="156" t="s">
        <v>100</v>
      </c>
      <c r="AI97" s="157" t="s">
        <v>109</v>
      </c>
      <c r="AJ97" s="157" t="s">
        <v>110</v>
      </c>
      <c r="AK97" s="169" t="s">
        <v>111</v>
      </c>
      <c r="AL97" s="158" t="s">
        <v>104</v>
      </c>
      <c r="AM97" s="158"/>
      <c r="AN97" s="159"/>
      <c r="AR97" s="87"/>
      <c r="AS97" s="87"/>
      <c r="AT97" s="87"/>
    </row>
    <row r="98" spans="7:48" ht="15" customHeight="1" x14ac:dyDescent="0.25">
      <c r="G98" s="16"/>
      <c r="H98" s="112" t="s">
        <v>54</v>
      </c>
      <c r="I98" s="113"/>
      <c r="J98" s="17"/>
      <c r="K98" s="115"/>
      <c r="L98" s="1">
        <v>0</v>
      </c>
      <c r="M98" s="1">
        <v>0</v>
      </c>
      <c r="N98" s="1">
        <v>0</v>
      </c>
      <c r="O98" s="1">
        <v>0</v>
      </c>
      <c r="P98" s="12" t="s">
        <v>6</v>
      </c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37"/>
      <c r="AH98" s="156" t="s">
        <v>101</v>
      </c>
      <c r="AI98" s="157" t="s">
        <v>109</v>
      </c>
      <c r="AJ98" s="157" t="s">
        <v>110</v>
      </c>
      <c r="AK98" s="169" t="s">
        <v>111</v>
      </c>
      <c r="AL98" s="158" t="s">
        <v>105</v>
      </c>
      <c r="AM98" s="158"/>
      <c r="AN98" s="159"/>
      <c r="AR98" s="87"/>
      <c r="AS98" s="87"/>
      <c r="AT98" s="87"/>
    </row>
    <row r="99" spans="7:48" ht="15" customHeight="1" x14ac:dyDescent="0.25">
      <c r="G99" s="16"/>
      <c r="H99" s="69"/>
      <c r="I99" s="13"/>
      <c r="J99" s="13"/>
      <c r="K99" s="69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22"/>
      <c r="AA99" s="37"/>
      <c r="AH99" s="156" t="s">
        <v>67</v>
      </c>
      <c r="AI99" s="157"/>
      <c r="AJ99" s="157"/>
      <c r="AK99" s="168"/>
      <c r="AL99" s="158" t="s">
        <v>107</v>
      </c>
      <c r="AM99" s="158"/>
      <c r="AN99" s="159"/>
      <c r="AR99" s="87"/>
      <c r="AS99" s="87"/>
      <c r="AT99" s="87"/>
      <c r="AU99" s="182"/>
      <c r="AV99" s="182"/>
    </row>
    <row r="100" spans="7:48" ht="15" customHeight="1" x14ac:dyDescent="0.25">
      <c r="G100" s="16"/>
      <c r="H100" s="59"/>
      <c r="I100" s="60"/>
      <c r="J100" s="60"/>
      <c r="K100" s="60"/>
      <c r="L100" s="57">
        <f>IF(_xlfn.XOR(O98 = 1, J97 = 1), 1, 0)</f>
        <v>0</v>
      </c>
      <c r="M100" s="61" t="s">
        <v>14</v>
      </c>
      <c r="N100" s="60"/>
      <c r="O100" s="60"/>
      <c r="P100" s="145" t="s">
        <v>30</v>
      </c>
      <c r="Q100" s="13"/>
      <c r="R100" s="64"/>
      <c r="S100" s="65"/>
      <c r="T100" s="65"/>
      <c r="U100" s="65"/>
      <c r="V100" s="65"/>
      <c r="W100" s="65"/>
      <c r="X100" s="146" t="s">
        <v>36</v>
      </c>
      <c r="Y100" s="13"/>
      <c r="Z100" s="22"/>
      <c r="AA100" s="37"/>
      <c r="AH100" s="153" t="s">
        <v>70</v>
      </c>
      <c r="AI100" s="55" t="s">
        <v>112</v>
      </c>
      <c r="AJ100" s="55" t="s">
        <v>113</v>
      </c>
      <c r="AK100" s="56" t="s">
        <v>114</v>
      </c>
      <c r="AL100" s="154" t="s">
        <v>108</v>
      </c>
      <c r="AM100" s="154"/>
      <c r="AN100" s="155"/>
      <c r="AR100" s="87"/>
      <c r="AS100" s="87"/>
      <c r="AT100" s="87"/>
    </row>
    <row r="101" spans="7:48" ht="15" customHeight="1" x14ac:dyDescent="0.25">
      <c r="G101" s="16"/>
      <c r="H101" s="16"/>
      <c r="I101" s="3"/>
      <c r="J101" s="62" t="s">
        <v>4</v>
      </c>
      <c r="K101" s="62" t="s">
        <v>5</v>
      </c>
      <c r="L101" s="62" t="s">
        <v>6</v>
      </c>
      <c r="M101" s="7"/>
      <c r="N101" s="8"/>
      <c r="O101" s="17"/>
      <c r="P101" s="118"/>
      <c r="Q101" s="13"/>
      <c r="R101" s="66"/>
      <c r="S101" s="58">
        <f>IF(AND(L97 = 1, L98 = 1), 1, 0)</f>
        <v>0</v>
      </c>
      <c r="T101" s="58">
        <f>IF(AND(M97 = 1, M98 = 1), 1, 0)</f>
        <v>0</v>
      </c>
      <c r="U101" s="58">
        <f>IF(AND(N97 = 1, N98 = 1), 1, 0)</f>
        <v>0</v>
      </c>
      <c r="V101" s="58">
        <f>IF(AND(O97 = 1, O98 = 1), 1, 0)</f>
        <v>0</v>
      </c>
      <c r="W101" s="67"/>
      <c r="X101" s="147"/>
      <c r="Y101" s="13"/>
      <c r="Z101" s="22"/>
      <c r="AA101" s="37"/>
      <c r="AH101" s="156" t="s">
        <v>123</v>
      </c>
      <c r="AI101" s="157"/>
      <c r="AJ101" s="157"/>
      <c r="AK101" s="157"/>
      <c r="AL101" s="171" t="s">
        <v>122</v>
      </c>
      <c r="AM101" s="172"/>
      <c r="AN101" s="173"/>
      <c r="AR101" s="87"/>
      <c r="AS101" s="87"/>
      <c r="AT101" s="87"/>
    </row>
    <row r="102" spans="7:48" ht="15" customHeight="1" x14ac:dyDescent="0.25">
      <c r="G102" s="16"/>
      <c r="H102" s="16"/>
      <c r="I102" s="15"/>
      <c r="J102" s="63">
        <f>J97</f>
        <v>0</v>
      </c>
      <c r="K102" s="63">
        <f>O97</f>
        <v>0</v>
      </c>
      <c r="L102" s="63">
        <f>L100</f>
        <v>0</v>
      </c>
      <c r="M102" s="13"/>
      <c r="N102" s="14"/>
      <c r="O102" s="17"/>
      <c r="P102" s="126"/>
      <c r="Q102" s="13"/>
      <c r="R102" s="66"/>
      <c r="S102" s="67"/>
      <c r="T102" s="67"/>
      <c r="U102" s="67"/>
      <c r="V102" s="67"/>
      <c r="W102" s="67"/>
      <c r="X102" s="147"/>
      <c r="Y102" s="13"/>
      <c r="Z102" s="22"/>
      <c r="AA102" s="37"/>
    </row>
    <row r="103" spans="7:48" ht="15" customHeight="1" x14ac:dyDescent="0.25">
      <c r="G103" s="16"/>
      <c r="H103" s="16"/>
      <c r="I103" s="15"/>
      <c r="J103" s="13"/>
      <c r="K103" s="13"/>
      <c r="L103" s="13"/>
      <c r="M103" s="13"/>
      <c r="N103" s="119" t="s">
        <v>10</v>
      </c>
      <c r="O103" s="17"/>
      <c r="P103" s="14"/>
      <c r="Q103" s="13"/>
      <c r="R103" s="40"/>
      <c r="S103" s="46">
        <f>S101</f>
        <v>0</v>
      </c>
      <c r="T103" s="46">
        <f>T101</f>
        <v>0</v>
      </c>
      <c r="U103" s="46">
        <f>U101</f>
        <v>0</v>
      </c>
      <c r="V103" s="46">
        <f>V101</f>
        <v>0</v>
      </c>
      <c r="W103" s="27" t="s">
        <v>16</v>
      </c>
      <c r="X103" s="41"/>
      <c r="Y103" s="13"/>
      <c r="Z103" s="22"/>
      <c r="AA103" s="128" t="s">
        <v>53</v>
      </c>
    </row>
    <row r="104" spans="7:48" ht="15" customHeight="1" x14ac:dyDescent="0.25">
      <c r="G104" s="16"/>
      <c r="H104" s="16"/>
      <c r="I104" s="15"/>
      <c r="J104" s="12"/>
      <c r="K104" s="12"/>
      <c r="L104" s="1">
        <f>IF(_xlfn.XOR(K102 = 1, L102 = 1), 1, 0)</f>
        <v>0</v>
      </c>
      <c r="M104" s="13"/>
      <c r="N104" s="120"/>
      <c r="O104" s="17"/>
      <c r="P104" s="14"/>
      <c r="Q104" s="13"/>
      <c r="R104" s="13"/>
      <c r="S104" s="13"/>
      <c r="T104" s="13"/>
      <c r="U104" s="13"/>
      <c r="V104" s="13"/>
      <c r="W104" s="13"/>
      <c r="X104" s="13"/>
      <c r="Y104" s="13"/>
      <c r="Z104" s="22"/>
      <c r="AA104" s="128"/>
    </row>
    <row r="105" spans="7:48" ht="15" customHeight="1" x14ac:dyDescent="0.25">
      <c r="G105" s="16"/>
      <c r="H105" s="16"/>
      <c r="I105" s="15"/>
      <c r="J105" s="1">
        <f>IF(AND(K102 = 1, L102 = 1), 1, 0)</f>
        <v>0</v>
      </c>
      <c r="K105" s="1">
        <f>IF(AND(J102 = 1, L104 = 1), 1, 0)</f>
        <v>0</v>
      </c>
      <c r="L105" s="12"/>
      <c r="M105" s="13"/>
      <c r="N105" s="121"/>
      <c r="O105" s="17"/>
      <c r="P105" s="14"/>
      <c r="Q105" s="13"/>
      <c r="R105" s="64"/>
      <c r="S105" s="65"/>
      <c r="T105" s="65"/>
      <c r="U105" s="65"/>
      <c r="V105" s="65"/>
      <c r="W105" s="65"/>
      <c r="X105" s="148" t="s">
        <v>35</v>
      </c>
      <c r="Y105" s="13"/>
      <c r="Z105" s="22"/>
      <c r="AA105" s="128"/>
    </row>
    <row r="106" spans="7:48" ht="15" customHeight="1" x14ac:dyDescent="0.25">
      <c r="G106" s="16"/>
      <c r="H106" s="16"/>
      <c r="I106" s="15"/>
      <c r="J106" s="12"/>
      <c r="K106" s="12"/>
      <c r="L106" s="1">
        <f>IF(_xlfn.XOR(J102 = 1, L104 = 1), 1, 0)</f>
        <v>0</v>
      </c>
      <c r="M106" s="13"/>
      <c r="N106" s="14"/>
      <c r="O106" s="17"/>
      <c r="P106" s="14"/>
      <c r="Q106" s="13"/>
      <c r="R106" s="66"/>
      <c r="S106" s="58">
        <f>IF(OR(L97 = 1, L98 =1), 1, 0)</f>
        <v>0</v>
      </c>
      <c r="T106" s="58">
        <f>IF(OR(M97 = 1, M98 =1), 1, 0)</f>
        <v>0</v>
      </c>
      <c r="U106" s="58">
        <f>IF(OR(N97 = 1, N98 =1), 1, 0)</f>
        <v>0</v>
      </c>
      <c r="V106" s="58">
        <f>IF(OR(O97 = 1, O98 =1), 1, 0)</f>
        <v>0</v>
      </c>
      <c r="W106" s="67"/>
      <c r="X106" s="128"/>
      <c r="Y106" s="13"/>
      <c r="Z106" s="22"/>
      <c r="AA106" s="37"/>
      <c r="AF106" s="99"/>
    </row>
    <row r="107" spans="7:48" ht="15" customHeight="1" x14ac:dyDescent="0.25">
      <c r="G107" s="16"/>
      <c r="H107" s="16"/>
      <c r="I107" s="15"/>
      <c r="J107" s="12"/>
      <c r="K107" s="1">
        <f>IF(OR(J105 = 1, K105 =1), 1, 0)</f>
        <v>0</v>
      </c>
      <c r="L107" s="12"/>
      <c r="M107" s="13"/>
      <c r="N107" s="14"/>
      <c r="O107" s="17"/>
      <c r="P107" s="14"/>
      <c r="Q107" s="13"/>
      <c r="R107" s="66"/>
      <c r="S107" s="67"/>
      <c r="T107" s="67"/>
      <c r="U107" s="67"/>
      <c r="V107" s="67"/>
      <c r="W107" s="67"/>
      <c r="X107" s="128"/>
      <c r="Y107" s="13"/>
      <c r="Z107" s="22"/>
      <c r="AA107" s="37"/>
    </row>
    <row r="108" spans="7:48" ht="15" customHeight="1" x14ac:dyDescent="0.25">
      <c r="G108" s="16"/>
      <c r="H108" s="16"/>
      <c r="I108" s="15"/>
      <c r="J108" s="13"/>
      <c r="K108" s="13"/>
      <c r="L108" s="13"/>
      <c r="M108" s="13"/>
      <c r="N108" s="14"/>
      <c r="O108" s="17"/>
      <c r="P108" s="14"/>
      <c r="Q108" s="13"/>
      <c r="R108" s="40"/>
      <c r="S108" s="46">
        <f>S106</f>
        <v>0</v>
      </c>
      <c r="T108" s="46">
        <f>T106</f>
        <v>0</v>
      </c>
      <c r="U108" s="46">
        <f>U106</f>
        <v>0</v>
      </c>
      <c r="V108" s="46">
        <f>V106</f>
        <v>0</v>
      </c>
      <c r="W108" s="27" t="s">
        <v>16</v>
      </c>
      <c r="X108" s="41"/>
      <c r="Y108" s="13"/>
      <c r="Z108" s="22"/>
      <c r="AA108" s="37"/>
      <c r="AE108" s="99"/>
      <c r="AF108" s="99"/>
    </row>
    <row r="109" spans="7:48" ht="15" customHeight="1" x14ac:dyDescent="0.25">
      <c r="G109" s="16"/>
      <c r="H109" s="16"/>
      <c r="I109" s="26"/>
      <c r="J109" s="27" t="s">
        <v>4</v>
      </c>
      <c r="K109" s="28">
        <f>K107</f>
        <v>0</v>
      </c>
      <c r="L109" s="28">
        <f>L106</f>
        <v>0</v>
      </c>
      <c r="M109" s="27" t="s">
        <v>16</v>
      </c>
      <c r="N109" s="29"/>
      <c r="O109" s="17"/>
      <c r="P109" s="14"/>
      <c r="Q109" s="13"/>
      <c r="R109" s="13"/>
      <c r="S109" s="13"/>
      <c r="T109" s="13"/>
      <c r="U109" s="13"/>
      <c r="V109" s="13"/>
      <c r="W109" s="13"/>
      <c r="X109" s="13"/>
      <c r="Y109" s="13"/>
      <c r="Z109" s="22"/>
      <c r="AA109" s="37"/>
    </row>
    <row r="110" spans="7:48" ht="15" customHeight="1" x14ac:dyDescent="0.25">
      <c r="G110" s="16"/>
      <c r="H110" s="16"/>
      <c r="I110" s="17"/>
      <c r="J110" s="17"/>
      <c r="K110" s="17"/>
      <c r="L110" s="1">
        <f>IF(_xlfn.XOR(N98 = 1, J97 = 1), 1, 0)</f>
        <v>0</v>
      </c>
      <c r="M110" s="27" t="s">
        <v>14</v>
      </c>
      <c r="N110" s="17"/>
      <c r="O110" s="17"/>
      <c r="P110" s="14"/>
      <c r="Q110" s="13"/>
      <c r="R110" s="64"/>
      <c r="S110" s="57">
        <f>IF(AND(O97 = 1, J97 = 1), 1, 0)</f>
        <v>0</v>
      </c>
      <c r="T110" s="47"/>
      <c r="U110" s="47"/>
      <c r="V110" s="47"/>
      <c r="W110" s="65"/>
      <c r="X110" s="65"/>
      <c r="Y110" s="65"/>
      <c r="Z110" s="68"/>
      <c r="AA110" s="37"/>
      <c r="AE110" s="99"/>
      <c r="AI110" s="99"/>
    </row>
    <row r="111" spans="7:48" ht="15" customHeight="1" x14ac:dyDescent="0.25">
      <c r="G111" s="16"/>
      <c r="H111" s="16"/>
      <c r="I111" s="3"/>
      <c r="J111" s="5" t="s">
        <v>4</v>
      </c>
      <c r="K111" s="5" t="s">
        <v>5</v>
      </c>
      <c r="L111" s="5" t="s">
        <v>6</v>
      </c>
      <c r="M111" s="7"/>
      <c r="N111" s="8"/>
      <c r="O111" s="17"/>
      <c r="P111" s="14"/>
      <c r="Q111" s="13"/>
      <c r="R111" s="18"/>
      <c r="S111" s="12"/>
      <c r="T111" s="1">
        <f>IF(AND(O98 = 1, U111 = 1), 1, 0)</f>
        <v>0</v>
      </c>
      <c r="U111" s="1">
        <f>IF(J97 = 1, 0, 1)</f>
        <v>1</v>
      </c>
      <c r="V111" s="12"/>
      <c r="W111" s="22"/>
      <c r="X111" s="22"/>
      <c r="Y111" s="22"/>
      <c r="Z111" s="37"/>
      <c r="AA111" s="37"/>
      <c r="AF111" s="99"/>
      <c r="AH111" s="99"/>
    </row>
    <row r="112" spans="7:48" ht="15" customHeight="1" x14ac:dyDescent="0.25">
      <c r="G112" s="16"/>
      <c r="H112" s="16"/>
      <c r="I112" s="15"/>
      <c r="J112" s="1">
        <f>K109</f>
        <v>0</v>
      </c>
      <c r="K112" s="1">
        <f>N97</f>
        <v>0</v>
      </c>
      <c r="L112" s="1">
        <f>L110</f>
        <v>0</v>
      </c>
      <c r="M112" s="13"/>
      <c r="N112" s="14"/>
      <c r="O112" s="17"/>
      <c r="P112" s="14"/>
      <c r="Q112" s="13"/>
      <c r="R112" s="18"/>
      <c r="S112" s="1">
        <f>IF(OR(S110 = 1, T111 =1), 1, 0)</f>
        <v>0</v>
      </c>
      <c r="T112" s="12"/>
      <c r="U112" s="12"/>
      <c r="V112" s="12"/>
      <c r="W112" s="22"/>
      <c r="X112" s="22"/>
      <c r="Y112" s="22"/>
      <c r="Z112" s="37"/>
      <c r="AA112" s="37"/>
    </row>
    <row r="113" spans="7:27" ht="15" customHeight="1" x14ac:dyDescent="0.25">
      <c r="G113" s="16"/>
      <c r="H113" s="16"/>
      <c r="I113" s="15"/>
      <c r="J113" s="13"/>
      <c r="K113" s="13"/>
      <c r="L113" s="13"/>
      <c r="M113" s="13"/>
      <c r="N113" s="119" t="s">
        <v>10</v>
      </c>
      <c r="O113" s="17"/>
      <c r="P113" s="14"/>
      <c r="Q113" s="13"/>
      <c r="R113" s="18"/>
      <c r="S113" s="22"/>
      <c r="T113" s="22"/>
      <c r="U113" s="22"/>
      <c r="V113" s="22"/>
      <c r="W113" s="22"/>
      <c r="X113" s="22"/>
      <c r="Y113" s="22"/>
      <c r="Z113" s="37"/>
      <c r="AA113" s="37"/>
    </row>
    <row r="114" spans="7:27" ht="15" customHeight="1" x14ac:dyDescent="0.25">
      <c r="G114" s="16"/>
      <c r="H114" s="16"/>
      <c r="I114" s="15"/>
      <c r="J114" s="12"/>
      <c r="K114" s="12"/>
      <c r="L114" s="1">
        <f>IF(_xlfn.XOR(K112 = 1, L112 = 1), 1, 0)</f>
        <v>0</v>
      </c>
      <c r="M114" s="13"/>
      <c r="N114" s="120"/>
      <c r="O114" s="17"/>
      <c r="P114" s="14"/>
      <c r="Q114" s="13"/>
      <c r="R114" s="18"/>
      <c r="S114" s="1">
        <f>IF(AND(N97 = 1, J97 = 1), 1, 0)</f>
        <v>0</v>
      </c>
      <c r="T114" s="12"/>
      <c r="U114" s="12"/>
      <c r="V114" s="12"/>
      <c r="W114" s="22"/>
      <c r="X114" s="22"/>
      <c r="Y114" s="22"/>
      <c r="Z114" s="37"/>
      <c r="AA114" s="37"/>
    </row>
    <row r="115" spans="7:27" ht="15" customHeight="1" x14ac:dyDescent="0.25">
      <c r="G115" s="16"/>
      <c r="H115" s="16"/>
      <c r="I115" s="15"/>
      <c r="J115" s="1">
        <f>IF(AND(K112 = 1, L112 = 1), 1, 0)</f>
        <v>0</v>
      </c>
      <c r="K115" s="1">
        <f>IF(AND(J112 = 1, L114 = 1), 1, 0)</f>
        <v>0</v>
      </c>
      <c r="L115" s="12"/>
      <c r="M115" s="13"/>
      <c r="N115" s="121"/>
      <c r="O115" s="17"/>
      <c r="P115" s="14"/>
      <c r="Q115" s="13"/>
      <c r="R115" s="18"/>
      <c r="S115" s="12"/>
      <c r="T115" s="1">
        <f>IF(AND(N98 = 1, U115 = 1), 1, 0)</f>
        <v>0</v>
      </c>
      <c r="U115" s="1">
        <f>IF(J97 = 1, 0, 1)</f>
        <v>1</v>
      </c>
      <c r="V115" s="12"/>
      <c r="W115" s="22"/>
      <c r="X115" s="22"/>
      <c r="Y115" s="22"/>
      <c r="Z115" s="37"/>
      <c r="AA115" s="37"/>
    </row>
    <row r="116" spans="7:27" ht="15" customHeight="1" x14ac:dyDescent="0.25">
      <c r="G116" s="16"/>
      <c r="H116" s="16"/>
      <c r="I116" s="15"/>
      <c r="J116" s="12"/>
      <c r="K116" s="12"/>
      <c r="L116" s="1">
        <f>IF(_xlfn.XOR(J112 = 1, L114 = 1), 1, 0)</f>
        <v>0</v>
      </c>
      <c r="M116" s="13"/>
      <c r="N116" s="14"/>
      <c r="O116" s="17"/>
      <c r="P116" s="14"/>
      <c r="Q116" s="13"/>
      <c r="R116" s="18"/>
      <c r="S116" s="1">
        <f>IF(OR(S114 = 1, T115 =1), 1, 0)</f>
        <v>0</v>
      </c>
      <c r="T116" s="12"/>
      <c r="U116" s="12"/>
      <c r="V116" s="12"/>
      <c r="W116" s="22"/>
      <c r="X116" s="22"/>
      <c r="Y116" s="22"/>
      <c r="Z116" s="116" t="s">
        <v>50</v>
      </c>
      <c r="AA116" s="37"/>
    </row>
    <row r="117" spans="7:27" ht="15" customHeight="1" x14ac:dyDescent="0.25">
      <c r="G117" s="16"/>
      <c r="H117" s="16"/>
      <c r="I117" s="15"/>
      <c r="J117" s="12"/>
      <c r="K117" s="1">
        <f>IF(OR(J115 = 1, K115 =1), 1, 0)</f>
        <v>0</v>
      </c>
      <c r="L117" s="12"/>
      <c r="M117" s="13"/>
      <c r="N117" s="14"/>
      <c r="O117" s="17"/>
      <c r="P117" s="14"/>
      <c r="Q117" s="13"/>
      <c r="R117" s="18"/>
      <c r="S117" s="22"/>
      <c r="T117" s="22"/>
      <c r="U117" s="22"/>
      <c r="V117" s="22"/>
      <c r="W117" s="22"/>
      <c r="X117" s="22"/>
      <c r="Y117" s="22"/>
      <c r="Z117" s="117"/>
      <c r="AA117" s="37"/>
    </row>
    <row r="118" spans="7:27" ht="15" customHeight="1" x14ac:dyDescent="0.25">
      <c r="G118" s="16"/>
      <c r="H118" s="16"/>
      <c r="I118" s="15"/>
      <c r="J118" s="13"/>
      <c r="K118" s="13"/>
      <c r="L118" s="13"/>
      <c r="M118" s="13"/>
      <c r="N118" s="14"/>
      <c r="O118" s="17"/>
      <c r="P118" s="14"/>
      <c r="Q118" s="13"/>
      <c r="R118" s="18"/>
      <c r="S118" s="1">
        <f>IF(AND(M97 = 1, J97 = 1), 1, 0)</f>
        <v>0</v>
      </c>
      <c r="T118" s="12"/>
      <c r="U118" s="12"/>
      <c r="V118" s="12"/>
      <c r="W118" s="22"/>
      <c r="X118" s="22"/>
      <c r="Y118" s="22"/>
      <c r="Z118" s="118"/>
      <c r="AA118" s="37"/>
    </row>
    <row r="119" spans="7:27" ht="15" customHeight="1" x14ac:dyDescent="0.25">
      <c r="G119" s="16"/>
      <c r="H119" s="16"/>
      <c r="I119" s="26"/>
      <c r="J119" s="27" t="s">
        <v>4</v>
      </c>
      <c r="K119" s="28">
        <f>K117</f>
        <v>0</v>
      </c>
      <c r="L119" s="28">
        <f>L116</f>
        <v>0</v>
      </c>
      <c r="M119" s="27" t="s">
        <v>16</v>
      </c>
      <c r="N119" s="29"/>
      <c r="O119" s="17"/>
      <c r="P119" s="14"/>
      <c r="Q119" s="13"/>
      <c r="R119" s="18"/>
      <c r="S119" s="12"/>
      <c r="T119" s="1">
        <f>IF(AND(M98 = 1, U119 = 1), 1, 0)</f>
        <v>0</v>
      </c>
      <c r="U119" s="1">
        <f>IF(J97 = 1, 0, 1)</f>
        <v>1</v>
      </c>
      <c r="V119" s="12"/>
      <c r="W119" s="22"/>
      <c r="X119" s="22"/>
      <c r="Y119" s="22"/>
      <c r="Z119" s="37"/>
      <c r="AA119" s="37"/>
    </row>
    <row r="120" spans="7:27" ht="15" customHeight="1" x14ac:dyDescent="0.25">
      <c r="G120" s="16"/>
      <c r="H120" s="16"/>
      <c r="I120" s="17"/>
      <c r="J120" s="17"/>
      <c r="K120" s="17"/>
      <c r="L120" s="1">
        <f>IF(_xlfn.XOR(M98 = 1, J97 = 1), 1, 0)</f>
        <v>0</v>
      </c>
      <c r="M120" s="27" t="s">
        <v>14</v>
      </c>
      <c r="N120" s="17"/>
      <c r="O120" s="17"/>
      <c r="P120" s="14"/>
      <c r="Q120" s="13"/>
      <c r="R120" s="18"/>
      <c r="S120" s="1">
        <f>IF(OR(S118 = 1, T119 =1), 1, 0)</f>
        <v>0</v>
      </c>
      <c r="T120" s="12"/>
      <c r="U120" s="12"/>
      <c r="V120" s="12"/>
      <c r="W120" s="22"/>
      <c r="X120" s="22"/>
      <c r="Y120" s="22"/>
      <c r="Z120" s="37"/>
      <c r="AA120" s="37"/>
    </row>
    <row r="121" spans="7:27" ht="15" customHeight="1" x14ac:dyDescent="0.25">
      <c r="G121" s="16"/>
      <c r="H121" s="16"/>
      <c r="I121" s="3"/>
      <c r="J121" s="5" t="s">
        <v>4</v>
      </c>
      <c r="K121" s="5" t="s">
        <v>5</v>
      </c>
      <c r="L121" s="5" t="s">
        <v>6</v>
      </c>
      <c r="M121" s="7"/>
      <c r="N121" s="8"/>
      <c r="O121" s="17"/>
      <c r="P121" s="14"/>
      <c r="Q121" s="13"/>
      <c r="R121" s="18"/>
      <c r="S121" s="22"/>
      <c r="T121" s="22"/>
      <c r="U121" s="22"/>
      <c r="V121" s="22"/>
      <c r="W121" s="22"/>
      <c r="X121" s="22"/>
      <c r="Y121" s="22"/>
      <c r="Z121" s="37"/>
      <c r="AA121" s="37"/>
    </row>
    <row r="122" spans="7:27" ht="15" customHeight="1" x14ac:dyDescent="0.25">
      <c r="G122" s="16"/>
      <c r="H122" s="16"/>
      <c r="I122" s="15"/>
      <c r="J122" s="1">
        <f>K119</f>
        <v>0</v>
      </c>
      <c r="K122" s="1">
        <f>M97</f>
        <v>0</v>
      </c>
      <c r="L122" s="1">
        <f>L120</f>
        <v>0</v>
      </c>
      <c r="M122" s="13"/>
      <c r="N122" s="14"/>
      <c r="O122" s="17"/>
      <c r="P122" s="14"/>
      <c r="Q122" s="13"/>
      <c r="R122" s="18"/>
      <c r="S122" s="1">
        <f>IF(AND(L97 = 1, J97 = 1), 1, 0)</f>
        <v>0</v>
      </c>
      <c r="T122" s="12"/>
      <c r="U122" s="12"/>
      <c r="V122" s="12"/>
      <c r="W122" s="22"/>
      <c r="X122" s="22"/>
      <c r="Y122" s="22"/>
      <c r="Z122" s="37"/>
      <c r="AA122" s="37"/>
    </row>
    <row r="123" spans="7:27" ht="15" customHeight="1" x14ac:dyDescent="0.25">
      <c r="G123" s="16"/>
      <c r="H123" s="16"/>
      <c r="I123" s="15"/>
      <c r="J123" s="13"/>
      <c r="K123" s="13"/>
      <c r="L123" s="13"/>
      <c r="M123" s="13"/>
      <c r="N123" s="119" t="s">
        <v>10</v>
      </c>
      <c r="O123" s="17"/>
      <c r="P123" s="14"/>
      <c r="Q123" s="13"/>
      <c r="R123" s="18"/>
      <c r="S123" s="12"/>
      <c r="T123" s="1">
        <f>IF(AND(L98 = 1, U123 = 1), 1, 0)</f>
        <v>0</v>
      </c>
      <c r="U123" s="1">
        <f>IF(J97 = 1, 0, 1)</f>
        <v>1</v>
      </c>
      <c r="V123" s="12"/>
      <c r="W123" s="22"/>
      <c r="X123" s="22"/>
      <c r="Y123" s="22"/>
      <c r="Z123" s="37"/>
      <c r="AA123" s="37"/>
    </row>
    <row r="124" spans="7:27" ht="15" customHeight="1" x14ac:dyDescent="0.25">
      <c r="G124" s="16"/>
      <c r="H124" s="16"/>
      <c r="I124" s="15"/>
      <c r="J124" s="12"/>
      <c r="K124" s="12"/>
      <c r="L124" s="1">
        <f>IF(_xlfn.XOR(K122 = 1, L122 = 1), 1, 0)</f>
        <v>0</v>
      </c>
      <c r="M124" s="13"/>
      <c r="N124" s="120"/>
      <c r="O124" s="17"/>
      <c r="P124" s="14"/>
      <c r="Q124" s="13"/>
      <c r="R124" s="18"/>
      <c r="S124" s="1">
        <f>IF(OR(S122 = 1, T123 =1), 1, 0)</f>
        <v>0</v>
      </c>
      <c r="T124" s="12"/>
      <c r="U124" s="12"/>
      <c r="V124" s="12"/>
      <c r="W124" s="22"/>
      <c r="X124" s="22"/>
      <c r="Y124" s="22"/>
      <c r="Z124" s="37"/>
      <c r="AA124" s="37"/>
    </row>
    <row r="125" spans="7:27" ht="15" customHeight="1" x14ac:dyDescent="0.25">
      <c r="G125" s="16"/>
      <c r="H125" s="16"/>
      <c r="I125" s="15"/>
      <c r="J125" s="1">
        <f>IF(AND(K122 = 1, L122 = 1), 1, 0)</f>
        <v>0</v>
      </c>
      <c r="K125" s="1">
        <f>IF(AND(J122 = 1, L124 = 1), 1, 0)</f>
        <v>0</v>
      </c>
      <c r="L125" s="12"/>
      <c r="M125" s="13"/>
      <c r="N125" s="121"/>
      <c r="O125" s="17"/>
      <c r="P125" s="14"/>
      <c r="Q125" s="13"/>
      <c r="R125" s="18"/>
      <c r="S125" s="22"/>
      <c r="T125" s="22"/>
      <c r="U125" s="22"/>
      <c r="V125" s="22"/>
      <c r="W125" s="22"/>
      <c r="X125" s="22"/>
      <c r="Y125" s="22"/>
      <c r="Z125" s="37"/>
      <c r="AA125" s="37"/>
    </row>
    <row r="126" spans="7:27" ht="15" customHeight="1" x14ac:dyDescent="0.25">
      <c r="G126" s="16"/>
      <c r="H126" s="16"/>
      <c r="I126" s="15"/>
      <c r="J126" s="12"/>
      <c r="K126" s="12"/>
      <c r="L126" s="1">
        <f>IF(_xlfn.XOR(J122 = 1, L124 = 1), 1, 0)</f>
        <v>0</v>
      </c>
      <c r="M126" s="13"/>
      <c r="N126" s="14"/>
      <c r="O126" s="17"/>
      <c r="P126" s="14"/>
      <c r="Q126" s="13"/>
      <c r="R126" s="40"/>
      <c r="S126" s="46">
        <f>S124</f>
        <v>0</v>
      </c>
      <c r="T126" s="46">
        <f>S120</f>
        <v>0</v>
      </c>
      <c r="U126" s="46">
        <f>S116</f>
        <v>0</v>
      </c>
      <c r="V126" s="46">
        <f>S112</f>
        <v>0</v>
      </c>
      <c r="W126" s="27" t="s">
        <v>16</v>
      </c>
      <c r="X126" s="39"/>
      <c r="Y126" s="39"/>
      <c r="Z126" s="41"/>
      <c r="AA126" s="37"/>
    </row>
    <row r="127" spans="7:27" ht="15" customHeight="1" x14ac:dyDescent="0.25">
      <c r="G127" s="16"/>
      <c r="H127" s="16"/>
      <c r="I127" s="15"/>
      <c r="J127" s="12"/>
      <c r="K127" s="1">
        <f>IF(OR(J125 = 1, K125 =1), 1, 0)</f>
        <v>0</v>
      </c>
      <c r="L127" s="12"/>
      <c r="M127" s="13"/>
      <c r="N127" s="14"/>
      <c r="O127" s="17"/>
      <c r="P127" s="14"/>
      <c r="Q127" s="13"/>
      <c r="R127" s="22"/>
      <c r="S127" s="22"/>
      <c r="T127" s="22"/>
      <c r="U127" s="22"/>
      <c r="V127" s="22"/>
      <c r="W127" s="22"/>
      <c r="X127" s="22"/>
      <c r="Y127" s="22"/>
      <c r="Z127" s="22"/>
      <c r="AA127" s="37"/>
    </row>
    <row r="128" spans="7:27" ht="15" customHeight="1" x14ac:dyDescent="0.25">
      <c r="G128" s="16"/>
      <c r="H128" s="16"/>
      <c r="I128" s="15"/>
      <c r="J128" s="13"/>
      <c r="K128" s="13"/>
      <c r="L128" s="13"/>
      <c r="M128" s="13"/>
      <c r="N128" s="14"/>
      <c r="O128" s="17"/>
      <c r="P128" s="14"/>
      <c r="Q128" s="13"/>
      <c r="R128" s="64"/>
      <c r="S128" s="57">
        <f>IF(AND(V126 = 1, H97 = 1), 1, 0)</f>
        <v>0</v>
      </c>
      <c r="T128" s="47"/>
      <c r="U128" s="47"/>
      <c r="V128" s="47"/>
      <c r="W128" s="65"/>
      <c r="X128" s="65"/>
      <c r="Y128" s="65"/>
      <c r="Z128" s="68"/>
      <c r="AA128" s="37"/>
    </row>
    <row r="129" spans="7:27" ht="15" customHeight="1" x14ac:dyDescent="0.25">
      <c r="G129" s="16"/>
      <c r="H129" s="16"/>
      <c r="I129" s="26"/>
      <c r="J129" s="27" t="s">
        <v>4</v>
      </c>
      <c r="K129" s="28">
        <f>K127</f>
        <v>0</v>
      </c>
      <c r="L129" s="28">
        <f>L126</f>
        <v>0</v>
      </c>
      <c r="M129" s="27" t="s">
        <v>16</v>
      </c>
      <c r="N129" s="29"/>
      <c r="O129" s="17"/>
      <c r="P129" s="14"/>
      <c r="Q129" s="13"/>
      <c r="R129" s="18"/>
      <c r="S129" s="12"/>
      <c r="T129" s="1">
        <f>IF(AND(O144 = 1, U129 = 1), 1, 0)</f>
        <v>0</v>
      </c>
      <c r="U129" s="1">
        <f>IF(H97 = 1, 0, 1)</f>
        <v>1</v>
      </c>
      <c r="V129" s="12"/>
      <c r="W129" s="22"/>
      <c r="X129" s="22"/>
      <c r="Y129" s="22"/>
      <c r="Z129" s="37"/>
      <c r="AA129" s="37"/>
    </row>
    <row r="130" spans="7:27" ht="15" customHeight="1" x14ac:dyDescent="0.25">
      <c r="G130" s="16"/>
      <c r="H130" s="16"/>
      <c r="I130" s="17"/>
      <c r="J130" s="17"/>
      <c r="K130" s="17"/>
      <c r="L130" s="1">
        <f>IF(_xlfn.XOR(L98 = 1, J97 = 1), 1, 0)</f>
        <v>0</v>
      </c>
      <c r="M130" s="27" t="s">
        <v>14</v>
      </c>
      <c r="N130" s="17"/>
      <c r="O130" s="17"/>
      <c r="P130" s="14"/>
      <c r="Q130" s="13"/>
      <c r="R130" s="18"/>
      <c r="S130" s="1">
        <f>IF(OR(S128 = 1, T129 =1), 1, 0)</f>
        <v>0</v>
      </c>
      <c r="T130" s="12"/>
      <c r="U130" s="12"/>
      <c r="V130" s="12"/>
      <c r="W130" s="22"/>
      <c r="X130" s="22"/>
      <c r="Y130" s="22"/>
      <c r="Z130" s="37"/>
      <c r="AA130" s="37"/>
    </row>
    <row r="131" spans="7:27" ht="15" customHeight="1" x14ac:dyDescent="0.25">
      <c r="G131" s="16"/>
      <c r="H131" s="16"/>
      <c r="I131" s="3"/>
      <c r="J131" s="5" t="s">
        <v>4</v>
      </c>
      <c r="K131" s="5" t="s">
        <v>5</v>
      </c>
      <c r="L131" s="5" t="s">
        <v>6</v>
      </c>
      <c r="M131" s="7"/>
      <c r="N131" s="8"/>
      <c r="O131" s="17"/>
      <c r="P131" s="14"/>
      <c r="Q131" s="13"/>
      <c r="R131" s="18"/>
      <c r="S131" s="22"/>
      <c r="T131" s="22"/>
      <c r="U131" s="22"/>
      <c r="V131" s="22"/>
      <c r="W131" s="22"/>
      <c r="X131" s="22"/>
      <c r="Y131" s="22"/>
      <c r="Z131" s="37"/>
      <c r="AA131" s="37"/>
    </row>
    <row r="132" spans="7:27" ht="15" customHeight="1" x14ac:dyDescent="0.25">
      <c r="G132" s="16"/>
      <c r="H132" s="16"/>
      <c r="I132" s="15"/>
      <c r="J132" s="1">
        <f>K129</f>
        <v>0</v>
      </c>
      <c r="K132" s="1">
        <f>L97</f>
        <v>0</v>
      </c>
      <c r="L132" s="1">
        <f>L130</f>
        <v>0</v>
      </c>
      <c r="M132" s="13"/>
      <c r="N132" s="14"/>
      <c r="O132" s="17"/>
      <c r="P132" s="14"/>
      <c r="Q132" s="13"/>
      <c r="R132" s="18"/>
      <c r="S132" s="1">
        <f>IF(AND(U126 = 1, H97 = 1), 1, 0)</f>
        <v>0</v>
      </c>
      <c r="T132" s="12"/>
      <c r="U132" s="12"/>
      <c r="V132" s="12"/>
      <c r="W132" s="22"/>
      <c r="X132" s="22"/>
      <c r="Y132" s="22"/>
      <c r="Z132" s="37"/>
      <c r="AA132" s="37"/>
    </row>
    <row r="133" spans="7:27" ht="15" customHeight="1" x14ac:dyDescent="0.25">
      <c r="G133" s="16"/>
      <c r="H133" s="16"/>
      <c r="I133" s="15"/>
      <c r="J133" s="13"/>
      <c r="K133" s="13"/>
      <c r="L133" s="13"/>
      <c r="M133" s="13"/>
      <c r="N133" s="119" t="s">
        <v>10</v>
      </c>
      <c r="O133" s="17"/>
      <c r="P133" s="14"/>
      <c r="Q133" s="13"/>
      <c r="R133" s="18"/>
      <c r="S133" s="12"/>
      <c r="T133" s="1">
        <f>IF(AND(N144 = 1, U133 = 1), 1, 0)</f>
        <v>0</v>
      </c>
      <c r="U133" s="1">
        <f>IF(H97 = 1, 0, 1)</f>
        <v>1</v>
      </c>
      <c r="V133" s="12"/>
      <c r="W133" s="22"/>
      <c r="X133" s="22"/>
      <c r="Y133" s="22"/>
      <c r="Z133" s="37"/>
      <c r="AA133" s="37"/>
    </row>
    <row r="134" spans="7:27" ht="15" customHeight="1" x14ac:dyDescent="0.25">
      <c r="G134" s="16"/>
      <c r="H134" s="16"/>
      <c r="I134" s="15"/>
      <c r="J134" s="12"/>
      <c r="K134" s="12"/>
      <c r="L134" s="1">
        <f>IF(_xlfn.XOR(K132 = 1, L132 = 1), 1, 0)</f>
        <v>0</v>
      </c>
      <c r="M134" s="13"/>
      <c r="N134" s="120"/>
      <c r="O134" s="17"/>
      <c r="P134" s="14"/>
      <c r="Q134" s="13"/>
      <c r="R134" s="18"/>
      <c r="S134" s="1">
        <f>IF(OR(S132 = 1, T133 =1), 1, 0)</f>
        <v>0</v>
      </c>
      <c r="T134" s="12"/>
      <c r="U134" s="12"/>
      <c r="V134" s="12"/>
      <c r="W134" s="22"/>
      <c r="X134" s="22"/>
      <c r="Y134" s="22"/>
      <c r="Z134" s="116" t="s">
        <v>50</v>
      </c>
      <c r="AA134" s="37"/>
    </row>
    <row r="135" spans="7:27" ht="15" customHeight="1" x14ac:dyDescent="0.25">
      <c r="G135" s="16"/>
      <c r="H135" s="16"/>
      <c r="I135" s="15"/>
      <c r="J135" s="1">
        <f>IF(AND(K132 = 1, L132 = 1), 1, 0)</f>
        <v>0</v>
      </c>
      <c r="K135" s="1">
        <f>IF(AND(J132 = 1, L134 = 1), 1, 0)</f>
        <v>0</v>
      </c>
      <c r="L135" s="12"/>
      <c r="M135" s="13"/>
      <c r="N135" s="121"/>
      <c r="O135" s="17"/>
      <c r="P135" s="14"/>
      <c r="Q135" s="13"/>
      <c r="R135" s="18"/>
      <c r="S135" s="22"/>
      <c r="T135" s="22"/>
      <c r="U135" s="22"/>
      <c r="V135" s="22"/>
      <c r="W135" s="22"/>
      <c r="X135" s="22"/>
      <c r="Y135" s="22"/>
      <c r="Z135" s="117"/>
      <c r="AA135" s="37"/>
    </row>
    <row r="136" spans="7:27" ht="15" customHeight="1" x14ac:dyDescent="0.25">
      <c r="G136" s="16"/>
      <c r="H136" s="16"/>
      <c r="I136" s="15"/>
      <c r="J136" s="12"/>
      <c r="K136" s="12"/>
      <c r="L136" s="1">
        <f>IF(_xlfn.XOR(J132 = 1, L134 = 1), 1, 0)</f>
        <v>0</v>
      </c>
      <c r="M136" s="13"/>
      <c r="N136" s="14"/>
      <c r="O136" s="17"/>
      <c r="P136" s="14"/>
      <c r="Q136" s="13"/>
      <c r="R136" s="18"/>
      <c r="S136" s="1">
        <f>IF(AND(T126 = 1, H97 = 1), 1, 0)</f>
        <v>0</v>
      </c>
      <c r="T136" s="12"/>
      <c r="U136" s="12"/>
      <c r="V136" s="12"/>
      <c r="W136" s="22"/>
      <c r="X136" s="22"/>
      <c r="Y136" s="22"/>
      <c r="Z136" s="118"/>
      <c r="AA136" s="37"/>
    </row>
    <row r="137" spans="7:27" ht="15" customHeight="1" x14ac:dyDescent="0.25">
      <c r="G137" s="16"/>
      <c r="H137" s="16"/>
      <c r="I137" s="15"/>
      <c r="J137" s="12"/>
      <c r="K137" s="1">
        <f>IF(OR(J135 = 1, K135 =1), 1, 0)</f>
        <v>0</v>
      </c>
      <c r="L137" s="12"/>
      <c r="M137" s="13"/>
      <c r="N137" s="14"/>
      <c r="O137" s="17"/>
      <c r="P137" s="14"/>
      <c r="Q137" s="13"/>
      <c r="R137" s="18"/>
      <c r="S137" s="12"/>
      <c r="T137" s="1">
        <f>IF(AND(M144 = 1, U137 = 1), 1, 0)</f>
        <v>0</v>
      </c>
      <c r="U137" s="1">
        <f>IF(H97 = 1, 0, 1)</f>
        <v>1</v>
      </c>
      <c r="V137" s="12"/>
      <c r="W137" s="22"/>
      <c r="X137" s="22"/>
      <c r="Y137" s="22"/>
      <c r="Z137" s="37"/>
      <c r="AA137" s="37"/>
    </row>
    <row r="138" spans="7:27" ht="15" customHeight="1" x14ac:dyDescent="0.25">
      <c r="G138" s="16"/>
      <c r="H138" s="16"/>
      <c r="I138" s="15"/>
      <c r="J138" s="13"/>
      <c r="K138" s="13"/>
      <c r="L138" s="13"/>
      <c r="M138" s="13"/>
      <c r="N138" s="14"/>
      <c r="O138" s="17"/>
      <c r="P138" s="14"/>
      <c r="Q138" s="13"/>
      <c r="R138" s="18"/>
      <c r="S138" s="1">
        <f>IF(OR(S136 = 1, T137 =1), 1, 0)</f>
        <v>0</v>
      </c>
      <c r="T138" s="12"/>
      <c r="U138" s="12"/>
      <c r="V138" s="12"/>
      <c r="W138" s="22"/>
      <c r="X138" s="22"/>
      <c r="Y138" s="22"/>
      <c r="Z138" s="37"/>
      <c r="AA138" s="37"/>
    </row>
    <row r="139" spans="7:27" ht="15" customHeight="1" x14ac:dyDescent="0.25">
      <c r="G139" s="16"/>
      <c r="H139" s="16"/>
      <c r="I139" s="26"/>
      <c r="J139" s="27" t="s">
        <v>4</v>
      </c>
      <c r="K139" s="28">
        <f>K137</f>
        <v>0</v>
      </c>
      <c r="L139" s="28">
        <f>L136</f>
        <v>0</v>
      </c>
      <c r="M139" s="27" t="s">
        <v>16</v>
      </c>
      <c r="N139" s="29"/>
      <c r="O139" s="17"/>
      <c r="P139" s="14"/>
      <c r="Q139" s="13"/>
      <c r="R139" s="18"/>
      <c r="S139" s="22"/>
      <c r="T139" s="22"/>
      <c r="U139" s="22"/>
      <c r="V139" s="22"/>
      <c r="W139" s="22"/>
      <c r="X139" s="22"/>
      <c r="Y139" s="22"/>
      <c r="Z139" s="37"/>
      <c r="AA139" s="37"/>
    </row>
    <row r="140" spans="7:27" ht="15" customHeight="1" x14ac:dyDescent="0.25">
      <c r="G140" s="16"/>
      <c r="H140" s="16"/>
      <c r="I140" s="17"/>
      <c r="J140" s="17"/>
      <c r="K140" s="17"/>
      <c r="L140" s="17"/>
      <c r="M140" s="17"/>
      <c r="N140" s="17"/>
      <c r="O140" s="17"/>
      <c r="P140" s="14"/>
      <c r="Q140" s="13"/>
      <c r="R140" s="18"/>
      <c r="S140" s="1">
        <f>IF(AND(S126 = 1, H97 = 1), 1, 0)</f>
        <v>0</v>
      </c>
      <c r="T140" s="12"/>
      <c r="U140" s="12"/>
      <c r="V140" s="12"/>
      <c r="W140" s="22"/>
      <c r="X140" s="22"/>
      <c r="Y140" s="22"/>
      <c r="Z140" s="37"/>
      <c r="AA140" s="37"/>
    </row>
    <row r="141" spans="7:27" ht="15" customHeight="1" x14ac:dyDescent="0.25">
      <c r="G141" s="16"/>
      <c r="H141" s="16"/>
      <c r="I141" s="17"/>
      <c r="J141" s="17"/>
      <c r="K141" s="17"/>
      <c r="L141" s="17"/>
      <c r="M141" s="17"/>
      <c r="N141" s="17"/>
      <c r="O141" s="17"/>
      <c r="P141" s="14"/>
      <c r="Q141" s="13"/>
      <c r="R141" s="18"/>
      <c r="S141" s="12"/>
      <c r="T141" s="1">
        <f>IF(AND(L144 = 1, U141 = 1), 1, 0)</f>
        <v>0</v>
      </c>
      <c r="U141" s="1">
        <f>IF(H97 = 1, 0, 1)</f>
        <v>1</v>
      </c>
      <c r="V141" s="12"/>
      <c r="W141" s="22"/>
      <c r="X141" s="22"/>
      <c r="Y141" s="22"/>
      <c r="Z141" s="37"/>
      <c r="AA141" s="37"/>
    </row>
    <row r="142" spans="7:27" ht="15" customHeight="1" x14ac:dyDescent="0.25">
      <c r="G142" s="16"/>
      <c r="H142" s="16"/>
      <c r="I142" s="17"/>
      <c r="J142" s="17"/>
      <c r="K142" s="17"/>
      <c r="L142" s="17"/>
      <c r="M142" s="17"/>
      <c r="N142" s="17"/>
      <c r="O142" s="17"/>
      <c r="P142" s="14"/>
      <c r="Q142" s="13"/>
      <c r="R142" s="18"/>
      <c r="S142" s="1">
        <f>IF(OR(S140 = 1, T141 =1), 1, 0)</f>
        <v>0</v>
      </c>
      <c r="T142" s="12"/>
      <c r="U142" s="12"/>
      <c r="V142" s="12"/>
      <c r="W142" s="22"/>
      <c r="X142" s="22"/>
      <c r="Y142" s="22"/>
      <c r="Z142" s="37"/>
      <c r="AA142" s="37"/>
    </row>
    <row r="143" spans="7:27" ht="15" customHeight="1" x14ac:dyDescent="0.25">
      <c r="G143" s="16"/>
      <c r="H143" s="16"/>
      <c r="I143" s="1">
        <f>IF(_xlfn.XOR(K139 = 1, K129 = 1), 1, 0)</f>
        <v>0</v>
      </c>
      <c r="J143" s="110" t="s">
        <v>32</v>
      </c>
      <c r="K143" s="111"/>
      <c r="L143" s="17"/>
      <c r="M143" s="17"/>
      <c r="N143" s="17"/>
      <c r="O143" s="17"/>
      <c r="P143" s="14"/>
      <c r="Q143" s="13"/>
      <c r="R143" s="18"/>
      <c r="S143" s="22"/>
      <c r="T143" s="22"/>
      <c r="U143" s="22"/>
      <c r="V143" s="22"/>
      <c r="W143" s="22"/>
      <c r="X143" s="22"/>
      <c r="Y143" s="22"/>
      <c r="Z143" s="37"/>
      <c r="AA143" s="37"/>
    </row>
    <row r="144" spans="7:27" ht="15" customHeight="1" x14ac:dyDescent="0.25">
      <c r="G144" s="16"/>
      <c r="H144" s="31"/>
      <c r="I144" s="28">
        <f>K139</f>
        <v>0</v>
      </c>
      <c r="J144" s="107" t="s">
        <v>33</v>
      </c>
      <c r="K144" s="108"/>
      <c r="L144" s="28">
        <f>L139</f>
        <v>0</v>
      </c>
      <c r="M144" s="28">
        <f>L129</f>
        <v>0</v>
      </c>
      <c r="N144" s="28">
        <f>L119</f>
        <v>0</v>
      </c>
      <c r="O144" s="28">
        <f>L109</f>
        <v>0</v>
      </c>
      <c r="P144" s="45" t="s">
        <v>31</v>
      </c>
      <c r="Q144" s="13"/>
      <c r="R144" s="40"/>
      <c r="S144" s="46">
        <f>S142</f>
        <v>0</v>
      </c>
      <c r="T144" s="46">
        <f>S138</f>
        <v>0</v>
      </c>
      <c r="U144" s="46">
        <f>S134</f>
        <v>0</v>
      </c>
      <c r="V144" s="46">
        <f>S130</f>
        <v>0</v>
      </c>
      <c r="W144" s="27" t="s">
        <v>16</v>
      </c>
      <c r="X144" s="39"/>
      <c r="Y144" s="39"/>
      <c r="Z144" s="41"/>
      <c r="AA144" s="37"/>
    </row>
    <row r="145" spans="7:27" ht="15" customHeight="1" x14ac:dyDescent="0.25">
      <c r="G145" s="16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37"/>
    </row>
    <row r="146" spans="7:27" ht="15" customHeight="1" x14ac:dyDescent="0.25">
      <c r="G146" s="16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">
        <f>IF(OR(U144 = 1, V144 =1), 1, 0)</f>
        <v>0</v>
      </c>
      <c r="T146" s="13"/>
      <c r="U146" s="13"/>
      <c r="V146" s="13"/>
      <c r="W146" s="13"/>
      <c r="X146" s="13"/>
      <c r="Y146" s="13"/>
      <c r="Z146" s="13"/>
      <c r="AA146" s="37"/>
    </row>
    <row r="147" spans="7:27" ht="15" customHeight="1" x14ac:dyDescent="0.25">
      <c r="G147" s="16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">
        <f>IF(OR(S146 = 1, T144 =1), 1, 0)</f>
        <v>0</v>
      </c>
      <c r="T147" s="13"/>
      <c r="U147" s="13"/>
      <c r="V147" s="13"/>
      <c r="W147" s="13"/>
      <c r="X147" s="13"/>
      <c r="Y147" s="13"/>
      <c r="Z147" s="13"/>
      <c r="AA147" s="37"/>
    </row>
    <row r="148" spans="7:27" ht="15" customHeight="1" x14ac:dyDescent="0.25">
      <c r="G148" s="16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">
        <f>IF(OR(S147 = 1, S144 =1), 1, 0)</f>
        <v>0</v>
      </c>
      <c r="T148" s="13"/>
      <c r="U148" s="13"/>
      <c r="V148" s="13"/>
      <c r="W148" s="13"/>
      <c r="X148" s="13"/>
      <c r="Y148" s="13"/>
      <c r="Z148" s="13"/>
      <c r="AA148" s="37"/>
    </row>
    <row r="149" spans="7:27" ht="15" customHeight="1" x14ac:dyDescent="0.25">
      <c r="G149" s="16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">
        <f>IF(S148 = 1, 0, 1)</f>
        <v>1</v>
      </c>
      <c r="T149" s="13"/>
      <c r="U149" s="13"/>
      <c r="V149" s="13"/>
      <c r="W149" s="13"/>
      <c r="X149" s="13"/>
      <c r="Y149" s="13"/>
      <c r="Z149" s="13"/>
      <c r="AA149" s="37"/>
    </row>
    <row r="150" spans="7:27" ht="15" customHeight="1" x14ac:dyDescent="0.25">
      <c r="G150" s="16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37"/>
    </row>
    <row r="151" spans="7:27" ht="15" customHeight="1" x14ac:dyDescent="0.25">
      <c r="G151" s="40"/>
      <c r="H151" s="39"/>
      <c r="I151" s="39"/>
      <c r="J151" s="46">
        <f>S144</f>
        <v>0</v>
      </c>
      <c r="K151" s="109" t="s">
        <v>52</v>
      </c>
      <c r="L151" s="109"/>
      <c r="M151" s="28">
        <f>I144</f>
        <v>0</v>
      </c>
      <c r="N151" s="107" t="s">
        <v>33</v>
      </c>
      <c r="O151" s="108"/>
      <c r="P151" s="28">
        <f>I143</f>
        <v>0</v>
      </c>
      <c r="Q151" s="107" t="s">
        <v>32</v>
      </c>
      <c r="R151" s="108"/>
      <c r="S151" s="46">
        <f>S149</f>
        <v>1</v>
      </c>
      <c r="T151" s="27" t="s">
        <v>37</v>
      </c>
      <c r="U151" s="46">
        <f>S144</f>
        <v>0</v>
      </c>
      <c r="V151" s="46">
        <f>T144</f>
        <v>0</v>
      </c>
      <c r="W151" s="46">
        <f>U144</f>
        <v>0</v>
      </c>
      <c r="X151" s="46">
        <f>V144</f>
        <v>0</v>
      </c>
      <c r="Y151" s="27" t="s">
        <v>16</v>
      </c>
      <c r="Z151" s="39"/>
      <c r="AA151" s="41"/>
    </row>
    <row r="153" spans="7:27" ht="15" customHeight="1" x14ac:dyDescent="0.25">
      <c r="P153" s="70" t="s">
        <v>45</v>
      </c>
    </row>
  </sheetData>
  <mergeCells count="76">
    <mergeCell ref="AU86:AV86"/>
    <mergeCell ref="AW86:AX86"/>
    <mergeCell ref="AO80:AV80"/>
    <mergeCell ref="AW80:BD80"/>
    <mergeCell ref="BE81:BF81"/>
    <mergeCell ref="BE82:BF82"/>
    <mergeCell ref="AU85:AV85"/>
    <mergeCell ref="AW85:AX85"/>
    <mergeCell ref="AU88:AV88"/>
    <mergeCell ref="AU87:AV87"/>
    <mergeCell ref="AW87:AX87"/>
    <mergeCell ref="AW88:AX88"/>
    <mergeCell ref="AU90:AV90"/>
    <mergeCell ref="AW90:AX90"/>
    <mergeCell ref="AU89:AX89"/>
    <mergeCell ref="BE83:BF83"/>
    <mergeCell ref="AL93:AN93"/>
    <mergeCell ref="AL101:AN101"/>
    <mergeCell ref="AA89:AB89"/>
    <mergeCell ref="AA90:AB90"/>
    <mergeCell ref="AL99:AN99"/>
    <mergeCell ref="AL100:AN100"/>
    <mergeCell ref="AF93:AG93"/>
    <mergeCell ref="AF94:AG94"/>
    <mergeCell ref="AF95:AG95"/>
    <mergeCell ref="AE92:AG92"/>
    <mergeCell ref="AL94:AN94"/>
    <mergeCell ref="AL95:AN95"/>
    <mergeCell ref="AL96:AN96"/>
    <mergeCell ref="AL97:AN97"/>
    <mergeCell ref="AL98:AN98"/>
    <mergeCell ref="AI56:AI58"/>
    <mergeCell ref="P100:P102"/>
    <mergeCell ref="N103:N105"/>
    <mergeCell ref="N113:N115"/>
    <mergeCell ref="N123:N125"/>
    <mergeCell ref="X100:X102"/>
    <mergeCell ref="X105:X107"/>
    <mergeCell ref="Z116:Z118"/>
    <mergeCell ref="W61:W63"/>
    <mergeCell ref="S71:T71"/>
    <mergeCell ref="S72:T72"/>
    <mergeCell ref="N60:N62"/>
    <mergeCell ref="AA103:AA105"/>
    <mergeCell ref="AH92:AJ92"/>
    <mergeCell ref="AA87:AB87"/>
    <mergeCell ref="AA88:AB88"/>
    <mergeCell ref="AH27:AH29"/>
    <mergeCell ref="Y28:Y30"/>
    <mergeCell ref="AG35:AG37"/>
    <mergeCell ref="W31:W33"/>
    <mergeCell ref="M5:M7"/>
    <mergeCell ref="N36:N38"/>
    <mergeCell ref="N24:N26"/>
    <mergeCell ref="X6:X8"/>
    <mergeCell ref="AF8:AF10"/>
    <mergeCell ref="O12:Q14"/>
    <mergeCell ref="N16:N18"/>
    <mergeCell ref="AE18:AE20"/>
    <mergeCell ref="W18:W20"/>
    <mergeCell ref="Z134:Z136"/>
    <mergeCell ref="N133:N135"/>
    <mergeCell ref="G85:J85"/>
    <mergeCell ref="W51:W53"/>
    <mergeCell ref="AG42:AG44"/>
    <mergeCell ref="W41:W43"/>
    <mergeCell ref="N48:N50"/>
    <mergeCell ref="E85:F85"/>
    <mergeCell ref="G80:J80"/>
    <mergeCell ref="Q151:R151"/>
    <mergeCell ref="N151:O151"/>
    <mergeCell ref="K151:L151"/>
    <mergeCell ref="J143:K143"/>
    <mergeCell ref="J144:K144"/>
    <mergeCell ref="H98:I98"/>
    <mergeCell ref="K97:K98"/>
  </mergeCells>
  <conditionalFormatting sqref="A1 U12:V12">
    <cfRule type="cellIs" dxfId="487" priority="424" operator="equal">
      <formula>0</formula>
    </cfRule>
    <cfRule type="cellIs" dxfId="486" priority="425" operator="equal">
      <formula>1</formula>
    </cfRule>
  </conditionalFormatting>
  <conditionalFormatting sqref="A3">
    <cfRule type="cellIs" dxfId="485" priority="426" operator="equal">
      <formula>0</formula>
    </cfRule>
    <cfRule type="cellIs" dxfId="484" priority="427" operator="equal">
      <formula>1</formula>
    </cfRule>
  </conditionalFormatting>
  <conditionalFormatting sqref="A5">
    <cfRule type="cellIs" dxfId="483" priority="428" operator="equal">
      <formula>0</formula>
    </cfRule>
    <cfRule type="cellIs" dxfId="482" priority="429" operator="equal">
      <formula>1</formula>
    </cfRule>
  </conditionalFormatting>
  <conditionalFormatting sqref="A7">
    <cfRule type="cellIs" dxfId="481" priority="430" operator="equal">
      <formula>0</formula>
    </cfRule>
    <cfRule type="cellIs" dxfId="480" priority="431" operator="equal">
      <formula>1</formula>
    </cfRule>
  </conditionalFormatting>
  <conditionalFormatting sqref="A9">
    <cfRule type="cellIs" dxfId="479" priority="432" operator="equal">
      <formula>0</formula>
    </cfRule>
    <cfRule type="cellIs" dxfId="478" priority="433" operator="equal">
      <formula>1</formula>
    </cfRule>
  </conditionalFormatting>
  <conditionalFormatting sqref="A11 R71:R72">
    <cfRule type="cellIs" dxfId="477" priority="434" operator="equal">
      <formula>0</formula>
    </cfRule>
    <cfRule type="cellIs" dxfId="476" priority="435" operator="equal">
      <formula>1</formula>
    </cfRule>
  </conditionalFormatting>
  <conditionalFormatting sqref="A13">
    <cfRule type="cellIs" dxfId="475" priority="436" operator="equal">
      <formula>0</formula>
    </cfRule>
    <cfRule type="cellIs" dxfId="474" priority="437" operator="equal">
      <formula>1</formula>
    </cfRule>
  </conditionalFormatting>
  <conditionalFormatting sqref="A15">
    <cfRule type="cellIs" dxfId="473" priority="438" operator="equal">
      <formula>0</formula>
    </cfRule>
    <cfRule type="cellIs" dxfId="472" priority="439" operator="equal">
      <formula>1</formula>
    </cfRule>
  </conditionalFormatting>
  <conditionalFormatting sqref="A17">
    <cfRule type="cellIs" dxfId="471" priority="440" operator="equal">
      <formula>0</formula>
    </cfRule>
    <cfRule type="cellIs" dxfId="470" priority="441" operator="equal">
      <formula>1</formula>
    </cfRule>
  </conditionalFormatting>
  <conditionalFormatting sqref="A19">
    <cfRule type="cellIs" dxfId="469" priority="442" operator="equal">
      <formula>0</formula>
    </cfRule>
    <cfRule type="cellIs" dxfId="468" priority="443" operator="equal">
      <formula>1</formula>
    </cfRule>
  </conditionalFormatting>
  <conditionalFormatting sqref="A21">
    <cfRule type="cellIs" dxfId="467" priority="444" operator="equal">
      <formula>0</formula>
    </cfRule>
    <cfRule type="cellIs" dxfId="466" priority="445" operator="equal">
      <formula>1</formula>
    </cfRule>
  </conditionalFormatting>
  <conditionalFormatting sqref="C1">
    <cfRule type="cellIs" dxfId="465" priority="446" operator="equal">
      <formula>0</formula>
    </cfRule>
    <cfRule type="cellIs" dxfId="464" priority="447" operator="equal">
      <formula>1</formula>
    </cfRule>
  </conditionalFormatting>
  <conditionalFormatting sqref="C3">
    <cfRule type="cellIs" dxfId="463" priority="448" operator="equal">
      <formula>0</formula>
    </cfRule>
    <cfRule type="cellIs" dxfId="462" priority="449" operator="equal">
      <formula>1</formula>
    </cfRule>
  </conditionalFormatting>
  <conditionalFormatting sqref="E1">
    <cfRule type="cellIs" dxfId="461" priority="450" operator="equal">
      <formula>0</formula>
    </cfRule>
    <cfRule type="cellIs" dxfId="460" priority="451" operator="equal">
      <formula>1</formula>
    </cfRule>
  </conditionalFormatting>
  <conditionalFormatting sqref="F87">
    <cfRule type="cellIs" dxfId="459" priority="58" operator="equal">
      <formula>0</formula>
    </cfRule>
    <cfRule type="cellIs" dxfId="458" priority="59" operator="equal">
      <formula>1</formula>
    </cfRule>
  </conditionalFormatting>
  <conditionalFormatting sqref="F91:I94">
    <cfRule type="containsText" dxfId="457" priority="41" operator="containsText" text="0000">
      <formula>NOT(ISERROR(SEARCH("0000",F91)))</formula>
    </cfRule>
    <cfRule type="cellIs" dxfId="456" priority="42" operator="greaterThan">
      <formula>0</formula>
    </cfRule>
  </conditionalFormatting>
  <conditionalFormatting sqref="G12">
    <cfRule type="cellIs" dxfId="455" priority="452" operator="equal">
      <formula>0</formula>
    </cfRule>
    <cfRule type="cellIs" dxfId="454" priority="453" operator="equal">
      <formula>1</formula>
    </cfRule>
  </conditionalFormatting>
  <conditionalFormatting sqref="G14">
    <cfRule type="cellIs" dxfId="453" priority="454" operator="equal">
      <formula>0</formula>
    </cfRule>
    <cfRule type="cellIs" dxfId="452" priority="455" operator="equal">
      <formula>1</formula>
    </cfRule>
  </conditionalFormatting>
  <conditionalFormatting sqref="H20">
    <cfRule type="cellIs" dxfId="451" priority="514" operator="equal">
      <formula>0</formula>
    </cfRule>
    <cfRule type="cellIs" dxfId="450" priority="515" operator="equal">
      <formula>1</formula>
    </cfRule>
  </conditionalFormatting>
  <conditionalFormatting sqref="H32">
    <cfRule type="cellIs" dxfId="449" priority="538" operator="equal">
      <formula>0</formula>
    </cfRule>
    <cfRule type="cellIs" dxfId="448" priority="539" operator="equal">
      <formula>1</formula>
    </cfRule>
  </conditionalFormatting>
  <conditionalFormatting sqref="H44">
    <cfRule type="cellIs" dxfId="447" priority="562" operator="equal">
      <formula>0</formula>
    </cfRule>
    <cfRule type="cellIs" dxfId="446" priority="563" operator="equal">
      <formula>1</formula>
    </cfRule>
  </conditionalFormatting>
  <conditionalFormatting sqref="H56">
    <cfRule type="cellIs" dxfId="445" priority="586" operator="equal">
      <formula>0</formula>
    </cfRule>
    <cfRule type="cellIs" dxfId="444" priority="587" operator="equal">
      <formula>1</formula>
    </cfRule>
  </conditionalFormatting>
  <conditionalFormatting sqref="H68">
    <cfRule type="cellIs" dxfId="443" priority="602" operator="equal">
      <formula>0</formula>
    </cfRule>
    <cfRule type="cellIs" dxfId="442" priority="603" operator="equal">
      <formula>1</formula>
    </cfRule>
  </conditionalFormatting>
  <conditionalFormatting sqref="H97">
    <cfRule type="cellIs" dxfId="441" priority="212" operator="equal">
      <formula>0</formula>
    </cfRule>
    <cfRule type="cellIs" dxfId="440" priority="213" operator="equal">
      <formula>1</formula>
    </cfRule>
  </conditionalFormatting>
  <conditionalFormatting sqref="H16:K17">
    <cfRule type="cellIs" dxfId="439" priority="600" operator="equal">
      <formula>0</formula>
    </cfRule>
    <cfRule type="cellIs" dxfId="438" priority="601" operator="equal">
      <formula>1</formula>
    </cfRule>
  </conditionalFormatting>
  <conditionalFormatting sqref="H87:K89 AW90 AU90">
    <cfRule type="cellIs" dxfId="437" priority="33" operator="equal">
      <formula>0</formula>
    </cfRule>
    <cfRule type="cellIs" dxfId="436" priority="34" operator="greaterThanOrEqual">
      <formula>1</formula>
    </cfRule>
  </conditionalFormatting>
  <conditionalFormatting sqref="I12">
    <cfRule type="cellIs" dxfId="435" priority="460" operator="equal">
      <formula>0</formula>
    </cfRule>
    <cfRule type="cellIs" dxfId="434" priority="461" operator="equal">
      <formula>1</formula>
    </cfRule>
  </conditionalFormatting>
  <conditionalFormatting sqref="I14">
    <cfRule type="cellIs" dxfId="433" priority="462" operator="equal">
      <formula>0</formula>
    </cfRule>
    <cfRule type="cellIs" dxfId="432" priority="463" operator="equal">
      <formula>1</formula>
    </cfRule>
  </conditionalFormatting>
  <conditionalFormatting sqref="I23">
    <cfRule type="cellIs" dxfId="431" priority="504" operator="equal">
      <formula>0</formula>
    </cfRule>
    <cfRule type="cellIs" dxfId="430" priority="505" operator="equal">
      <formula>1</formula>
    </cfRule>
  </conditionalFormatting>
  <conditionalFormatting sqref="I25">
    <cfRule type="cellIs" dxfId="429" priority="512" operator="equal">
      <formula>0</formula>
    </cfRule>
    <cfRule type="cellIs" dxfId="428" priority="513" operator="equal">
      <formula>1</formula>
    </cfRule>
  </conditionalFormatting>
  <conditionalFormatting sqref="I28">
    <cfRule type="cellIs" dxfId="427" priority="520" operator="equal">
      <formula>0</formula>
    </cfRule>
    <cfRule type="cellIs" dxfId="426" priority="521" operator="equal">
      <formula>1</formula>
    </cfRule>
  </conditionalFormatting>
  <conditionalFormatting sqref="I30">
    <cfRule type="cellIs" dxfId="425" priority="526" operator="equal">
      <formula>0</formula>
    </cfRule>
    <cfRule type="cellIs" dxfId="424" priority="527" operator="equal">
      <formula>1</formula>
    </cfRule>
  </conditionalFormatting>
  <conditionalFormatting sqref="I35">
    <cfRule type="cellIs" dxfId="423" priority="528" operator="equal">
      <formula>0</formula>
    </cfRule>
    <cfRule type="cellIs" dxfId="422" priority="529" operator="equal">
      <formula>1</formula>
    </cfRule>
  </conditionalFormatting>
  <conditionalFormatting sqref="I37">
    <cfRule type="cellIs" dxfId="421" priority="536" operator="equal">
      <formula>0</formula>
    </cfRule>
    <cfRule type="cellIs" dxfId="420" priority="537" operator="equal">
      <formula>1</formula>
    </cfRule>
  </conditionalFormatting>
  <conditionalFormatting sqref="I40">
    <cfRule type="cellIs" dxfId="419" priority="544" operator="equal">
      <formula>0</formula>
    </cfRule>
    <cfRule type="cellIs" dxfId="418" priority="545" operator="equal">
      <formula>1</formula>
    </cfRule>
  </conditionalFormatting>
  <conditionalFormatting sqref="I42">
    <cfRule type="cellIs" dxfId="417" priority="550" operator="equal">
      <formula>0</formula>
    </cfRule>
    <cfRule type="cellIs" dxfId="416" priority="551" operator="equal">
      <formula>1</formula>
    </cfRule>
  </conditionalFormatting>
  <conditionalFormatting sqref="I47">
    <cfRule type="cellIs" dxfId="415" priority="552" operator="equal">
      <formula>0</formula>
    </cfRule>
    <cfRule type="cellIs" dxfId="414" priority="553" operator="equal">
      <formula>1</formula>
    </cfRule>
  </conditionalFormatting>
  <conditionalFormatting sqref="I49">
    <cfRule type="cellIs" dxfId="413" priority="560" operator="equal">
      <formula>0</formula>
    </cfRule>
    <cfRule type="cellIs" dxfId="412" priority="561" operator="equal">
      <formula>1</formula>
    </cfRule>
  </conditionalFormatting>
  <conditionalFormatting sqref="I52">
    <cfRule type="cellIs" dxfId="411" priority="568" operator="equal">
      <formula>0</formula>
    </cfRule>
    <cfRule type="cellIs" dxfId="410" priority="569" operator="equal">
      <formula>1</formula>
    </cfRule>
  </conditionalFormatting>
  <conditionalFormatting sqref="I54">
    <cfRule type="cellIs" dxfId="409" priority="574" operator="equal">
      <formula>0</formula>
    </cfRule>
    <cfRule type="cellIs" dxfId="408" priority="575" operator="equal">
      <formula>1</formula>
    </cfRule>
  </conditionalFormatting>
  <conditionalFormatting sqref="I59">
    <cfRule type="cellIs" dxfId="407" priority="576" operator="equal">
      <formula>0</formula>
    </cfRule>
    <cfRule type="cellIs" dxfId="406" priority="577" operator="equal">
      <formula>1</formula>
    </cfRule>
  </conditionalFormatting>
  <conditionalFormatting sqref="I61">
    <cfRule type="cellIs" dxfId="405" priority="584" operator="equal">
      <formula>0</formula>
    </cfRule>
    <cfRule type="cellIs" dxfId="404" priority="585" operator="equal">
      <formula>1</formula>
    </cfRule>
  </conditionalFormatting>
  <conditionalFormatting sqref="I64">
    <cfRule type="cellIs" dxfId="403" priority="592" operator="equal">
      <formula>0</formula>
    </cfRule>
    <cfRule type="cellIs" dxfId="402" priority="593" operator="equal">
      <formula>1</formula>
    </cfRule>
  </conditionalFormatting>
  <conditionalFormatting sqref="I66">
    <cfRule type="cellIs" dxfId="401" priority="598" operator="equal">
      <formula>0</formula>
    </cfRule>
    <cfRule type="cellIs" dxfId="400" priority="599" operator="equal">
      <formula>1</formula>
    </cfRule>
  </conditionalFormatting>
  <conditionalFormatting sqref="I143:I144">
    <cfRule type="cellIs" dxfId="399" priority="150" operator="equal">
      <formula>0</formula>
    </cfRule>
    <cfRule type="cellIs" dxfId="398" priority="151" operator="equal">
      <formula>1</formula>
    </cfRule>
  </conditionalFormatting>
  <conditionalFormatting sqref="J4:J5">
    <cfRule type="cellIs" dxfId="397" priority="468" operator="equal">
      <formula>0</formula>
    </cfRule>
    <cfRule type="cellIs" dxfId="396" priority="469" operator="equal">
      <formula>1</formula>
    </cfRule>
  </conditionalFormatting>
  <conditionalFormatting sqref="J7">
    <cfRule type="cellIs" dxfId="395" priority="470" operator="equal">
      <formula>0</formula>
    </cfRule>
    <cfRule type="cellIs" dxfId="394" priority="471" operator="equal">
      <formula>1</formula>
    </cfRule>
  </conditionalFormatting>
  <conditionalFormatting sqref="J9">
    <cfRule type="cellIs" dxfId="393" priority="472" operator="equal">
      <formula>0</formula>
    </cfRule>
    <cfRule type="cellIs" dxfId="392" priority="473" operator="equal">
      <formula>1</formula>
    </cfRule>
  </conditionalFormatting>
  <conditionalFormatting sqref="J20">
    <cfRule type="cellIs" dxfId="391" priority="516" operator="equal">
      <formula>0</formula>
    </cfRule>
    <cfRule type="cellIs" dxfId="390" priority="517" operator="equal">
      <formula>1</formula>
    </cfRule>
  </conditionalFormatting>
  <conditionalFormatting sqref="J26">
    <cfRule type="cellIs" dxfId="389" priority="510" operator="equal">
      <formula>0</formula>
    </cfRule>
    <cfRule type="cellIs" dxfId="388" priority="511" operator="equal">
      <formula>1</formula>
    </cfRule>
  </conditionalFormatting>
  <conditionalFormatting sqref="J32">
    <cfRule type="cellIs" dxfId="387" priority="540" operator="equal">
      <formula>0</formula>
    </cfRule>
    <cfRule type="cellIs" dxfId="386" priority="541" operator="equal">
      <formula>1</formula>
    </cfRule>
  </conditionalFormatting>
  <conditionalFormatting sqref="J38">
    <cfRule type="cellIs" dxfId="385" priority="534" operator="equal">
      <formula>0</formula>
    </cfRule>
    <cfRule type="cellIs" dxfId="384" priority="535" operator="equal">
      <formula>1</formula>
    </cfRule>
  </conditionalFormatting>
  <conditionalFormatting sqref="J44">
    <cfRule type="cellIs" dxfId="383" priority="564" operator="equal">
      <formula>0</formula>
    </cfRule>
    <cfRule type="cellIs" dxfId="382" priority="565" operator="equal">
      <formula>1</formula>
    </cfRule>
  </conditionalFormatting>
  <conditionalFormatting sqref="J50">
    <cfRule type="cellIs" dxfId="381" priority="558" operator="equal">
      <formula>0</formula>
    </cfRule>
    <cfRule type="cellIs" dxfId="380" priority="559" operator="equal">
      <formula>1</formula>
    </cfRule>
  </conditionalFormatting>
  <conditionalFormatting sqref="J56">
    <cfRule type="cellIs" dxfId="379" priority="588" operator="equal">
      <formula>0</formula>
    </cfRule>
    <cfRule type="cellIs" dxfId="378" priority="589" operator="equal">
      <formula>1</formula>
    </cfRule>
  </conditionalFormatting>
  <conditionalFormatting sqref="J62">
    <cfRule type="cellIs" dxfId="377" priority="582" operator="equal">
      <formula>0</formula>
    </cfRule>
    <cfRule type="cellIs" dxfId="376" priority="583" operator="equal">
      <formula>1</formula>
    </cfRule>
  </conditionalFormatting>
  <conditionalFormatting sqref="J97">
    <cfRule type="cellIs" dxfId="375" priority="210" operator="equal">
      <formula>0</formula>
    </cfRule>
    <cfRule type="cellIs" dxfId="374" priority="211" operator="equal">
      <formula>1</formula>
    </cfRule>
  </conditionalFormatting>
  <conditionalFormatting sqref="J151">
    <cfRule type="cellIs" dxfId="373" priority="64" operator="equal">
      <formula>0</formula>
    </cfRule>
    <cfRule type="cellIs" dxfId="372" priority="65" operator="equal">
      <formula>1</formula>
    </cfRule>
  </conditionalFormatting>
  <conditionalFormatting sqref="J105:K105">
    <cfRule type="cellIs" dxfId="371" priority="154" operator="equal">
      <formula>0</formula>
    </cfRule>
    <cfRule type="cellIs" dxfId="370" priority="155" operator="equal">
      <formula>1</formula>
    </cfRule>
  </conditionalFormatting>
  <conditionalFormatting sqref="J115:K115">
    <cfRule type="cellIs" dxfId="369" priority="168" operator="equal">
      <formula>0</formula>
    </cfRule>
    <cfRule type="cellIs" dxfId="368" priority="169" operator="equal">
      <formula>1</formula>
    </cfRule>
  </conditionalFormatting>
  <conditionalFormatting sqref="J125:K125">
    <cfRule type="cellIs" dxfId="367" priority="182" operator="equal">
      <formula>0</formula>
    </cfRule>
    <cfRule type="cellIs" dxfId="366" priority="183" operator="equal">
      <formula>1</formula>
    </cfRule>
  </conditionalFormatting>
  <conditionalFormatting sqref="J135:K135">
    <cfRule type="cellIs" dxfId="365" priority="196" operator="equal">
      <formula>0</formula>
    </cfRule>
    <cfRule type="cellIs" dxfId="364" priority="197" operator="equal">
      <formula>1</formula>
    </cfRule>
  </conditionalFormatting>
  <conditionalFormatting sqref="J102:L102">
    <cfRule type="cellIs" dxfId="363" priority="156" operator="equal">
      <formula>0</formula>
    </cfRule>
    <cfRule type="cellIs" dxfId="362" priority="157" operator="equal">
      <formula>1</formula>
    </cfRule>
  </conditionalFormatting>
  <conditionalFormatting sqref="J112:L112">
    <cfRule type="cellIs" dxfId="361" priority="170" operator="equal">
      <formula>0</formula>
    </cfRule>
    <cfRule type="cellIs" dxfId="360" priority="171" operator="equal">
      <formula>1</formula>
    </cfRule>
  </conditionalFormatting>
  <conditionalFormatting sqref="J122:L122">
    <cfRule type="cellIs" dxfId="359" priority="184" operator="equal">
      <formula>0</formula>
    </cfRule>
    <cfRule type="cellIs" dxfId="358" priority="185" operator="equal">
      <formula>1</formula>
    </cfRule>
  </conditionalFormatting>
  <conditionalFormatting sqref="J132:L132">
    <cfRule type="cellIs" dxfId="357" priority="198" operator="equal">
      <formula>0</formula>
    </cfRule>
    <cfRule type="cellIs" dxfId="356" priority="199" operator="equal">
      <formula>1</formula>
    </cfRule>
  </conditionalFormatting>
  <conditionalFormatting sqref="J68:M68">
    <cfRule type="cellIs" dxfId="355" priority="604" operator="equal">
      <formula>0</formula>
    </cfRule>
    <cfRule type="cellIs" dxfId="354" priority="605" operator="equal">
      <formula>1</formula>
    </cfRule>
  </conditionalFormatting>
  <conditionalFormatting sqref="K6">
    <cfRule type="cellIs" dxfId="353" priority="478" operator="equal">
      <formula>0</formula>
    </cfRule>
    <cfRule type="cellIs" dxfId="352" priority="479" operator="equal">
      <formula>1</formula>
    </cfRule>
  </conditionalFormatting>
  <conditionalFormatting sqref="K8">
    <cfRule type="cellIs" dxfId="351" priority="480" operator="equal">
      <formula>0</formula>
    </cfRule>
    <cfRule type="cellIs" dxfId="350" priority="481" operator="equal">
      <formula>1</formula>
    </cfRule>
  </conditionalFormatting>
  <conditionalFormatting sqref="K12">
    <cfRule type="cellIs" dxfId="349" priority="482" operator="equal">
      <formula>0</formula>
    </cfRule>
    <cfRule type="cellIs" dxfId="348" priority="483" operator="equal">
      <formula>1</formula>
    </cfRule>
  </conditionalFormatting>
  <conditionalFormatting sqref="K14">
    <cfRule type="cellIs" dxfId="347" priority="484" operator="equal">
      <formula>0</formula>
    </cfRule>
    <cfRule type="cellIs" dxfId="346" priority="485" operator="equal">
      <formula>1</formula>
    </cfRule>
  </conditionalFormatting>
  <conditionalFormatting sqref="K22">
    <cfRule type="cellIs" dxfId="345" priority="506" operator="equal">
      <formula>0</formula>
    </cfRule>
    <cfRule type="cellIs" dxfId="344" priority="507" operator="equal">
      <formula>1</formula>
    </cfRule>
  </conditionalFormatting>
  <conditionalFormatting sqref="K24">
    <cfRule type="cellIs" dxfId="343" priority="508" operator="equal">
      <formula>0</formula>
    </cfRule>
    <cfRule type="cellIs" dxfId="342" priority="509" operator="equal">
      <formula>1</formula>
    </cfRule>
  </conditionalFormatting>
  <conditionalFormatting sqref="K30">
    <cfRule type="cellIs" dxfId="341" priority="524" operator="equal">
      <formula>0</formula>
    </cfRule>
    <cfRule type="cellIs" dxfId="340" priority="525" operator="equal">
      <formula>1</formula>
    </cfRule>
  </conditionalFormatting>
  <conditionalFormatting sqref="K34">
    <cfRule type="cellIs" dxfId="339" priority="530" operator="equal">
      <formula>0</formula>
    </cfRule>
    <cfRule type="cellIs" dxfId="338" priority="531" operator="equal">
      <formula>1</formula>
    </cfRule>
  </conditionalFormatting>
  <conditionalFormatting sqref="K36">
    <cfRule type="cellIs" dxfId="337" priority="532" operator="equal">
      <formula>0</formula>
    </cfRule>
    <cfRule type="cellIs" dxfId="336" priority="533" operator="equal">
      <formula>1</formula>
    </cfRule>
  </conditionalFormatting>
  <conditionalFormatting sqref="K42">
    <cfRule type="cellIs" dxfId="335" priority="548" operator="equal">
      <formula>0</formula>
    </cfRule>
    <cfRule type="cellIs" dxfId="334" priority="549" operator="equal">
      <formula>1</formula>
    </cfRule>
  </conditionalFormatting>
  <conditionalFormatting sqref="K46">
    <cfRule type="cellIs" dxfId="333" priority="554" operator="equal">
      <formula>0</formula>
    </cfRule>
    <cfRule type="cellIs" dxfId="332" priority="555" operator="equal">
      <formula>1</formula>
    </cfRule>
  </conditionalFormatting>
  <conditionalFormatting sqref="K48">
    <cfRule type="cellIs" dxfId="331" priority="556" operator="equal">
      <formula>0</formula>
    </cfRule>
    <cfRule type="cellIs" dxfId="330" priority="557" operator="equal">
      <formula>1</formula>
    </cfRule>
  </conditionalFormatting>
  <conditionalFormatting sqref="K54">
    <cfRule type="cellIs" dxfId="329" priority="572" operator="equal">
      <formula>0</formula>
    </cfRule>
    <cfRule type="cellIs" dxfId="328" priority="573" operator="equal">
      <formula>1</formula>
    </cfRule>
  </conditionalFormatting>
  <conditionalFormatting sqref="K58">
    <cfRule type="cellIs" dxfId="327" priority="578" operator="equal">
      <formula>0</formula>
    </cfRule>
    <cfRule type="cellIs" dxfId="326" priority="579" operator="equal">
      <formula>1</formula>
    </cfRule>
  </conditionalFormatting>
  <conditionalFormatting sqref="K60">
    <cfRule type="cellIs" dxfId="325" priority="580" operator="equal">
      <formula>0</formula>
    </cfRule>
    <cfRule type="cellIs" dxfId="324" priority="581" operator="equal">
      <formula>1</formula>
    </cfRule>
  </conditionalFormatting>
  <conditionalFormatting sqref="K66">
    <cfRule type="cellIs" dxfId="323" priority="596" operator="equal">
      <formula>0</formula>
    </cfRule>
    <cfRule type="cellIs" dxfId="322" priority="597" operator="equal">
      <formula>1</formula>
    </cfRule>
  </conditionalFormatting>
  <conditionalFormatting sqref="K107">
    <cfRule type="cellIs" dxfId="321" priority="158" operator="equal">
      <formula>0</formula>
    </cfRule>
    <cfRule type="cellIs" dxfId="320" priority="159" operator="equal">
      <formula>1</formula>
    </cfRule>
  </conditionalFormatting>
  <conditionalFormatting sqref="K109">
    <cfRule type="cellIs" dxfId="319" priority="160" operator="equal">
      <formula>0</formula>
    </cfRule>
    <cfRule type="cellIs" dxfId="318" priority="161" operator="equal">
      <formula>1</formula>
    </cfRule>
  </conditionalFormatting>
  <conditionalFormatting sqref="K117">
    <cfRule type="cellIs" dxfId="317" priority="172" operator="equal">
      <formula>0</formula>
    </cfRule>
    <cfRule type="cellIs" dxfId="316" priority="173" operator="equal">
      <formula>1</formula>
    </cfRule>
  </conditionalFormatting>
  <conditionalFormatting sqref="K119">
    <cfRule type="cellIs" dxfId="315" priority="174" operator="equal">
      <formula>0</formula>
    </cfRule>
    <cfRule type="cellIs" dxfId="314" priority="175" operator="equal">
      <formula>1</formula>
    </cfRule>
  </conditionalFormatting>
  <conditionalFormatting sqref="K127">
    <cfRule type="cellIs" dxfId="313" priority="186" operator="equal">
      <formula>0</formula>
    </cfRule>
    <cfRule type="cellIs" dxfId="312" priority="187" operator="equal">
      <formula>1</formula>
    </cfRule>
  </conditionalFormatting>
  <conditionalFormatting sqref="K129">
    <cfRule type="cellIs" dxfId="311" priority="188" operator="equal">
      <formula>0</formula>
    </cfRule>
    <cfRule type="cellIs" dxfId="310" priority="189" operator="equal">
      <formula>1</formula>
    </cfRule>
  </conditionalFormatting>
  <conditionalFormatting sqref="K137">
    <cfRule type="cellIs" dxfId="309" priority="200" operator="equal">
      <formula>0</formula>
    </cfRule>
    <cfRule type="cellIs" dxfId="308" priority="201" operator="equal">
      <formula>1</formula>
    </cfRule>
  </conditionalFormatting>
  <conditionalFormatting sqref="K139:L139">
    <cfRule type="cellIs" dxfId="307" priority="194" operator="equal">
      <formula>0</formula>
    </cfRule>
    <cfRule type="cellIs" dxfId="306" priority="195" operator="equal">
      <formula>1</formula>
    </cfRule>
  </conditionalFormatting>
  <conditionalFormatting sqref="L20">
    <cfRule type="cellIs" dxfId="305" priority="518" operator="equal">
      <formula>0</formula>
    </cfRule>
    <cfRule type="cellIs" dxfId="304" priority="519" operator="equal">
      <formula>1</formula>
    </cfRule>
  </conditionalFormatting>
  <conditionalFormatting sqref="L23">
    <cfRule type="cellIs" dxfId="303" priority="522" operator="equal">
      <formula>0</formula>
    </cfRule>
    <cfRule type="cellIs" dxfId="302" priority="523" operator="equal">
      <formula>1</formula>
    </cfRule>
  </conditionalFormatting>
  <conditionalFormatting sqref="L32">
    <cfRule type="cellIs" dxfId="301" priority="542" operator="equal">
      <formula>0</formula>
    </cfRule>
    <cfRule type="cellIs" dxfId="300" priority="543" operator="equal">
      <formula>1</formula>
    </cfRule>
  </conditionalFormatting>
  <conditionalFormatting sqref="L35">
    <cfRule type="cellIs" dxfId="299" priority="546" operator="equal">
      <formula>0</formula>
    </cfRule>
    <cfRule type="cellIs" dxfId="298" priority="547" operator="equal">
      <formula>1</formula>
    </cfRule>
  </conditionalFormatting>
  <conditionalFormatting sqref="L44">
    <cfRule type="cellIs" dxfId="297" priority="566" operator="equal">
      <formula>0</formula>
    </cfRule>
    <cfRule type="cellIs" dxfId="296" priority="567" operator="equal">
      <formula>1</formula>
    </cfRule>
  </conditionalFormatting>
  <conditionalFormatting sqref="L47">
    <cfRule type="cellIs" dxfId="295" priority="570" operator="equal">
      <formula>0</formula>
    </cfRule>
    <cfRule type="cellIs" dxfId="294" priority="571" operator="equal">
      <formula>1</formula>
    </cfRule>
  </conditionalFormatting>
  <conditionalFormatting sqref="L56">
    <cfRule type="cellIs" dxfId="293" priority="590" operator="equal">
      <formula>0</formula>
    </cfRule>
    <cfRule type="cellIs" dxfId="292" priority="591" operator="equal">
      <formula>1</formula>
    </cfRule>
  </conditionalFormatting>
  <conditionalFormatting sqref="L59">
    <cfRule type="cellIs" dxfId="291" priority="594" operator="equal">
      <formula>0</formula>
    </cfRule>
    <cfRule type="cellIs" dxfId="290" priority="595" operator="equal">
      <formula>1</formula>
    </cfRule>
  </conditionalFormatting>
  <conditionalFormatting sqref="L100">
    <cfRule type="cellIs" dxfId="289" priority="208" operator="equal">
      <formula>0</formula>
    </cfRule>
    <cfRule type="cellIs" dxfId="288" priority="209" operator="equal">
      <formula>1</formula>
    </cfRule>
  </conditionalFormatting>
  <conditionalFormatting sqref="L104">
    <cfRule type="cellIs" dxfId="287" priority="162" operator="equal">
      <formula>0</formula>
    </cfRule>
    <cfRule type="cellIs" dxfId="286" priority="163" operator="equal">
      <formula>1</formula>
    </cfRule>
  </conditionalFormatting>
  <conditionalFormatting sqref="L106">
    <cfRule type="cellIs" dxfId="285" priority="164" operator="equal">
      <formula>0</formula>
    </cfRule>
    <cfRule type="cellIs" dxfId="284" priority="165" operator="equal">
      <formula>1</formula>
    </cfRule>
  </conditionalFormatting>
  <conditionalFormatting sqref="L109:L110">
    <cfRule type="cellIs" dxfId="283" priority="152" operator="equal">
      <formula>0</formula>
    </cfRule>
    <cfRule type="cellIs" dxfId="282" priority="153" operator="equal">
      <formula>1</formula>
    </cfRule>
  </conditionalFormatting>
  <conditionalFormatting sqref="L114">
    <cfRule type="cellIs" dxfId="281" priority="176" operator="equal">
      <formula>0</formula>
    </cfRule>
    <cfRule type="cellIs" dxfId="280" priority="177" operator="equal">
      <formula>1</formula>
    </cfRule>
  </conditionalFormatting>
  <conditionalFormatting sqref="L116">
    <cfRule type="cellIs" dxfId="279" priority="178" operator="equal">
      <formula>0</formula>
    </cfRule>
    <cfRule type="cellIs" dxfId="278" priority="179" operator="equal">
      <formula>1</formula>
    </cfRule>
  </conditionalFormatting>
  <conditionalFormatting sqref="L119:L120">
    <cfRule type="cellIs" dxfId="277" priority="166" operator="equal">
      <formula>0</formula>
    </cfRule>
    <cfRule type="cellIs" dxfId="276" priority="167" operator="equal">
      <formula>1</formula>
    </cfRule>
  </conditionalFormatting>
  <conditionalFormatting sqref="L124">
    <cfRule type="cellIs" dxfId="275" priority="190" operator="equal">
      <formula>0</formula>
    </cfRule>
    <cfRule type="cellIs" dxfId="274" priority="191" operator="equal">
      <formula>1</formula>
    </cfRule>
  </conditionalFormatting>
  <conditionalFormatting sqref="L126">
    <cfRule type="cellIs" dxfId="273" priority="192" operator="equal">
      <formula>0</formula>
    </cfRule>
    <cfRule type="cellIs" dxfId="272" priority="193" operator="equal">
      <formula>1</formula>
    </cfRule>
  </conditionalFormatting>
  <conditionalFormatting sqref="L129:L130">
    <cfRule type="cellIs" dxfId="271" priority="180" operator="equal">
      <formula>0</formula>
    </cfRule>
    <cfRule type="cellIs" dxfId="270" priority="181" operator="equal">
      <formula>1</formula>
    </cfRule>
  </conditionalFormatting>
  <conditionalFormatting sqref="L134">
    <cfRule type="cellIs" dxfId="269" priority="202" operator="equal">
      <formula>0</formula>
    </cfRule>
    <cfRule type="cellIs" dxfId="268" priority="203" operator="equal">
      <formula>1</formula>
    </cfRule>
  </conditionalFormatting>
  <conditionalFormatting sqref="L136">
    <cfRule type="cellIs" dxfId="267" priority="204" operator="equal">
      <formula>0</formula>
    </cfRule>
    <cfRule type="cellIs" dxfId="266" priority="205" operator="equal">
      <formula>1</formula>
    </cfRule>
  </conditionalFormatting>
  <conditionalFormatting sqref="L97:O98">
    <cfRule type="cellIs" dxfId="265" priority="214" operator="equal">
      <formula>0</formula>
    </cfRule>
    <cfRule type="cellIs" dxfId="264" priority="215" operator="equal">
      <formula>1</formula>
    </cfRule>
  </conditionalFormatting>
  <conditionalFormatting sqref="L144:O144">
    <cfRule type="cellIs" dxfId="263" priority="206" operator="equal">
      <formula>0</formula>
    </cfRule>
    <cfRule type="cellIs" dxfId="262" priority="207" operator="equal">
      <formula>1</formula>
    </cfRule>
  </conditionalFormatting>
  <conditionalFormatting sqref="M12">
    <cfRule type="cellIs" dxfId="261" priority="486" operator="equal">
      <formula>0</formula>
    </cfRule>
    <cfRule type="cellIs" dxfId="260" priority="487" operator="equal">
      <formula>1</formula>
    </cfRule>
  </conditionalFormatting>
  <conditionalFormatting sqref="M14">
    <cfRule type="cellIs" dxfId="259" priority="488" operator="equal">
      <formula>0</formula>
    </cfRule>
    <cfRule type="cellIs" dxfId="258" priority="489" operator="equal">
      <formula>1</formula>
    </cfRule>
  </conditionalFormatting>
  <conditionalFormatting sqref="M151">
    <cfRule type="cellIs" dxfId="257" priority="66" operator="equal">
      <formula>0</formula>
    </cfRule>
    <cfRule type="cellIs" dxfId="256" priority="67" operator="equal">
      <formula>1</formula>
    </cfRule>
  </conditionalFormatting>
  <conditionalFormatting sqref="P151">
    <cfRule type="cellIs" dxfId="255" priority="68" operator="equal">
      <formula>0</formula>
    </cfRule>
    <cfRule type="cellIs" dxfId="254" priority="69" operator="equal">
      <formula>1</formula>
    </cfRule>
  </conditionalFormatting>
  <conditionalFormatting sqref="R16">
    <cfRule type="cellIs" dxfId="253" priority="406" operator="equal">
      <formula>0</formula>
    </cfRule>
    <cfRule type="cellIs" dxfId="252" priority="407" operator="equal">
      <formula>1</formula>
    </cfRule>
  </conditionalFormatting>
  <conditionalFormatting sqref="R23">
    <cfRule type="cellIs" dxfId="251" priority="702" operator="equal">
      <formula>0</formula>
    </cfRule>
    <cfRule type="cellIs" dxfId="250" priority="703" operator="equal">
      <formula>1</formula>
    </cfRule>
  </conditionalFormatting>
  <conditionalFormatting sqref="R25:U26">
    <cfRule type="cellIs" dxfId="249" priority="662" operator="equal">
      <formula>0</formula>
    </cfRule>
    <cfRule type="cellIs" dxfId="248" priority="663" operator="equal">
      <formula>1</formula>
    </cfRule>
  </conditionalFormatting>
  <conditionalFormatting sqref="S20">
    <cfRule type="cellIs" dxfId="247" priority="706" operator="equal">
      <formula>0</formula>
    </cfRule>
    <cfRule type="cellIs" dxfId="246" priority="707" operator="equal">
      <formula>1</formula>
    </cfRule>
  </conditionalFormatting>
  <conditionalFormatting sqref="S110">
    <cfRule type="cellIs" dxfId="245" priority="134" operator="equal">
      <formula>0</formula>
    </cfRule>
    <cfRule type="cellIs" dxfId="244" priority="135" operator="equal">
      <formula>1</formula>
    </cfRule>
  </conditionalFormatting>
  <conditionalFormatting sqref="S112">
    <cfRule type="cellIs" dxfId="243" priority="130" operator="equal">
      <formula>0</formula>
    </cfRule>
    <cfRule type="cellIs" dxfId="242" priority="131" operator="equal">
      <formula>1</formula>
    </cfRule>
  </conditionalFormatting>
  <conditionalFormatting sqref="S114">
    <cfRule type="cellIs" dxfId="241" priority="128" operator="equal">
      <formula>0</formula>
    </cfRule>
    <cfRule type="cellIs" dxfId="240" priority="129" operator="equal">
      <formula>1</formula>
    </cfRule>
  </conditionalFormatting>
  <conditionalFormatting sqref="S116">
    <cfRule type="cellIs" dxfId="239" priority="124" operator="equal">
      <formula>0</formula>
    </cfRule>
    <cfRule type="cellIs" dxfId="238" priority="125" operator="equal">
      <formula>1</formula>
    </cfRule>
  </conditionalFormatting>
  <conditionalFormatting sqref="S118">
    <cfRule type="cellIs" dxfId="237" priority="122" operator="equal">
      <formula>0</formula>
    </cfRule>
    <cfRule type="cellIs" dxfId="236" priority="123" operator="equal">
      <formula>1</formula>
    </cfRule>
  </conditionalFormatting>
  <conditionalFormatting sqref="S120">
    <cfRule type="cellIs" dxfId="235" priority="118" operator="equal">
      <formula>0</formula>
    </cfRule>
    <cfRule type="cellIs" dxfId="234" priority="119" operator="equal">
      <formula>1</formula>
    </cfRule>
  </conditionalFormatting>
  <conditionalFormatting sqref="S122">
    <cfRule type="cellIs" dxfId="233" priority="116" operator="equal">
      <formula>0</formula>
    </cfRule>
    <cfRule type="cellIs" dxfId="232" priority="117" operator="equal">
      <formula>1</formula>
    </cfRule>
  </conditionalFormatting>
  <conditionalFormatting sqref="S124">
    <cfRule type="cellIs" dxfId="231" priority="112" operator="equal">
      <formula>0</formula>
    </cfRule>
    <cfRule type="cellIs" dxfId="230" priority="113" operator="equal">
      <formula>1</formula>
    </cfRule>
  </conditionalFormatting>
  <conditionalFormatting sqref="S128">
    <cfRule type="cellIs" dxfId="229" priority="108" operator="equal">
      <formula>0</formula>
    </cfRule>
    <cfRule type="cellIs" dxfId="228" priority="109" operator="equal">
      <formula>1</formula>
    </cfRule>
  </conditionalFormatting>
  <conditionalFormatting sqref="S130">
    <cfRule type="cellIs" dxfId="227" priority="104" operator="equal">
      <formula>0</formula>
    </cfRule>
    <cfRule type="cellIs" dxfId="226" priority="105" operator="equal">
      <formula>1</formula>
    </cfRule>
  </conditionalFormatting>
  <conditionalFormatting sqref="S132">
    <cfRule type="cellIs" dxfId="225" priority="102" operator="equal">
      <formula>0</formula>
    </cfRule>
    <cfRule type="cellIs" dxfId="224" priority="103" operator="equal">
      <formula>1</formula>
    </cfRule>
  </conditionalFormatting>
  <conditionalFormatting sqref="S134">
    <cfRule type="cellIs" dxfId="223" priority="98" operator="equal">
      <formula>0</formula>
    </cfRule>
    <cfRule type="cellIs" dxfId="222" priority="99" operator="equal">
      <formula>1</formula>
    </cfRule>
  </conditionalFormatting>
  <conditionalFormatting sqref="S136">
    <cfRule type="cellIs" dxfId="221" priority="96" operator="equal">
      <formula>0</formula>
    </cfRule>
    <cfRule type="cellIs" dxfId="220" priority="97" operator="equal">
      <formula>1</formula>
    </cfRule>
  </conditionalFormatting>
  <conditionalFormatting sqref="S138">
    <cfRule type="cellIs" dxfId="219" priority="92" operator="equal">
      <formula>0</formula>
    </cfRule>
    <cfRule type="cellIs" dxfId="218" priority="93" operator="equal">
      <formula>1</formula>
    </cfRule>
  </conditionalFormatting>
  <conditionalFormatting sqref="S140">
    <cfRule type="cellIs" dxfId="217" priority="90" operator="equal">
      <formula>0</formula>
    </cfRule>
    <cfRule type="cellIs" dxfId="216" priority="91" operator="equal">
      <formula>1</formula>
    </cfRule>
  </conditionalFormatting>
  <conditionalFormatting sqref="S142">
    <cfRule type="cellIs" dxfId="215" priority="86" operator="equal">
      <formula>0</formula>
    </cfRule>
    <cfRule type="cellIs" dxfId="214" priority="87" operator="equal">
      <formula>1</formula>
    </cfRule>
  </conditionalFormatting>
  <conditionalFormatting sqref="S146:S149">
    <cfRule type="cellIs" dxfId="213" priority="76" operator="equal">
      <formula>0</formula>
    </cfRule>
    <cfRule type="cellIs" dxfId="212" priority="77" operator="equal">
      <formula>1</formula>
    </cfRule>
  </conditionalFormatting>
  <conditionalFormatting sqref="S151">
    <cfRule type="cellIs" dxfId="211" priority="74" operator="equal">
      <formula>0</formula>
    </cfRule>
    <cfRule type="cellIs" dxfId="210" priority="75" operator="equal">
      <formula>1</formula>
    </cfRule>
  </conditionalFormatting>
  <conditionalFormatting sqref="S33:T33">
    <cfRule type="cellIs" dxfId="209" priority="608" operator="equal">
      <formula>0</formula>
    </cfRule>
    <cfRule type="cellIs" dxfId="208" priority="609" operator="equal">
      <formula>1</formula>
    </cfRule>
  </conditionalFormatting>
  <conditionalFormatting sqref="S43:T43">
    <cfRule type="cellIs" dxfId="207" priority="622" operator="equal">
      <formula>0</formula>
    </cfRule>
    <cfRule type="cellIs" dxfId="206" priority="623" operator="equal">
      <formula>1</formula>
    </cfRule>
  </conditionalFormatting>
  <conditionalFormatting sqref="S53:T53">
    <cfRule type="cellIs" dxfId="205" priority="636" operator="equal">
      <formula>0</formula>
    </cfRule>
    <cfRule type="cellIs" dxfId="204" priority="637" operator="equal">
      <formula>1</formula>
    </cfRule>
  </conditionalFormatting>
  <conditionalFormatting sqref="S63:T63">
    <cfRule type="cellIs" dxfId="203" priority="650" operator="equal">
      <formula>0</formula>
    </cfRule>
    <cfRule type="cellIs" dxfId="202" priority="651" operator="equal">
      <formula>1</formula>
    </cfRule>
  </conditionalFormatting>
  <conditionalFormatting sqref="S30:U30">
    <cfRule type="cellIs" dxfId="201" priority="610" operator="equal">
      <formula>0</formula>
    </cfRule>
    <cfRule type="cellIs" dxfId="200" priority="611" operator="equal">
      <formula>1</formula>
    </cfRule>
  </conditionalFormatting>
  <conditionalFormatting sqref="S40:U40">
    <cfRule type="cellIs" dxfId="199" priority="624" operator="equal">
      <formula>0</formula>
    </cfRule>
    <cfRule type="cellIs" dxfId="198" priority="625" operator="equal">
      <formula>1</formula>
    </cfRule>
  </conditionalFormatting>
  <conditionalFormatting sqref="S50:U50">
    <cfRule type="cellIs" dxfId="197" priority="638" operator="equal">
      <formula>0</formula>
    </cfRule>
    <cfRule type="cellIs" dxfId="196" priority="639" operator="equal">
      <formula>1</formula>
    </cfRule>
  </conditionalFormatting>
  <conditionalFormatting sqref="S60:U60">
    <cfRule type="cellIs" dxfId="195" priority="652" operator="equal">
      <formula>0</formula>
    </cfRule>
    <cfRule type="cellIs" dxfId="194" priority="653" operator="equal">
      <formula>1</formula>
    </cfRule>
  </conditionalFormatting>
  <conditionalFormatting sqref="S101:V101">
    <cfRule type="cellIs" dxfId="193" priority="144" operator="equal">
      <formula>0</formula>
    </cfRule>
    <cfRule type="cellIs" dxfId="192" priority="145" operator="equal">
      <formula>1</formula>
    </cfRule>
  </conditionalFormatting>
  <conditionalFormatting sqref="S103:V103">
    <cfRule type="cellIs" dxfId="191" priority="146" operator="equal">
      <formula>0</formula>
    </cfRule>
    <cfRule type="cellIs" dxfId="190" priority="147" operator="equal">
      <formula>1</formula>
    </cfRule>
  </conditionalFormatting>
  <conditionalFormatting sqref="S106:V106">
    <cfRule type="cellIs" dxfId="189" priority="138" operator="equal">
      <formula>0</formula>
    </cfRule>
    <cfRule type="cellIs" dxfId="188" priority="139" operator="equal">
      <formula>1</formula>
    </cfRule>
  </conditionalFormatting>
  <conditionalFormatting sqref="S108:V108">
    <cfRule type="cellIs" dxfId="187" priority="140" operator="equal">
      <formula>0</formula>
    </cfRule>
    <cfRule type="cellIs" dxfId="186" priority="141" operator="equal">
      <formula>1</formula>
    </cfRule>
  </conditionalFormatting>
  <conditionalFormatting sqref="S126:V126">
    <cfRule type="cellIs" dxfId="185" priority="136" operator="equal">
      <formula>0</formula>
    </cfRule>
    <cfRule type="cellIs" dxfId="184" priority="137" operator="equal">
      <formula>1</formula>
    </cfRule>
  </conditionalFormatting>
  <conditionalFormatting sqref="S144:V144">
    <cfRule type="cellIs" dxfId="183" priority="110" operator="equal">
      <formula>0</formula>
    </cfRule>
    <cfRule type="cellIs" dxfId="182" priority="111" operator="equal">
      <formula>1</formula>
    </cfRule>
  </conditionalFormatting>
  <conditionalFormatting sqref="T16">
    <cfRule type="cellIs" dxfId="181" priority="404" operator="equal">
      <formula>0</formula>
    </cfRule>
    <cfRule type="cellIs" dxfId="180" priority="405" operator="equal">
      <formula>1</formula>
    </cfRule>
  </conditionalFormatting>
  <conditionalFormatting sqref="T18">
    <cfRule type="cellIs" dxfId="179" priority="708" operator="equal">
      <formula>0</formula>
    </cfRule>
    <cfRule type="cellIs" dxfId="178" priority="709" operator="equal">
      <formula>1</formula>
    </cfRule>
  </conditionalFormatting>
  <conditionalFormatting sqref="T23">
    <cfRule type="cellIs" dxfId="177" priority="704" operator="equal">
      <formula>0</formula>
    </cfRule>
    <cfRule type="cellIs" dxfId="176" priority="705" operator="equal">
      <formula>1</formula>
    </cfRule>
  </conditionalFormatting>
  <conditionalFormatting sqref="T35">
    <cfRule type="cellIs" dxfId="175" priority="612" operator="equal">
      <formula>0</formula>
    </cfRule>
    <cfRule type="cellIs" dxfId="174" priority="613" operator="equal">
      <formula>1</formula>
    </cfRule>
  </conditionalFormatting>
  <conditionalFormatting sqref="T37">
    <cfRule type="cellIs" dxfId="173" priority="614" operator="equal">
      <formula>0</formula>
    </cfRule>
    <cfRule type="cellIs" dxfId="172" priority="615" operator="equal">
      <formula>1</formula>
    </cfRule>
  </conditionalFormatting>
  <conditionalFormatting sqref="T45">
    <cfRule type="cellIs" dxfId="171" priority="626" operator="equal">
      <formula>0</formula>
    </cfRule>
    <cfRule type="cellIs" dxfId="170" priority="627" operator="equal">
      <formula>1</formula>
    </cfRule>
  </conditionalFormatting>
  <conditionalFormatting sqref="T47">
    <cfRule type="cellIs" dxfId="169" priority="628" operator="equal">
      <formula>0</formula>
    </cfRule>
    <cfRule type="cellIs" dxfId="168" priority="629" operator="equal">
      <formula>1</formula>
    </cfRule>
  </conditionalFormatting>
  <conditionalFormatting sqref="T55">
    <cfRule type="cellIs" dxfId="167" priority="640" operator="equal">
      <formula>0</formula>
    </cfRule>
    <cfRule type="cellIs" dxfId="166" priority="641" operator="equal">
      <formula>1</formula>
    </cfRule>
  </conditionalFormatting>
  <conditionalFormatting sqref="T57">
    <cfRule type="cellIs" dxfId="165" priority="642" operator="equal">
      <formula>0</formula>
    </cfRule>
    <cfRule type="cellIs" dxfId="164" priority="643" operator="equal">
      <formula>1</formula>
    </cfRule>
  </conditionalFormatting>
  <conditionalFormatting sqref="T65">
    <cfRule type="cellIs" dxfId="163" priority="654" operator="equal">
      <formula>0</formula>
    </cfRule>
    <cfRule type="cellIs" dxfId="162" priority="655" operator="equal">
      <formula>1</formula>
    </cfRule>
  </conditionalFormatting>
  <conditionalFormatting sqref="T8:U8">
    <cfRule type="cellIs" dxfId="161" priority="456" operator="equal">
      <formula>0</formula>
    </cfRule>
    <cfRule type="cellIs" dxfId="160" priority="457" operator="equal">
      <formula>1</formula>
    </cfRule>
  </conditionalFormatting>
  <conditionalFormatting sqref="T67:U67">
    <cfRule type="cellIs" dxfId="159" priority="648" operator="equal">
      <formula>0</formula>
    </cfRule>
    <cfRule type="cellIs" dxfId="158" priority="649" operator="equal">
      <formula>1</formula>
    </cfRule>
  </conditionalFormatting>
  <conditionalFormatting sqref="T111:U111">
    <cfRule type="cellIs" dxfId="157" priority="132" operator="equal">
      <formula>0</formula>
    </cfRule>
    <cfRule type="cellIs" dxfId="156" priority="133" operator="equal">
      <formula>1</formula>
    </cfRule>
  </conditionalFormatting>
  <conditionalFormatting sqref="T115:U115">
    <cfRule type="cellIs" dxfId="155" priority="126" operator="equal">
      <formula>0</formula>
    </cfRule>
    <cfRule type="cellIs" dxfId="154" priority="127" operator="equal">
      <formula>1</formula>
    </cfRule>
  </conditionalFormatting>
  <conditionalFormatting sqref="T119:U119">
    <cfRule type="cellIs" dxfId="153" priority="120" operator="equal">
      <formula>0</formula>
    </cfRule>
    <cfRule type="cellIs" dxfId="152" priority="121" operator="equal">
      <formula>1</formula>
    </cfRule>
  </conditionalFormatting>
  <conditionalFormatting sqref="T123:U123">
    <cfRule type="cellIs" dxfId="151" priority="114" operator="equal">
      <formula>0</formula>
    </cfRule>
    <cfRule type="cellIs" dxfId="150" priority="115" operator="equal">
      <formula>1</formula>
    </cfRule>
  </conditionalFormatting>
  <conditionalFormatting sqref="T129:U129">
    <cfRule type="cellIs" dxfId="149" priority="106" operator="equal">
      <formula>0</formula>
    </cfRule>
    <cfRule type="cellIs" dxfId="148" priority="107" operator="equal">
      <formula>1</formula>
    </cfRule>
  </conditionalFormatting>
  <conditionalFormatting sqref="T133:U133">
    <cfRule type="cellIs" dxfId="147" priority="100" operator="equal">
      <formula>0</formula>
    </cfRule>
    <cfRule type="cellIs" dxfId="146" priority="101" operator="equal">
      <formula>1</formula>
    </cfRule>
  </conditionalFormatting>
  <conditionalFormatting sqref="T137:U137">
    <cfRule type="cellIs" dxfId="145" priority="94" operator="equal">
      <formula>0</formula>
    </cfRule>
    <cfRule type="cellIs" dxfId="144" priority="95" operator="equal">
      <formula>1</formula>
    </cfRule>
  </conditionalFormatting>
  <conditionalFormatting sqref="T141:U141">
    <cfRule type="cellIs" dxfId="143" priority="88" operator="equal">
      <formula>0</formula>
    </cfRule>
    <cfRule type="cellIs" dxfId="142" priority="89" operator="equal">
      <formula>1</formula>
    </cfRule>
  </conditionalFormatting>
  <conditionalFormatting sqref="T5:V5">
    <cfRule type="cellIs" dxfId="141" priority="458" operator="equal">
      <formula>0</formula>
    </cfRule>
    <cfRule type="cellIs" dxfId="140" priority="459" operator="equal">
      <formula>1</formula>
    </cfRule>
  </conditionalFormatting>
  <conditionalFormatting sqref="U10">
    <cfRule type="cellIs" dxfId="139" priority="464" operator="equal">
      <formula>0</formula>
    </cfRule>
    <cfRule type="cellIs" dxfId="138" priority="465" operator="equal">
      <formula>1</formula>
    </cfRule>
  </conditionalFormatting>
  <conditionalFormatting sqref="U28">
    <cfRule type="cellIs" dxfId="137" priority="670" operator="equal">
      <formula>0</formula>
    </cfRule>
    <cfRule type="cellIs" dxfId="136" priority="671" operator="equal">
      <formula>1</formula>
    </cfRule>
  </conditionalFormatting>
  <conditionalFormatting sqref="U32">
    <cfRule type="cellIs" dxfId="135" priority="616" operator="equal">
      <formula>0</formula>
    </cfRule>
    <cfRule type="cellIs" dxfId="134" priority="617" operator="equal">
      <formula>1</formula>
    </cfRule>
  </conditionalFormatting>
  <conditionalFormatting sqref="U34">
    <cfRule type="cellIs" dxfId="133" priority="618" operator="equal">
      <formula>0</formula>
    </cfRule>
    <cfRule type="cellIs" dxfId="132" priority="619" operator="equal">
      <formula>1</formula>
    </cfRule>
  </conditionalFormatting>
  <conditionalFormatting sqref="U37:U38">
    <cfRule type="cellIs" dxfId="131" priority="606" operator="equal">
      <formula>0</formula>
    </cfRule>
    <cfRule type="cellIs" dxfId="130" priority="607" operator="equal">
      <formula>1</formula>
    </cfRule>
  </conditionalFormatting>
  <conditionalFormatting sqref="U42">
    <cfRule type="cellIs" dxfId="129" priority="630" operator="equal">
      <formula>0</formula>
    </cfRule>
    <cfRule type="cellIs" dxfId="128" priority="631" operator="equal">
      <formula>1</formula>
    </cfRule>
  </conditionalFormatting>
  <conditionalFormatting sqref="U44">
    <cfRule type="cellIs" dxfId="127" priority="632" operator="equal">
      <formula>0</formula>
    </cfRule>
    <cfRule type="cellIs" dxfId="126" priority="633" operator="equal">
      <formula>1</formula>
    </cfRule>
  </conditionalFormatting>
  <conditionalFormatting sqref="U47:U48">
    <cfRule type="cellIs" dxfId="125" priority="620" operator="equal">
      <formula>0</formula>
    </cfRule>
    <cfRule type="cellIs" dxfId="124" priority="621" operator="equal">
      <formula>1</formula>
    </cfRule>
  </conditionalFormatting>
  <conditionalFormatting sqref="U52">
    <cfRule type="cellIs" dxfId="123" priority="644" operator="equal">
      <formula>0</formula>
    </cfRule>
    <cfRule type="cellIs" dxfId="122" priority="645" operator="equal">
      <formula>1</formula>
    </cfRule>
  </conditionalFormatting>
  <conditionalFormatting sqref="U54">
    <cfRule type="cellIs" dxfId="121" priority="646" operator="equal">
      <formula>0</formula>
    </cfRule>
    <cfRule type="cellIs" dxfId="120" priority="647" operator="equal">
      <formula>1</formula>
    </cfRule>
  </conditionalFormatting>
  <conditionalFormatting sqref="U57:U58">
    <cfRule type="cellIs" dxfId="119" priority="634" operator="equal">
      <formula>0</formula>
    </cfRule>
    <cfRule type="cellIs" dxfId="118" priority="635" operator="equal">
      <formula>1</formula>
    </cfRule>
  </conditionalFormatting>
  <conditionalFormatting sqref="U62">
    <cfRule type="cellIs" dxfId="117" priority="658" operator="equal">
      <formula>0</formula>
    </cfRule>
    <cfRule type="cellIs" dxfId="116" priority="659" operator="equal">
      <formula>1</formula>
    </cfRule>
  </conditionalFormatting>
  <conditionalFormatting sqref="U64">
    <cfRule type="cellIs" dxfId="115" priority="660" operator="equal">
      <formula>0</formula>
    </cfRule>
    <cfRule type="cellIs" dxfId="114" priority="661" operator="equal">
      <formula>1</formula>
    </cfRule>
  </conditionalFormatting>
  <conditionalFormatting sqref="U72:X72">
    <cfRule type="cellIs" dxfId="113" priority="668" operator="equal">
      <formula>0</formula>
    </cfRule>
    <cfRule type="cellIs" dxfId="112" priority="669" operator="equal">
      <formula>1</formula>
    </cfRule>
  </conditionalFormatting>
  <conditionalFormatting sqref="U151:X151">
    <cfRule type="cellIs" dxfId="111" priority="72" operator="equal">
      <formula>0</formula>
    </cfRule>
    <cfRule type="cellIs" dxfId="110" priority="73" operator="equal">
      <formula>1</formula>
    </cfRule>
  </conditionalFormatting>
  <conditionalFormatting sqref="V7">
    <cfRule type="cellIs" dxfId="109" priority="474" operator="equal">
      <formula>0</formula>
    </cfRule>
    <cfRule type="cellIs" dxfId="108" priority="475" operator="equal">
      <formula>1</formula>
    </cfRule>
  </conditionalFormatting>
  <conditionalFormatting sqref="V9">
    <cfRule type="cellIs" dxfId="107" priority="476" operator="equal">
      <formula>0</formula>
    </cfRule>
    <cfRule type="cellIs" dxfId="106" priority="477" operator="equal">
      <formula>1</formula>
    </cfRule>
  </conditionalFormatting>
  <conditionalFormatting sqref="W25">
    <cfRule type="cellIs" dxfId="105" priority="664" operator="equal">
      <formula>0</formula>
    </cfRule>
    <cfRule type="cellIs" dxfId="104" priority="665" operator="equal">
      <formula>1</formula>
    </cfRule>
  </conditionalFormatting>
  <conditionalFormatting sqref="Z4">
    <cfRule type="cellIs" dxfId="103" priority="688" operator="equal">
      <formula>0</formula>
    </cfRule>
    <cfRule type="cellIs" dxfId="102" priority="689" operator="equal">
      <formula>1</formula>
    </cfRule>
  </conditionalFormatting>
  <conditionalFormatting sqref="Z16">
    <cfRule type="cellIs" dxfId="101" priority="490" operator="equal">
      <formula>0</formula>
    </cfRule>
    <cfRule type="cellIs" dxfId="100" priority="491" operator="equal">
      <formula>1</formula>
    </cfRule>
  </conditionalFormatting>
  <conditionalFormatting sqref="Z19">
    <cfRule type="cellIs" dxfId="99" priority="494" operator="equal">
      <formula>0</formula>
    </cfRule>
    <cfRule type="cellIs" dxfId="98" priority="495" operator="equal">
      <formula>1</formula>
    </cfRule>
  </conditionalFormatting>
  <conditionalFormatting sqref="Z21">
    <cfRule type="cellIs" dxfId="97" priority="496" operator="equal">
      <formula>0</formula>
    </cfRule>
    <cfRule type="cellIs" dxfId="96" priority="497" operator="equal">
      <formula>1</formula>
    </cfRule>
  </conditionalFormatting>
  <conditionalFormatting sqref="Z23">
    <cfRule type="cellIs" dxfId="95" priority="498" operator="equal">
      <formula>0</formula>
    </cfRule>
    <cfRule type="cellIs" dxfId="94" priority="499" operator="equal">
      <formula>1</formula>
    </cfRule>
  </conditionalFormatting>
  <conditionalFormatting sqref="AA7">
    <cfRule type="cellIs" dxfId="93" priority="678" operator="equal">
      <formula>0</formula>
    </cfRule>
    <cfRule type="cellIs" dxfId="92" priority="679" operator="equal">
      <formula>1</formula>
    </cfRule>
  </conditionalFormatting>
  <conditionalFormatting sqref="AA9">
    <cfRule type="cellIs" dxfId="91" priority="686" operator="equal">
      <formula>0</formula>
    </cfRule>
    <cfRule type="cellIs" dxfId="90" priority="687" operator="equal">
      <formula>1</formula>
    </cfRule>
  </conditionalFormatting>
  <conditionalFormatting sqref="AA12">
    <cfRule type="cellIs" dxfId="89" priority="694" operator="equal">
      <formula>0</formula>
    </cfRule>
    <cfRule type="cellIs" dxfId="88" priority="695" operator="equal">
      <formula>1</formula>
    </cfRule>
  </conditionalFormatting>
  <conditionalFormatting sqref="AA14">
    <cfRule type="cellIs" dxfId="87" priority="700" operator="equal">
      <formula>0</formula>
    </cfRule>
    <cfRule type="cellIs" dxfId="86" priority="701" operator="equal">
      <formula>1</formula>
    </cfRule>
  </conditionalFormatting>
  <conditionalFormatting sqref="AA82:AB82">
    <cfRule type="cellIs" dxfId="85" priority="19" operator="equal">
      <formula>0</formula>
    </cfRule>
    <cfRule type="cellIs" dxfId="84" priority="20" operator="greaterThanOrEqual">
      <formula>1</formula>
    </cfRule>
  </conditionalFormatting>
  <conditionalFormatting sqref="AB4">
    <cfRule type="cellIs" dxfId="83" priority="690" operator="equal">
      <formula>0</formula>
    </cfRule>
    <cfRule type="cellIs" dxfId="82" priority="691" operator="equal">
      <formula>1</formula>
    </cfRule>
  </conditionalFormatting>
  <conditionalFormatting sqref="AB10">
    <cfRule type="cellIs" dxfId="81" priority="684" operator="equal">
      <formula>0</formula>
    </cfRule>
    <cfRule type="cellIs" dxfId="80" priority="685" operator="equal">
      <formula>1</formula>
    </cfRule>
  </conditionalFormatting>
  <conditionalFormatting sqref="AB16">
    <cfRule type="cellIs" dxfId="79" priority="492" operator="equal">
      <formula>0</formula>
    </cfRule>
    <cfRule type="cellIs" dxfId="78" priority="493" operator="equal">
      <formula>1</formula>
    </cfRule>
  </conditionalFormatting>
  <conditionalFormatting sqref="AB18">
    <cfRule type="cellIs" dxfId="77" priority="500" operator="equal">
      <formula>0</formula>
    </cfRule>
    <cfRule type="cellIs" dxfId="76" priority="501" operator="equal">
      <formula>1</formula>
    </cfRule>
  </conditionalFormatting>
  <conditionalFormatting sqref="AB23">
    <cfRule type="cellIs" dxfId="75" priority="502" operator="equal">
      <formula>0</formula>
    </cfRule>
    <cfRule type="cellIs" dxfId="74" priority="503" operator="equal">
      <formula>1</formula>
    </cfRule>
  </conditionalFormatting>
  <conditionalFormatting sqref="AB25">
    <cfRule type="cellIs" dxfId="73" priority="422" operator="equal">
      <formula>0</formula>
    </cfRule>
    <cfRule type="cellIs" dxfId="72" priority="423" operator="equal">
      <formula>1</formula>
    </cfRule>
  </conditionalFormatting>
  <conditionalFormatting sqref="AB50">
    <cfRule type="cellIs" dxfId="71" priority="256" operator="equal">
      <formula>0</formula>
    </cfRule>
    <cfRule type="cellIs" dxfId="70" priority="257" operator="equal">
      <formula>1</formula>
    </cfRule>
  </conditionalFormatting>
  <conditionalFormatting sqref="AB52">
    <cfRule type="cellIs" dxfId="69" priority="252" operator="equal">
      <formula>0</formula>
    </cfRule>
    <cfRule type="cellIs" dxfId="68" priority="253" operator="equal">
      <formula>1</formula>
    </cfRule>
  </conditionalFormatting>
  <conditionalFormatting sqref="AB54">
    <cfRule type="cellIs" dxfId="67" priority="232" operator="equal">
      <formula>0</formula>
    </cfRule>
    <cfRule type="cellIs" dxfId="66" priority="233" operator="equal">
      <formula>1</formula>
    </cfRule>
  </conditionalFormatting>
  <conditionalFormatting sqref="AB56">
    <cfRule type="cellIs" dxfId="65" priority="228" operator="equal">
      <formula>0</formula>
    </cfRule>
    <cfRule type="cellIs" dxfId="64" priority="229" operator="equal">
      <formula>1</formula>
    </cfRule>
  </conditionalFormatting>
  <conditionalFormatting sqref="AB58">
    <cfRule type="cellIs" dxfId="63" priority="226" operator="equal">
      <formula>0</formula>
    </cfRule>
    <cfRule type="cellIs" dxfId="62" priority="227" operator="equal">
      <formula>1</formula>
    </cfRule>
  </conditionalFormatting>
  <conditionalFormatting sqref="AB60">
    <cfRule type="cellIs" dxfId="61" priority="222" operator="equal">
      <formula>0</formula>
    </cfRule>
    <cfRule type="cellIs" dxfId="60" priority="223" operator="equal">
      <formula>1</formula>
    </cfRule>
  </conditionalFormatting>
  <conditionalFormatting sqref="AB62">
    <cfRule type="cellIs" dxfId="59" priority="220" operator="equal">
      <formula>0</formula>
    </cfRule>
    <cfRule type="cellIs" dxfId="58" priority="221" operator="equal">
      <formula>1</formula>
    </cfRule>
  </conditionalFormatting>
  <conditionalFormatting sqref="AB64">
    <cfRule type="cellIs" dxfId="57" priority="216" operator="equal">
      <formula>0</formula>
    </cfRule>
    <cfRule type="cellIs" dxfId="56" priority="217" operator="equal">
      <formula>1</formula>
    </cfRule>
  </conditionalFormatting>
  <conditionalFormatting sqref="AB33:AE34">
    <cfRule type="cellIs" dxfId="55" priority="334" operator="equal">
      <formula>0</formula>
    </cfRule>
    <cfRule type="cellIs" dxfId="54" priority="335" operator="equal">
      <formula>1</formula>
    </cfRule>
  </conditionalFormatting>
  <conditionalFormatting sqref="AB36:AE36">
    <cfRule type="cellIs" dxfId="53" priority="264" operator="equal">
      <formula>0</formula>
    </cfRule>
    <cfRule type="cellIs" dxfId="52" priority="265" operator="equal">
      <formula>1</formula>
    </cfRule>
  </conditionalFormatting>
  <conditionalFormatting sqref="AB38:AE38">
    <cfRule type="cellIs" dxfId="51" priority="278" operator="equal">
      <formula>0</formula>
    </cfRule>
    <cfRule type="cellIs" dxfId="50" priority="279" operator="equal">
      <formula>1</formula>
    </cfRule>
  </conditionalFormatting>
  <conditionalFormatting sqref="AB40:AE41">
    <cfRule type="cellIs" dxfId="49" priority="318" operator="equal">
      <formula>0</formula>
    </cfRule>
    <cfRule type="cellIs" dxfId="48" priority="319" operator="equal">
      <formula>1</formula>
    </cfRule>
  </conditionalFormatting>
  <conditionalFormatting sqref="AB43:AE43">
    <cfRule type="cellIs" dxfId="47" priority="284" operator="equal">
      <formula>0</formula>
    </cfRule>
    <cfRule type="cellIs" dxfId="46" priority="285" operator="equal">
      <formula>1</formula>
    </cfRule>
  </conditionalFormatting>
  <conditionalFormatting sqref="AB45:AE45">
    <cfRule type="cellIs" dxfId="45" priority="296" operator="equal">
      <formula>0</formula>
    </cfRule>
    <cfRule type="cellIs" dxfId="44" priority="297" operator="equal">
      <formula>1</formula>
    </cfRule>
  </conditionalFormatting>
  <conditionalFormatting sqref="AB47:AE48">
    <cfRule type="cellIs" dxfId="43" priority="262" operator="equal">
      <formula>0</formula>
    </cfRule>
    <cfRule type="cellIs" dxfId="42" priority="263" operator="equal">
      <formula>1</formula>
    </cfRule>
  </conditionalFormatting>
  <conditionalFormatting sqref="AB66:AE66">
    <cfRule type="cellIs" dxfId="41" priority="258" operator="equal">
      <formula>0</formula>
    </cfRule>
    <cfRule type="cellIs" dxfId="40" priority="259" operator="equal">
      <formula>1</formula>
    </cfRule>
  </conditionalFormatting>
  <conditionalFormatting sqref="AC6">
    <cfRule type="cellIs" dxfId="39" priority="680" operator="equal">
      <formula>0</formula>
    </cfRule>
    <cfRule type="cellIs" dxfId="38" priority="681" operator="equal">
      <formula>1</formula>
    </cfRule>
  </conditionalFormatting>
  <conditionalFormatting sqref="AC8">
    <cfRule type="cellIs" dxfId="37" priority="682" operator="equal">
      <formula>0</formula>
    </cfRule>
    <cfRule type="cellIs" dxfId="36" priority="683" operator="equal">
      <formula>1</formula>
    </cfRule>
  </conditionalFormatting>
  <conditionalFormatting sqref="AC14">
    <cfRule type="cellIs" dxfId="35" priority="698" operator="equal">
      <formula>0</formula>
    </cfRule>
    <cfRule type="cellIs" dxfId="34" priority="699" operator="equal">
      <formula>1</formula>
    </cfRule>
  </conditionalFormatting>
  <conditionalFormatting sqref="AC27">
    <cfRule type="cellIs" dxfId="33" priority="416" operator="equal">
      <formula>0</formula>
    </cfRule>
    <cfRule type="cellIs" dxfId="32" priority="417" operator="equal">
      <formula>1</formula>
    </cfRule>
  </conditionalFormatting>
  <conditionalFormatting sqref="AC29">
    <cfRule type="cellIs" dxfId="31" priority="410" operator="equal">
      <formula>0</formula>
    </cfRule>
    <cfRule type="cellIs" dxfId="30" priority="411" operator="equal">
      <formula>1</formula>
    </cfRule>
  </conditionalFormatting>
  <conditionalFormatting sqref="AC31">
    <cfRule type="cellIs" dxfId="29" priority="408" operator="equal">
      <formula>0</formula>
    </cfRule>
    <cfRule type="cellIs" dxfId="28" priority="409" operator="equal">
      <formula>1</formula>
    </cfRule>
  </conditionalFormatting>
  <conditionalFormatting sqref="AC51:AD51">
    <cfRule type="cellIs" dxfId="27" priority="254" operator="equal">
      <formula>0</formula>
    </cfRule>
    <cfRule type="cellIs" dxfId="26" priority="255" operator="equal">
      <formula>1</formula>
    </cfRule>
  </conditionalFormatting>
  <conditionalFormatting sqref="AC55:AD55">
    <cfRule type="cellIs" dxfId="25" priority="230" operator="equal">
      <formula>0</formula>
    </cfRule>
    <cfRule type="cellIs" dxfId="24" priority="231" operator="equal">
      <formula>1</formula>
    </cfRule>
  </conditionalFormatting>
  <conditionalFormatting sqref="AC59:AD59">
    <cfRule type="cellIs" dxfId="23" priority="224" operator="equal">
      <formula>0</formula>
    </cfRule>
    <cfRule type="cellIs" dxfId="22" priority="225" operator="equal">
      <formula>1</formula>
    </cfRule>
  </conditionalFormatting>
  <conditionalFormatting sqref="AC63:AD63">
    <cfRule type="cellIs" dxfId="21" priority="218" operator="equal">
      <formula>0</formula>
    </cfRule>
    <cfRule type="cellIs" dxfId="20" priority="219" operator="equal">
      <formula>1</formula>
    </cfRule>
  </conditionalFormatting>
  <conditionalFormatting sqref="AD4">
    <cfRule type="cellIs" dxfId="19" priority="692" operator="equal">
      <formula>0</formula>
    </cfRule>
    <cfRule type="cellIs" dxfId="18" priority="693" operator="equal">
      <formula>1</formula>
    </cfRule>
  </conditionalFormatting>
  <conditionalFormatting sqref="AD7">
    <cfRule type="cellIs" dxfId="17" priority="696" operator="equal">
      <formula>0</formula>
    </cfRule>
    <cfRule type="cellIs" dxfId="16" priority="697" operator="equal">
      <formula>1</formula>
    </cfRule>
  </conditionalFormatting>
  <conditionalFormatting sqref="AD25">
    <cfRule type="cellIs" dxfId="15" priority="420" operator="equal">
      <formula>0</formula>
    </cfRule>
    <cfRule type="cellIs" dxfId="14" priority="421" operator="equal">
      <formula>1</formula>
    </cfRule>
  </conditionalFormatting>
  <conditionalFormatting sqref="AD28:AE28">
    <cfRule type="cellIs" dxfId="13" priority="412" operator="equal">
      <formula>0</formula>
    </cfRule>
    <cfRule type="cellIs" dxfId="12" priority="413" operator="equal">
      <formula>1</formula>
    </cfRule>
  </conditionalFormatting>
  <conditionalFormatting sqref="AD82:AG83">
    <cfRule type="cellIs" dxfId="11" priority="9" operator="equal">
      <formula>0</formula>
    </cfRule>
    <cfRule type="cellIs" dxfId="10" priority="10" operator="greaterThanOrEqual">
      <formula>1</formula>
    </cfRule>
  </conditionalFormatting>
  <conditionalFormatting sqref="AR84:AT85 AU99:AV99 AR93:AT101">
    <cfRule type="containsText" dxfId="9" priority="3" operator="containsText" text="0000">
      <formula>NOT(ISERROR(SEARCH("0000",AR84)))</formula>
    </cfRule>
    <cfRule type="cellIs" dxfId="8" priority="4" operator="greaterThan">
      <formula>0</formula>
    </cfRule>
  </conditionalFormatting>
  <conditionalFormatting sqref="AF25">
    <cfRule type="cellIs" dxfId="7" priority="418" operator="equal">
      <formula>0</formula>
    </cfRule>
    <cfRule type="cellIs" dxfId="6" priority="419" operator="equal">
      <formula>1</formula>
    </cfRule>
  </conditionalFormatting>
  <conditionalFormatting sqref="AG47">
    <cfRule type="cellIs" dxfId="5" priority="260" operator="equal">
      <formula>0</formula>
    </cfRule>
    <cfRule type="cellIs" dxfId="4" priority="261" operator="equal">
      <formula>1</formula>
    </cfRule>
  </conditionalFormatting>
  <pageMargins left="0.7" right="0.7" top="0.75" bottom="0.75" header="0" footer="0"/>
  <pageSetup orientation="portrait" r:id="rId1"/>
  <ignoredErrors>
    <ignoredError sqref="G82:J82 H81:J81 F83:F84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C5777-AFFF-4023-937A-47B65E24E5FA}">
  <sheetPr codeName="Sheet2"/>
  <dimension ref="A1"/>
  <sheetViews>
    <sheetView workbookViewId="0">
      <selection activeCell="N20" sqref="N20"/>
    </sheetView>
  </sheetViews>
  <sheetFormatPr defaultColWidth="9.140625" defaultRowHeight="15" x14ac:dyDescent="0.25"/>
  <cols>
    <col min="1" max="5" width="9.140625" style="91"/>
    <col min="6" max="7" width="9.140625" style="91" customWidth="1"/>
    <col min="8" max="16384" width="9.140625" style="91"/>
  </cols>
  <sheetData>
    <row r="1" spans="1:1" x14ac:dyDescent="0.25">
      <c r="A1" s="92" t="s">
        <v>67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46844-C73D-4D2F-BDE4-E3700F7AA59E}">
  <dimension ref="A1:BL69"/>
  <sheetViews>
    <sheetView topLeftCell="A37" workbookViewId="0"/>
  </sheetViews>
  <sheetFormatPr defaultRowHeight="15" x14ac:dyDescent="0.25"/>
  <cols>
    <col min="1" max="64" width="18.7109375" customWidth="1"/>
  </cols>
  <sheetData>
    <row r="1" spans="1:64" x14ac:dyDescent="0.25">
      <c r="A1" s="87" t="str">
        <f ca="1">IF(AND(OP="11",RAMX=DEC2BIN(COLUMN(A1)-1,8),RAMY=DEC2BIN(ROW(A1)-1,8)),DATA,A1)</f>
        <v>0000000000000001</v>
      </c>
      <c r="B1" s="87">
        <f ca="1">IF(AND(OP="11",RAMX=DEC2BIN(COLUMN(B1)-1,8),RAMY=DEC2BIN(ROW(B1)-1,8)),DATA,B1)</f>
        <v>0</v>
      </c>
      <c r="C1" s="87">
        <f ca="1">IF(AND(OP="11",RAMX=DEC2BIN(COLUMN(C1)-1,8),RAMY=DEC2BIN(ROW(C1)-1,8)),DATA,C1)</f>
        <v>0</v>
      </c>
      <c r="D1" s="87">
        <f ca="1">IF(AND(OP="11",RAMX=DEC2BIN(COLUMN(D1)-1,8),RAMY=DEC2BIN(ROW(D1)-1,8)),DATA,D1)</f>
        <v>0</v>
      </c>
      <c r="E1" s="87">
        <f ca="1">IF(AND(OP="11",RAMX=DEC2BIN(COLUMN(E1)-1,8),RAMY=DEC2BIN(ROW(E1)-1,8)),DATA,E1)</f>
        <v>0</v>
      </c>
      <c r="F1" s="87">
        <f ca="1">IF(AND(OP="11",RAMX=DEC2BIN(COLUMN(F1)-1,8),RAMY=DEC2BIN(ROW(F1)-1,8)),DATA,F1)</f>
        <v>0</v>
      </c>
      <c r="G1" s="87">
        <f ca="1">IF(AND(OP="11",RAMX=DEC2BIN(COLUMN(G1)-1,8),RAMY=DEC2BIN(ROW(G1)-1,8)),DATA,G1)</f>
        <v>0</v>
      </c>
      <c r="H1" s="87">
        <f ca="1">IF(AND(OP="11",RAMX=DEC2BIN(COLUMN(H1)-1,8),RAMY=DEC2BIN(ROW(H1)-1,8)),DATA,H1)</f>
        <v>0</v>
      </c>
      <c r="I1" s="87">
        <f ca="1">IF(AND(OP="11",RAMX=DEC2BIN(COLUMN(I1)-1,8),RAMY=DEC2BIN(ROW(I1)-1,8)),DATA,I1)</f>
        <v>0</v>
      </c>
      <c r="J1" s="87">
        <f ca="1">IF(AND(OP="11",RAMX=DEC2BIN(COLUMN(J1)-1,8),RAMY=DEC2BIN(ROW(J1)-1,8)),DATA,J1)</f>
        <v>0</v>
      </c>
      <c r="K1" s="87">
        <f ca="1">IF(AND(OP="11",RAMX=DEC2BIN(COLUMN(K1)-1,8),RAMY=DEC2BIN(ROW(K1)-1,8)),DATA,K1)</f>
        <v>0</v>
      </c>
      <c r="L1" s="87">
        <f ca="1">IF(AND(OP="11",RAMX=DEC2BIN(COLUMN(L1)-1,8),RAMY=DEC2BIN(ROW(L1)-1,8)),DATA,L1)</f>
        <v>0</v>
      </c>
      <c r="M1" s="87">
        <f ca="1">IF(AND(OP="11",RAMX=DEC2BIN(COLUMN(M1)-1,8),RAMY=DEC2BIN(ROW(M1)-1,8)),DATA,M1)</f>
        <v>0</v>
      </c>
      <c r="N1" s="87">
        <f ca="1">IF(AND(OP="11",RAMX=DEC2BIN(COLUMN(N1)-1,8),RAMY=DEC2BIN(ROW(N1)-1,8)),DATA,N1)</f>
        <v>0</v>
      </c>
      <c r="O1" s="87">
        <f ca="1">IF(AND(OP="11",RAMX=DEC2BIN(COLUMN(O1)-1,8),RAMY=DEC2BIN(ROW(O1)-1,8)),DATA,O1)</f>
        <v>0</v>
      </c>
      <c r="P1" s="87">
        <f ca="1">IF(AND(OP="11",RAMX=DEC2BIN(COLUMN(P1)-1,8),RAMY=DEC2BIN(ROW(P1)-1,8)),DATA,P1)</f>
        <v>0</v>
      </c>
      <c r="Q1" s="87">
        <f ca="1">IF(AND(OP="11",RAMX=DEC2BIN(COLUMN(Q1)-1,8),RAMY=DEC2BIN(ROW(Q1)-1,8)),DATA,Q1)</f>
        <v>0</v>
      </c>
      <c r="R1" s="87">
        <f ca="1">IF(AND(OP="11",RAMX=DEC2BIN(COLUMN(R1)-1,8),RAMY=DEC2BIN(ROW(R1)-1,8)),DATA,R1)</f>
        <v>0</v>
      </c>
      <c r="S1" s="87">
        <f ca="1">IF(AND(OP="11",RAMX=DEC2BIN(COLUMN(S1)-1,8),RAMY=DEC2BIN(ROW(S1)-1,8)),DATA,S1)</f>
        <v>0</v>
      </c>
      <c r="T1" s="87">
        <f ca="1">IF(AND(OP="11",RAMX=DEC2BIN(COLUMN(T1)-1,8),RAMY=DEC2BIN(ROW(T1)-1,8)),DATA,T1)</f>
        <v>0</v>
      </c>
      <c r="U1" s="87">
        <f ca="1">IF(AND(OP="11",RAMX=DEC2BIN(COLUMN(U1)-1,8),RAMY=DEC2BIN(ROW(U1)-1,8)),DATA,U1)</f>
        <v>0</v>
      </c>
      <c r="V1" s="87">
        <f ca="1">IF(AND(OP="11",RAMX=DEC2BIN(COLUMN(V1)-1,8),RAMY=DEC2BIN(ROW(V1)-1,8)),DATA,V1)</f>
        <v>0</v>
      </c>
      <c r="W1" s="87">
        <f ca="1">IF(AND(OP="11",RAMX=DEC2BIN(COLUMN(W1)-1,8),RAMY=DEC2BIN(ROW(W1)-1,8)),DATA,W1)</f>
        <v>0</v>
      </c>
      <c r="X1" s="87">
        <f ca="1">IF(AND(OP="11",RAMX=DEC2BIN(COLUMN(X1)-1,8),RAMY=DEC2BIN(ROW(X1)-1,8)),DATA,X1)</f>
        <v>0</v>
      </c>
      <c r="Y1" s="87">
        <f ca="1">IF(AND(OP="11",RAMX=DEC2BIN(COLUMN(Y1)-1,8),RAMY=DEC2BIN(ROW(Y1)-1,8)),DATA,Y1)</f>
        <v>0</v>
      </c>
      <c r="Z1" s="87">
        <f ca="1">IF(AND(OP="11",RAMX=DEC2BIN(COLUMN(Z1)-1,8),RAMY=DEC2BIN(ROW(Z1)-1,8)),DATA,Z1)</f>
        <v>0</v>
      </c>
      <c r="AA1" s="87">
        <f ca="1">IF(AND(OP="11",RAMX=DEC2BIN(COLUMN(AA1)-1,8),RAMY=DEC2BIN(ROW(AA1)-1,8)),DATA,AA1)</f>
        <v>0</v>
      </c>
      <c r="AB1" s="87">
        <f ca="1">IF(AND(OP="11",RAMX=DEC2BIN(COLUMN(AB1)-1,8),RAMY=DEC2BIN(ROW(AB1)-1,8)),DATA,AB1)</f>
        <v>0</v>
      </c>
      <c r="AC1" s="87">
        <f ca="1">IF(AND(OP="11",RAMX=DEC2BIN(COLUMN(AC1)-1,8),RAMY=DEC2BIN(ROW(AC1)-1,8)),DATA,AC1)</f>
        <v>0</v>
      </c>
      <c r="AD1" s="87">
        <f ca="1">IF(AND(OP="11",RAMX=DEC2BIN(COLUMN(AD1)-1,8),RAMY=DEC2BIN(ROW(AD1)-1,8)),DATA,AD1)</f>
        <v>0</v>
      </c>
      <c r="AE1" s="87">
        <f ca="1">IF(AND(OP="11",RAMX=DEC2BIN(COLUMN(AE1)-1,8),RAMY=DEC2BIN(ROW(AE1)-1,8)),DATA,AE1)</f>
        <v>0</v>
      </c>
      <c r="AF1" s="87">
        <f ca="1">IF(AND(OP="11",RAMX=DEC2BIN(COLUMN(AF1)-1,8),RAMY=DEC2BIN(ROW(AF1)-1,8)),DATA,AF1)</f>
        <v>0</v>
      </c>
      <c r="AG1" s="87">
        <f ca="1">IF(AND(OP="11",RAMX=DEC2BIN(COLUMN(AG1)-1,8),RAMY=DEC2BIN(ROW(AG1)-1,8)),DATA,AG1)</f>
        <v>0</v>
      </c>
      <c r="AH1" s="87">
        <f ca="1">IF(AND(OP="11",RAMX=DEC2BIN(COLUMN(AH1)-1,8),RAMY=DEC2BIN(ROW(AH1)-1,8)),DATA,AH1)</f>
        <v>0</v>
      </c>
      <c r="AI1" s="87">
        <f ca="1">IF(AND(OP="11",RAMX=DEC2BIN(COLUMN(AI1)-1,8),RAMY=DEC2BIN(ROW(AI1)-1,8)),DATA,AI1)</f>
        <v>0</v>
      </c>
      <c r="AJ1" s="87">
        <f ca="1">IF(AND(OP="11",RAMX=DEC2BIN(COLUMN(AJ1)-1,8),RAMY=DEC2BIN(ROW(AJ1)-1,8)),DATA,AJ1)</f>
        <v>0</v>
      </c>
      <c r="AK1" s="87">
        <f ca="1">IF(AND(OP="11",RAMX=DEC2BIN(COLUMN(AK1)-1,8),RAMY=DEC2BIN(ROW(AK1)-1,8)),DATA,AK1)</f>
        <v>0</v>
      </c>
      <c r="AL1" s="87">
        <f ca="1">IF(AND(OP="11",RAMX=DEC2BIN(COLUMN(AL1)-1,8),RAMY=DEC2BIN(ROW(AL1)-1,8)),DATA,AL1)</f>
        <v>0</v>
      </c>
      <c r="AM1" s="87">
        <f ca="1">IF(AND(OP="11",RAMX=DEC2BIN(COLUMN(AM1)-1,8),RAMY=DEC2BIN(ROW(AM1)-1,8)),DATA,AM1)</f>
        <v>0</v>
      </c>
      <c r="AN1" s="87">
        <f ca="1">IF(AND(OP="11",RAMX=DEC2BIN(COLUMN(AN1)-1,8),RAMY=DEC2BIN(ROW(AN1)-1,8)),DATA,AN1)</f>
        <v>0</v>
      </c>
      <c r="AO1" s="87">
        <f ca="1">IF(AND(OP="11",RAMX=DEC2BIN(COLUMN(AO1)-1,8),RAMY=DEC2BIN(ROW(AO1)-1,8)),DATA,AO1)</f>
        <v>0</v>
      </c>
      <c r="AP1" s="87">
        <f ca="1">IF(AND(OP="11",RAMX=DEC2BIN(COLUMN(AP1)-1,8),RAMY=DEC2BIN(ROW(AP1)-1,8)),DATA,AP1)</f>
        <v>0</v>
      </c>
      <c r="AQ1" s="87">
        <f ca="1">IF(AND(OP="11",RAMX=DEC2BIN(COLUMN(AQ1)-1,8),RAMY=DEC2BIN(ROW(AQ1)-1,8)),DATA,AQ1)</f>
        <v>0</v>
      </c>
      <c r="AR1" s="87">
        <f ca="1">IF(AND(OP="11",RAMX=DEC2BIN(COLUMN(AR1)-1,8),RAMY=DEC2BIN(ROW(AR1)-1,8)),DATA,AR1)</f>
        <v>0</v>
      </c>
      <c r="AS1" s="87">
        <f ca="1">IF(AND(OP="11",RAMX=DEC2BIN(COLUMN(AS1)-1,8),RAMY=DEC2BIN(ROW(AS1)-1,8)),DATA,AS1)</f>
        <v>0</v>
      </c>
      <c r="AT1" s="87">
        <f ca="1">IF(AND(OP="11",RAMX=DEC2BIN(COLUMN(AT1)-1,8),RAMY=DEC2BIN(ROW(AT1)-1,8)),DATA,AT1)</f>
        <v>0</v>
      </c>
      <c r="AU1" s="87">
        <f ca="1">IF(AND(OP="11",RAMX=DEC2BIN(COLUMN(AU1)-1,8),RAMY=DEC2BIN(ROW(AU1)-1,8)),DATA,AU1)</f>
        <v>0</v>
      </c>
      <c r="AV1" s="87">
        <f ca="1">IF(AND(OP="11",RAMX=DEC2BIN(COLUMN(AV1)-1,8),RAMY=DEC2BIN(ROW(AV1)-1,8)),DATA,AV1)</f>
        <v>0</v>
      </c>
      <c r="AW1" s="87">
        <f ca="1">IF(AND(OP="11",RAMX=DEC2BIN(COLUMN(AW1)-1,8),RAMY=DEC2BIN(ROW(AW1)-1,8)),DATA,AW1)</f>
        <v>0</v>
      </c>
      <c r="AX1" s="87">
        <f ca="1">IF(AND(OP="11",RAMX=DEC2BIN(COLUMN(AX1)-1,8),RAMY=DEC2BIN(ROW(AX1)-1,8)),DATA,AX1)</f>
        <v>0</v>
      </c>
      <c r="AY1" s="87">
        <f ca="1">IF(AND(OP="11",RAMX=DEC2BIN(COLUMN(AY1)-1,8),RAMY=DEC2BIN(ROW(AY1)-1,8)),DATA,AY1)</f>
        <v>0</v>
      </c>
      <c r="AZ1" s="87">
        <f ca="1">IF(AND(OP="11",RAMX=DEC2BIN(COLUMN(AZ1)-1,8),RAMY=DEC2BIN(ROW(AZ1)-1,8)),DATA,AZ1)</f>
        <v>0</v>
      </c>
      <c r="BA1" s="87">
        <f ca="1">IF(AND(OP="11",RAMX=DEC2BIN(COLUMN(BA1)-1,8),RAMY=DEC2BIN(ROW(BA1)-1,8)),DATA,BA1)</f>
        <v>0</v>
      </c>
      <c r="BB1" s="87">
        <f ca="1">IF(AND(OP="11",RAMX=DEC2BIN(COLUMN(BB1)-1,8),RAMY=DEC2BIN(ROW(BB1)-1,8)),DATA,BB1)</f>
        <v>0</v>
      </c>
      <c r="BC1" s="87">
        <f ca="1">IF(AND(OP="11",RAMX=DEC2BIN(COLUMN(BC1)-1,8),RAMY=DEC2BIN(ROW(BC1)-1,8)),DATA,BC1)</f>
        <v>0</v>
      </c>
      <c r="BD1" s="87">
        <f ca="1">IF(AND(OP="11",RAMX=DEC2BIN(COLUMN(BD1)-1,8),RAMY=DEC2BIN(ROW(BD1)-1,8)),DATA,BD1)</f>
        <v>0</v>
      </c>
      <c r="BE1" s="87">
        <f ca="1">IF(AND(OP="11",RAMX=DEC2BIN(COLUMN(BE1)-1,8),RAMY=DEC2BIN(ROW(BE1)-1,8)),DATA,BE1)</f>
        <v>0</v>
      </c>
      <c r="BF1" s="87">
        <f ca="1">IF(AND(OP="11",RAMX=DEC2BIN(COLUMN(BF1)-1,8),RAMY=DEC2BIN(ROW(BF1)-1,8)),DATA,BF1)</f>
        <v>0</v>
      </c>
      <c r="BG1" s="87">
        <f ca="1">IF(AND(OP="11",RAMX=DEC2BIN(COLUMN(BG1)-1,8),RAMY=DEC2BIN(ROW(BG1)-1,8)),DATA,BG1)</f>
        <v>0</v>
      </c>
      <c r="BH1" s="87">
        <f ca="1">IF(AND(OP="11",RAMX=DEC2BIN(COLUMN(BH1)-1,8),RAMY=DEC2BIN(ROW(BH1)-1,8)),DATA,BH1)</f>
        <v>0</v>
      </c>
      <c r="BI1" s="87">
        <f ca="1">IF(AND(OP="11",RAMX=DEC2BIN(COLUMN(BI1)-1,8),RAMY=DEC2BIN(ROW(BI1)-1,8)),DATA,BI1)</f>
        <v>0</v>
      </c>
      <c r="BJ1" s="87">
        <f ca="1">IF(AND(OP="11",RAMX=DEC2BIN(COLUMN(BJ1)-1,8),RAMY=DEC2BIN(ROW(BJ1)-1,8)),DATA,BJ1)</f>
        <v>0</v>
      </c>
      <c r="BK1" s="87">
        <f ca="1">IF(AND(OP="11",RAMX=DEC2BIN(COLUMN(BK1)-1,8),RAMY=DEC2BIN(ROW(BK1)-1,8)),DATA,BK1)</f>
        <v>0</v>
      </c>
      <c r="BL1" s="87">
        <f ca="1">IF(AND(OP="11",RAMX=DEC2BIN(COLUMN(BL1)-1,8),RAMY=DEC2BIN(ROW(BL1)-1,8)),DATA,BL1)</f>
        <v>0</v>
      </c>
    </row>
    <row r="2" spans="1:64" x14ac:dyDescent="0.25">
      <c r="A2" s="87">
        <f ca="1">IF(AND(OP="11",RAMX=DEC2BIN(COLUMN(A2)-1,8),RAMY=DEC2BIN(ROW(A2)-1,8)),DATA,A2)</f>
        <v>0</v>
      </c>
      <c r="B2" s="87" t="str">
        <f ca="1">IF(AND(OP="11",RAMX=DEC2BIN(COLUMN(B2)-1,8),RAMY=DEC2BIN(ROW(B2)-1,8)),DATA,B2)</f>
        <v>0000000100000001</v>
      </c>
      <c r="C2" s="87">
        <f ca="1">IF(AND(OP="11",RAMX=DEC2BIN(COLUMN(C2)-1,8),RAMY=DEC2BIN(ROW(C2)-1,8)),DATA,C2)</f>
        <v>0</v>
      </c>
      <c r="D2" s="87">
        <f ca="1">IF(AND(OP="11",RAMX=DEC2BIN(COLUMN(D2)-1,8),RAMY=DEC2BIN(ROW(D2)-1,8)),DATA,D2)</f>
        <v>0</v>
      </c>
      <c r="E2" s="87">
        <f ca="1">IF(AND(OP="11",RAMX=DEC2BIN(COLUMN(E2)-1,8),RAMY=DEC2BIN(ROW(E2)-1,8)),DATA,E2)</f>
        <v>0</v>
      </c>
      <c r="F2" s="87">
        <f ca="1">IF(AND(OP="11",RAMX=DEC2BIN(COLUMN(F2)-1,8),RAMY=DEC2BIN(ROW(F2)-1,8)),DATA,F2)</f>
        <v>0</v>
      </c>
      <c r="G2" s="87">
        <f ca="1">IF(AND(OP="11",RAMX=DEC2BIN(COLUMN(G2)-1,8),RAMY=DEC2BIN(ROW(G2)-1,8)),DATA,G2)</f>
        <v>0</v>
      </c>
      <c r="H2" s="87">
        <f ca="1">IF(AND(OP="11",RAMX=DEC2BIN(COLUMN(H2)-1,8),RAMY=DEC2BIN(ROW(H2)-1,8)),DATA,H2)</f>
        <v>0</v>
      </c>
      <c r="I2" s="87">
        <f ca="1">IF(AND(OP="11",RAMX=DEC2BIN(COLUMN(I2)-1,8),RAMY=DEC2BIN(ROW(I2)-1,8)),DATA,I2)</f>
        <v>0</v>
      </c>
      <c r="J2" s="87">
        <f ca="1">IF(AND(OP="11",RAMX=DEC2BIN(COLUMN(J2)-1,8),RAMY=DEC2BIN(ROW(J2)-1,8)),DATA,J2)</f>
        <v>0</v>
      </c>
      <c r="K2" s="87">
        <f ca="1">IF(AND(OP="11",RAMX=DEC2BIN(COLUMN(K2)-1,8),RAMY=DEC2BIN(ROW(K2)-1,8)),DATA,K2)</f>
        <v>0</v>
      </c>
      <c r="L2" s="87">
        <f ca="1">IF(AND(OP="11",RAMX=DEC2BIN(COLUMN(L2)-1,8),RAMY=DEC2BIN(ROW(L2)-1,8)),DATA,L2)</f>
        <v>0</v>
      </c>
      <c r="M2" s="87">
        <f ca="1">IF(AND(OP="11",RAMX=DEC2BIN(COLUMN(M2)-1,8),RAMY=DEC2BIN(ROW(M2)-1,8)),DATA,M2)</f>
        <v>0</v>
      </c>
      <c r="N2" s="87">
        <f ca="1">IF(AND(OP="11",RAMX=DEC2BIN(COLUMN(N2)-1,8),RAMY=DEC2BIN(ROW(N2)-1,8)),DATA,N2)</f>
        <v>0</v>
      </c>
      <c r="O2" s="87">
        <f ca="1">IF(AND(OP="11",RAMX=DEC2BIN(COLUMN(O2)-1,8),RAMY=DEC2BIN(ROW(O2)-1,8)),DATA,O2)</f>
        <v>0</v>
      </c>
      <c r="P2" s="87">
        <f ca="1">IF(AND(OP="11",RAMX=DEC2BIN(COLUMN(P2)-1,8),RAMY=DEC2BIN(ROW(P2)-1,8)),DATA,P2)</f>
        <v>0</v>
      </c>
      <c r="Q2" s="87">
        <f ca="1">IF(AND(OP="11",RAMX=DEC2BIN(COLUMN(Q2)-1,8),RAMY=DEC2BIN(ROW(Q2)-1,8)),DATA,Q2)</f>
        <v>0</v>
      </c>
      <c r="R2" s="87">
        <f ca="1">IF(AND(OP="11",RAMX=DEC2BIN(COLUMN(R2)-1,8),RAMY=DEC2BIN(ROW(R2)-1,8)),DATA,R2)</f>
        <v>0</v>
      </c>
      <c r="S2" s="87">
        <f ca="1">IF(AND(OP="11",RAMX=DEC2BIN(COLUMN(S2)-1,8),RAMY=DEC2BIN(ROW(S2)-1,8)),DATA,S2)</f>
        <v>0</v>
      </c>
      <c r="T2" s="87">
        <f ca="1">IF(AND(OP="11",RAMX=DEC2BIN(COLUMN(T2)-1,8),RAMY=DEC2BIN(ROW(T2)-1,8)),DATA,T2)</f>
        <v>0</v>
      </c>
      <c r="U2" s="87">
        <f ca="1">IF(AND(OP="11",RAMX=DEC2BIN(COLUMN(U2)-1,8),RAMY=DEC2BIN(ROW(U2)-1,8)),DATA,U2)</f>
        <v>0</v>
      </c>
      <c r="V2" s="87">
        <f ca="1">IF(AND(OP="11",RAMX=DEC2BIN(COLUMN(V2)-1,8),RAMY=DEC2BIN(ROW(V2)-1,8)),DATA,V2)</f>
        <v>0</v>
      </c>
      <c r="W2" s="87">
        <f ca="1">IF(AND(OP="11",RAMX=DEC2BIN(COLUMN(W2)-1,8),RAMY=DEC2BIN(ROW(W2)-1,8)),DATA,W2)</f>
        <v>0</v>
      </c>
      <c r="X2" s="87">
        <f ca="1">IF(AND(OP="11",RAMX=DEC2BIN(COLUMN(X2)-1,8),RAMY=DEC2BIN(ROW(X2)-1,8)),DATA,X2)</f>
        <v>0</v>
      </c>
      <c r="Y2" s="87">
        <f ca="1">IF(AND(OP="11",RAMX=DEC2BIN(COLUMN(Y2)-1,8),RAMY=DEC2BIN(ROW(Y2)-1,8)),DATA,Y2)</f>
        <v>0</v>
      </c>
      <c r="Z2" s="87">
        <f ca="1">IF(AND(OP="11",RAMX=DEC2BIN(COLUMN(Z2)-1,8),RAMY=DEC2BIN(ROW(Z2)-1,8)),DATA,Z2)</f>
        <v>0</v>
      </c>
      <c r="AA2" s="87">
        <f ca="1">IF(AND(OP="11",RAMX=DEC2BIN(COLUMN(AA2)-1,8),RAMY=DEC2BIN(ROW(AA2)-1,8)),DATA,AA2)</f>
        <v>0</v>
      </c>
      <c r="AB2" s="87">
        <f ca="1">IF(AND(OP="11",RAMX=DEC2BIN(COLUMN(AB2)-1,8),RAMY=DEC2BIN(ROW(AB2)-1,8)),DATA,AB2)</f>
        <v>0</v>
      </c>
      <c r="AC2" s="87">
        <f ca="1">IF(AND(OP="11",RAMX=DEC2BIN(COLUMN(AC2)-1,8),RAMY=DEC2BIN(ROW(AC2)-1,8)),DATA,AC2)</f>
        <v>0</v>
      </c>
      <c r="AD2" s="87">
        <f ca="1">IF(AND(OP="11",RAMX=DEC2BIN(COLUMN(AD2)-1,8),RAMY=DEC2BIN(ROW(AD2)-1,8)),DATA,AD2)</f>
        <v>0</v>
      </c>
      <c r="AE2" s="87">
        <f ca="1">IF(AND(OP="11",RAMX=DEC2BIN(COLUMN(AE2)-1,8),RAMY=DEC2BIN(ROW(AE2)-1,8)),DATA,AE2)</f>
        <v>0</v>
      </c>
      <c r="AF2" s="87">
        <f ca="1">IF(AND(OP="11",RAMX=DEC2BIN(COLUMN(AF2)-1,8),RAMY=DEC2BIN(ROW(AF2)-1,8)),DATA,AF2)</f>
        <v>0</v>
      </c>
      <c r="AG2" s="87">
        <f ca="1">IF(AND(OP="11",RAMX=DEC2BIN(COLUMN(AG2)-1,8),RAMY=DEC2BIN(ROW(AG2)-1,8)),DATA,AG2)</f>
        <v>0</v>
      </c>
      <c r="AH2" s="87">
        <f ca="1">IF(AND(OP="11",RAMX=DEC2BIN(COLUMN(AH2)-1,8),RAMY=DEC2BIN(ROW(AH2)-1,8)),DATA,AH2)</f>
        <v>0</v>
      </c>
      <c r="AI2" s="87">
        <f ca="1">IF(AND(OP="11",RAMX=DEC2BIN(COLUMN(AI2)-1,8),RAMY=DEC2BIN(ROW(AI2)-1,8)),DATA,AI2)</f>
        <v>0</v>
      </c>
      <c r="AJ2" s="87">
        <f ca="1">IF(AND(OP="11",RAMX=DEC2BIN(COLUMN(AJ2)-1,8),RAMY=DEC2BIN(ROW(AJ2)-1,8)),DATA,AJ2)</f>
        <v>0</v>
      </c>
      <c r="AK2" s="87">
        <f ca="1">IF(AND(OP="11",RAMX=DEC2BIN(COLUMN(AK2)-1,8),RAMY=DEC2BIN(ROW(AK2)-1,8)),DATA,AK2)</f>
        <v>0</v>
      </c>
      <c r="AL2" s="87">
        <f ca="1">IF(AND(OP="11",RAMX=DEC2BIN(COLUMN(AL2)-1,8),RAMY=DEC2BIN(ROW(AL2)-1,8)),DATA,AL2)</f>
        <v>0</v>
      </c>
      <c r="AM2" s="87">
        <f ca="1">IF(AND(OP="11",RAMX=DEC2BIN(COLUMN(AM2)-1,8),RAMY=DEC2BIN(ROW(AM2)-1,8)),DATA,AM2)</f>
        <v>0</v>
      </c>
      <c r="AN2" s="87">
        <f ca="1">IF(AND(OP="11",RAMX=DEC2BIN(COLUMN(AN2)-1,8),RAMY=DEC2BIN(ROW(AN2)-1,8)),DATA,AN2)</f>
        <v>0</v>
      </c>
      <c r="AO2" s="87">
        <f ca="1">IF(AND(OP="11",RAMX=DEC2BIN(COLUMN(AO2)-1,8),RAMY=DEC2BIN(ROW(AO2)-1,8)),DATA,AO2)</f>
        <v>0</v>
      </c>
      <c r="AP2" s="87">
        <f ca="1">IF(AND(OP="11",RAMX=DEC2BIN(COLUMN(AP2)-1,8),RAMY=DEC2BIN(ROW(AP2)-1,8)),DATA,AP2)</f>
        <v>0</v>
      </c>
      <c r="AQ2" s="87">
        <f ca="1">IF(AND(OP="11",RAMX=DEC2BIN(COLUMN(AQ2)-1,8),RAMY=DEC2BIN(ROW(AQ2)-1,8)),DATA,AQ2)</f>
        <v>0</v>
      </c>
      <c r="AR2" s="87">
        <f ca="1">IF(AND(OP="11",RAMX=DEC2BIN(COLUMN(AR2)-1,8),RAMY=DEC2BIN(ROW(AR2)-1,8)),DATA,AR2)</f>
        <v>0</v>
      </c>
      <c r="AS2" s="87">
        <f ca="1">IF(AND(OP="11",RAMX=DEC2BIN(COLUMN(AS2)-1,8),RAMY=DEC2BIN(ROW(AS2)-1,8)),DATA,AS2)</f>
        <v>0</v>
      </c>
      <c r="AT2" s="87">
        <f ca="1">IF(AND(OP="11",RAMX=DEC2BIN(COLUMN(AT2)-1,8),RAMY=DEC2BIN(ROW(AT2)-1,8)),DATA,AT2)</f>
        <v>0</v>
      </c>
      <c r="AU2" s="87">
        <f ca="1">IF(AND(OP="11",RAMX=DEC2BIN(COLUMN(AU2)-1,8),RAMY=DEC2BIN(ROW(AU2)-1,8)),DATA,AU2)</f>
        <v>0</v>
      </c>
      <c r="AV2" s="87">
        <f ca="1">IF(AND(OP="11",RAMX=DEC2BIN(COLUMN(AV2)-1,8),RAMY=DEC2BIN(ROW(AV2)-1,8)),DATA,AV2)</f>
        <v>0</v>
      </c>
      <c r="AW2" s="87">
        <f ca="1">IF(AND(OP="11",RAMX=DEC2BIN(COLUMN(AW2)-1,8),RAMY=DEC2BIN(ROW(AW2)-1,8)),DATA,AW2)</f>
        <v>0</v>
      </c>
      <c r="AX2" s="87">
        <f ca="1">IF(AND(OP="11",RAMX=DEC2BIN(COLUMN(AX2)-1,8),RAMY=DEC2BIN(ROW(AX2)-1,8)),DATA,AX2)</f>
        <v>0</v>
      </c>
      <c r="AY2" s="87">
        <f ca="1">IF(AND(OP="11",RAMX=DEC2BIN(COLUMN(AY2)-1,8),RAMY=DEC2BIN(ROW(AY2)-1,8)),DATA,AY2)</f>
        <v>0</v>
      </c>
      <c r="AZ2" s="87">
        <f ca="1">IF(AND(OP="11",RAMX=DEC2BIN(COLUMN(AZ2)-1,8),RAMY=DEC2BIN(ROW(AZ2)-1,8)),DATA,AZ2)</f>
        <v>0</v>
      </c>
      <c r="BA2" s="87">
        <f ca="1">IF(AND(OP="11",RAMX=DEC2BIN(COLUMN(BA2)-1,8),RAMY=DEC2BIN(ROW(BA2)-1,8)),DATA,BA2)</f>
        <v>0</v>
      </c>
      <c r="BB2" s="87">
        <f ca="1">IF(AND(OP="11",RAMX=DEC2BIN(COLUMN(BB2)-1,8),RAMY=DEC2BIN(ROW(BB2)-1,8)),DATA,BB2)</f>
        <v>0</v>
      </c>
      <c r="BC2" s="87">
        <f ca="1">IF(AND(OP="11",RAMX=DEC2BIN(COLUMN(BC2)-1,8),RAMY=DEC2BIN(ROW(BC2)-1,8)),DATA,BC2)</f>
        <v>0</v>
      </c>
      <c r="BD2" s="87">
        <f ca="1">IF(AND(OP="11",RAMX=DEC2BIN(COLUMN(BD2)-1,8),RAMY=DEC2BIN(ROW(BD2)-1,8)),DATA,BD2)</f>
        <v>0</v>
      </c>
      <c r="BE2" s="87">
        <f ca="1">IF(AND(OP="11",RAMX=DEC2BIN(COLUMN(BE2)-1,8),RAMY=DEC2BIN(ROW(BE2)-1,8)),DATA,BE2)</f>
        <v>0</v>
      </c>
      <c r="BF2" s="87">
        <f ca="1">IF(AND(OP="11",RAMX=DEC2BIN(COLUMN(BF2)-1,8),RAMY=DEC2BIN(ROW(BF2)-1,8)),DATA,BF2)</f>
        <v>0</v>
      </c>
      <c r="BG2" s="87">
        <f ca="1">IF(AND(OP="11",RAMX=DEC2BIN(COLUMN(BG2)-1,8),RAMY=DEC2BIN(ROW(BG2)-1,8)),DATA,BG2)</f>
        <v>0</v>
      </c>
      <c r="BH2" s="87">
        <f ca="1">IF(AND(OP="11",RAMX=DEC2BIN(COLUMN(BH2)-1,8),RAMY=DEC2BIN(ROW(BH2)-1,8)),DATA,BH2)</f>
        <v>0</v>
      </c>
      <c r="BI2" s="87">
        <f ca="1">IF(AND(OP="11",RAMX=DEC2BIN(COLUMN(BI2)-1,8),RAMY=DEC2BIN(ROW(BI2)-1,8)),DATA,BI2)</f>
        <v>0</v>
      </c>
      <c r="BJ2" s="87">
        <f ca="1">IF(AND(OP="11",RAMX=DEC2BIN(COLUMN(BJ2)-1,8),RAMY=DEC2BIN(ROW(BJ2)-1,8)),DATA,BJ2)</f>
        <v>0</v>
      </c>
      <c r="BK2" s="87">
        <f ca="1">IF(AND(OP="11",RAMX=DEC2BIN(COLUMN(BK2)-1,8),RAMY=DEC2BIN(ROW(BK2)-1,8)),DATA,BK2)</f>
        <v>0</v>
      </c>
      <c r="BL2" s="87">
        <f ca="1">IF(AND(OP="11",RAMX=DEC2BIN(COLUMN(BL2)-1,8),RAMY=DEC2BIN(ROW(BL2)-1,8)),DATA,BL2)</f>
        <v>0</v>
      </c>
    </row>
    <row r="3" spans="1:64" x14ac:dyDescent="0.25">
      <c r="A3" s="87">
        <f ca="1">IF(AND(OP="11",RAMX=DEC2BIN(COLUMN(A3)-1,8),RAMY=DEC2BIN(ROW(A3)-1,8)),DATA,A3)</f>
        <v>0</v>
      </c>
      <c r="B3" s="87">
        <f ca="1">IF(AND(OP="11",RAMX=DEC2BIN(COLUMN(B3)-1,8),RAMY=DEC2BIN(ROW(B3)-1,8)),DATA,B3)</f>
        <v>0</v>
      </c>
      <c r="C3" s="87">
        <f ca="1">IF(AND(OP="11",RAMX=DEC2BIN(COLUMN(C3)-1,8),RAMY=DEC2BIN(ROW(C3)-1,8)),DATA,C3)</f>
        <v>0</v>
      </c>
      <c r="D3" s="87">
        <f ca="1">IF(AND(OP="11",RAMX=DEC2BIN(COLUMN(D3)-1,8),RAMY=DEC2BIN(ROW(D3)-1,8)),DATA,D3)</f>
        <v>0</v>
      </c>
      <c r="E3" s="87">
        <f ca="1">IF(AND(OP="11",RAMX=DEC2BIN(COLUMN(E3)-1,8),RAMY=DEC2BIN(ROW(E3)-1,8)),DATA,E3)</f>
        <v>0</v>
      </c>
      <c r="F3" s="87">
        <f ca="1">IF(AND(OP="11",RAMX=DEC2BIN(COLUMN(F3)-1,8),RAMY=DEC2BIN(ROW(F3)-1,8)),DATA,F3)</f>
        <v>0</v>
      </c>
      <c r="G3" s="87">
        <f ca="1">IF(AND(OP="11",RAMX=DEC2BIN(COLUMN(G3)-1,8),RAMY=DEC2BIN(ROW(G3)-1,8)),DATA,G3)</f>
        <v>0</v>
      </c>
      <c r="H3" s="87">
        <f ca="1">IF(AND(OP="11",RAMX=DEC2BIN(COLUMN(H3)-1,8),RAMY=DEC2BIN(ROW(H3)-1,8)),DATA,H3)</f>
        <v>0</v>
      </c>
      <c r="I3" s="87">
        <f ca="1">IF(AND(OP="11",RAMX=DEC2BIN(COLUMN(I3)-1,8),RAMY=DEC2BIN(ROW(I3)-1,8)),DATA,I3)</f>
        <v>0</v>
      </c>
      <c r="J3" s="87">
        <f ca="1">IF(AND(OP="11",RAMX=DEC2BIN(COLUMN(J3)-1,8),RAMY=DEC2BIN(ROW(J3)-1,8)),DATA,J3)</f>
        <v>0</v>
      </c>
      <c r="K3" s="87">
        <f ca="1">IF(AND(OP="11",RAMX=DEC2BIN(COLUMN(K3)-1,8),RAMY=DEC2BIN(ROW(K3)-1,8)),DATA,K3)</f>
        <v>0</v>
      </c>
      <c r="L3" s="87">
        <f ca="1">IF(AND(OP="11",RAMX=DEC2BIN(COLUMN(L3)-1,8),RAMY=DEC2BIN(ROW(L3)-1,8)),DATA,L3)</f>
        <v>0</v>
      </c>
      <c r="M3" s="87">
        <f ca="1">IF(AND(OP="11",RAMX=DEC2BIN(COLUMN(M3)-1,8),RAMY=DEC2BIN(ROW(M3)-1,8)),DATA,M3)</f>
        <v>0</v>
      </c>
      <c r="N3" s="87">
        <f ca="1">IF(AND(OP="11",RAMX=DEC2BIN(COLUMN(N3)-1,8),RAMY=DEC2BIN(ROW(N3)-1,8)),DATA,N3)</f>
        <v>0</v>
      </c>
      <c r="O3" s="87">
        <f ca="1">IF(AND(OP="11",RAMX=DEC2BIN(COLUMN(O3)-1,8),RAMY=DEC2BIN(ROW(O3)-1,8)),DATA,O3)</f>
        <v>0</v>
      </c>
      <c r="P3" s="87">
        <f ca="1">IF(AND(OP="11",RAMX=DEC2BIN(COLUMN(P3)-1,8),RAMY=DEC2BIN(ROW(P3)-1,8)),DATA,P3)</f>
        <v>0</v>
      </c>
      <c r="Q3" s="87">
        <f ca="1">IF(AND(OP="11",RAMX=DEC2BIN(COLUMN(Q3)-1,8),RAMY=DEC2BIN(ROW(Q3)-1,8)),DATA,Q3)</f>
        <v>0</v>
      </c>
      <c r="R3" s="87">
        <f ca="1">IF(AND(OP="11",RAMX=DEC2BIN(COLUMN(R3)-1,8),RAMY=DEC2BIN(ROW(R3)-1,8)),DATA,R3)</f>
        <v>0</v>
      </c>
      <c r="S3" s="87">
        <f ca="1">IF(AND(OP="11",RAMX=DEC2BIN(COLUMN(S3)-1,8),RAMY=DEC2BIN(ROW(S3)-1,8)),DATA,S3)</f>
        <v>0</v>
      </c>
      <c r="T3" s="87">
        <f ca="1">IF(AND(OP="11",RAMX=DEC2BIN(COLUMN(T3)-1,8),RAMY=DEC2BIN(ROW(T3)-1,8)),DATA,T3)</f>
        <v>0</v>
      </c>
      <c r="U3" s="87">
        <f ca="1">IF(AND(OP="11",RAMX=DEC2BIN(COLUMN(U3)-1,8),RAMY=DEC2BIN(ROW(U3)-1,8)),DATA,U3)</f>
        <v>0</v>
      </c>
      <c r="V3" s="87">
        <f ca="1">IF(AND(OP="11",RAMX=DEC2BIN(COLUMN(V3)-1,8),RAMY=DEC2BIN(ROW(V3)-1,8)),DATA,V3)</f>
        <v>0</v>
      </c>
      <c r="W3" s="87">
        <f ca="1">IF(AND(OP="11",RAMX=DEC2BIN(COLUMN(W3)-1,8),RAMY=DEC2BIN(ROW(W3)-1,8)),DATA,W3)</f>
        <v>0</v>
      </c>
      <c r="X3" s="87">
        <f ca="1">IF(AND(OP="11",RAMX=DEC2BIN(COLUMN(X3)-1,8),RAMY=DEC2BIN(ROW(X3)-1,8)),DATA,X3)</f>
        <v>0</v>
      </c>
      <c r="Y3" s="87">
        <f ca="1">IF(AND(OP="11",RAMX=DEC2BIN(COLUMN(Y3)-1,8),RAMY=DEC2BIN(ROW(Y3)-1,8)),DATA,Y3)</f>
        <v>0</v>
      </c>
      <c r="Z3" s="87">
        <f ca="1">IF(AND(OP="11",RAMX=DEC2BIN(COLUMN(Z3)-1,8),RAMY=DEC2BIN(ROW(Z3)-1,8)),DATA,Z3)</f>
        <v>0</v>
      </c>
      <c r="AA3" s="87">
        <f ca="1">IF(AND(OP="11",RAMX=DEC2BIN(COLUMN(AA3)-1,8),RAMY=DEC2BIN(ROW(AA3)-1,8)),DATA,AA3)</f>
        <v>0</v>
      </c>
      <c r="AB3" s="87">
        <f ca="1">IF(AND(OP="11",RAMX=DEC2BIN(COLUMN(AB3)-1,8),RAMY=DEC2BIN(ROW(AB3)-1,8)),DATA,AB3)</f>
        <v>0</v>
      </c>
      <c r="AC3" s="87">
        <f ca="1">IF(AND(OP="11",RAMX=DEC2BIN(COLUMN(AC3)-1,8),RAMY=DEC2BIN(ROW(AC3)-1,8)),DATA,AC3)</f>
        <v>0</v>
      </c>
      <c r="AD3" s="87">
        <f ca="1">IF(AND(OP="11",RAMX=DEC2BIN(COLUMN(AD3)-1,8),RAMY=DEC2BIN(ROW(AD3)-1,8)),DATA,AD3)</f>
        <v>0</v>
      </c>
      <c r="AE3" s="87">
        <f ca="1">IF(AND(OP="11",RAMX=DEC2BIN(COLUMN(AE3)-1,8),RAMY=DEC2BIN(ROW(AE3)-1,8)),DATA,AE3)</f>
        <v>0</v>
      </c>
      <c r="AF3" s="87">
        <f ca="1">IF(AND(OP="11",RAMX=DEC2BIN(COLUMN(AF3)-1,8),RAMY=DEC2BIN(ROW(AF3)-1,8)),DATA,AF3)</f>
        <v>0</v>
      </c>
      <c r="AG3" s="87">
        <f ca="1">IF(AND(OP="11",RAMX=DEC2BIN(COLUMN(AG3)-1,8),RAMY=DEC2BIN(ROW(AG3)-1,8)),DATA,AG3)</f>
        <v>0</v>
      </c>
      <c r="AH3" s="87">
        <f ca="1">IF(AND(OP="11",RAMX=DEC2BIN(COLUMN(AH3)-1,8),RAMY=DEC2BIN(ROW(AH3)-1,8)),DATA,AH3)</f>
        <v>0</v>
      </c>
      <c r="AI3" s="87">
        <f ca="1">IF(AND(OP="11",RAMX=DEC2BIN(COLUMN(AI3)-1,8),RAMY=DEC2BIN(ROW(AI3)-1,8)),DATA,AI3)</f>
        <v>0</v>
      </c>
      <c r="AJ3" s="87">
        <f ca="1">IF(AND(OP="11",RAMX=DEC2BIN(COLUMN(AJ3)-1,8),RAMY=DEC2BIN(ROW(AJ3)-1,8)),DATA,AJ3)</f>
        <v>0</v>
      </c>
      <c r="AK3" s="87">
        <f ca="1">IF(AND(OP="11",RAMX=DEC2BIN(COLUMN(AK3)-1,8),RAMY=DEC2BIN(ROW(AK3)-1,8)),DATA,AK3)</f>
        <v>0</v>
      </c>
      <c r="AL3" s="87">
        <f ca="1">IF(AND(OP="11",RAMX=DEC2BIN(COLUMN(AL3)-1,8),RAMY=DEC2BIN(ROW(AL3)-1,8)),DATA,AL3)</f>
        <v>0</v>
      </c>
      <c r="AM3" s="87">
        <f ca="1">IF(AND(OP="11",RAMX=DEC2BIN(COLUMN(AM3)-1,8),RAMY=DEC2BIN(ROW(AM3)-1,8)),DATA,AM3)</f>
        <v>0</v>
      </c>
      <c r="AN3" s="87">
        <f ca="1">IF(AND(OP="11",RAMX=DEC2BIN(COLUMN(AN3)-1,8),RAMY=DEC2BIN(ROW(AN3)-1,8)),DATA,AN3)</f>
        <v>0</v>
      </c>
      <c r="AO3" s="87">
        <f ca="1">IF(AND(OP="11",RAMX=DEC2BIN(COLUMN(AO3)-1,8),RAMY=DEC2BIN(ROW(AO3)-1,8)),DATA,AO3)</f>
        <v>0</v>
      </c>
      <c r="AP3" s="87">
        <f ca="1">IF(AND(OP="11",RAMX=DEC2BIN(COLUMN(AP3)-1,8),RAMY=DEC2BIN(ROW(AP3)-1,8)),DATA,AP3)</f>
        <v>0</v>
      </c>
      <c r="AQ3" s="87">
        <f ca="1">IF(AND(OP="11",RAMX=DEC2BIN(COLUMN(AQ3)-1,8),RAMY=DEC2BIN(ROW(AQ3)-1,8)),DATA,AQ3)</f>
        <v>0</v>
      </c>
      <c r="AR3" s="87">
        <f ca="1">IF(AND(OP="11",RAMX=DEC2BIN(COLUMN(AR3)-1,8),RAMY=DEC2BIN(ROW(AR3)-1,8)),DATA,AR3)</f>
        <v>0</v>
      </c>
      <c r="AS3" s="87">
        <f ca="1">IF(AND(OP="11",RAMX=DEC2BIN(COLUMN(AS3)-1,8),RAMY=DEC2BIN(ROW(AS3)-1,8)),DATA,AS3)</f>
        <v>0</v>
      </c>
      <c r="AT3" s="87">
        <f ca="1">IF(AND(OP="11",RAMX=DEC2BIN(COLUMN(AT3)-1,8),RAMY=DEC2BIN(ROW(AT3)-1,8)),DATA,AT3)</f>
        <v>0</v>
      </c>
      <c r="AU3" s="87">
        <f ca="1">IF(AND(OP="11",RAMX=DEC2BIN(COLUMN(AU3)-1,8),RAMY=DEC2BIN(ROW(AU3)-1,8)),DATA,AU3)</f>
        <v>0</v>
      </c>
      <c r="AV3" s="87">
        <f ca="1">IF(AND(OP="11",RAMX=DEC2BIN(COLUMN(AV3)-1,8),RAMY=DEC2BIN(ROW(AV3)-1,8)),DATA,AV3)</f>
        <v>0</v>
      </c>
      <c r="AW3" s="87">
        <f ca="1">IF(AND(OP="11",RAMX=DEC2BIN(COLUMN(AW3)-1,8),RAMY=DEC2BIN(ROW(AW3)-1,8)),DATA,AW3)</f>
        <v>0</v>
      </c>
      <c r="AX3" s="87">
        <f ca="1">IF(AND(OP="11",RAMX=DEC2BIN(COLUMN(AX3)-1,8),RAMY=DEC2BIN(ROW(AX3)-1,8)),DATA,AX3)</f>
        <v>0</v>
      </c>
      <c r="AY3" s="87">
        <f ca="1">IF(AND(OP="11",RAMX=DEC2BIN(COLUMN(AY3)-1,8),RAMY=DEC2BIN(ROW(AY3)-1,8)),DATA,AY3)</f>
        <v>0</v>
      </c>
      <c r="AZ3" s="87">
        <f ca="1">IF(AND(OP="11",RAMX=DEC2BIN(COLUMN(AZ3)-1,8),RAMY=DEC2BIN(ROW(AZ3)-1,8)),DATA,AZ3)</f>
        <v>0</v>
      </c>
      <c r="BA3" s="87">
        <f ca="1">IF(AND(OP="11",RAMX=DEC2BIN(COLUMN(BA3)-1,8),RAMY=DEC2BIN(ROW(BA3)-1,8)),DATA,BA3)</f>
        <v>0</v>
      </c>
      <c r="BB3" s="87">
        <f ca="1">IF(AND(OP="11",RAMX=DEC2BIN(COLUMN(BB3)-1,8),RAMY=DEC2BIN(ROW(BB3)-1,8)),DATA,BB3)</f>
        <v>0</v>
      </c>
      <c r="BC3" s="87">
        <f ca="1">IF(AND(OP="11",RAMX=DEC2BIN(COLUMN(BC3)-1,8),RAMY=DEC2BIN(ROW(BC3)-1,8)),DATA,BC3)</f>
        <v>0</v>
      </c>
      <c r="BD3" s="87">
        <f ca="1">IF(AND(OP="11",RAMX=DEC2BIN(COLUMN(BD3)-1,8),RAMY=DEC2BIN(ROW(BD3)-1,8)),DATA,BD3)</f>
        <v>0</v>
      </c>
      <c r="BE3" s="87">
        <f ca="1">IF(AND(OP="11",RAMX=DEC2BIN(COLUMN(BE3)-1,8),RAMY=DEC2BIN(ROW(BE3)-1,8)),DATA,BE3)</f>
        <v>0</v>
      </c>
      <c r="BF3" s="87">
        <f ca="1">IF(AND(OP="11",RAMX=DEC2BIN(COLUMN(BF3)-1,8),RAMY=DEC2BIN(ROW(BF3)-1,8)),DATA,BF3)</f>
        <v>0</v>
      </c>
      <c r="BG3" s="87">
        <f ca="1">IF(AND(OP="11",RAMX=DEC2BIN(COLUMN(BG3)-1,8),RAMY=DEC2BIN(ROW(BG3)-1,8)),DATA,BG3)</f>
        <v>0</v>
      </c>
      <c r="BH3" s="87">
        <f ca="1">IF(AND(OP="11",RAMX=DEC2BIN(COLUMN(BH3)-1,8),RAMY=DEC2BIN(ROW(BH3)-1,8)),DATA,BH3)</f>
        <v>0</v>
      </c>
      <c r="BI3" s="87">
        <f ca="1">IF(AND(OP="11",RAMX=DEC2BIN(COLUMN(BI3)-1,8),RAMY=DEC2BIN(ROW(BI3)-1,8)),DATA,BI3)</f>
        <v>0</v>
      </c>
      <c r="BJ3" s="87">
        <f ca="1">IF(AND(OP="11",RAMX=DEC2BIN(COLUMN(BJ3)-1,8),RAMY=DEC2BIN(ROW(BJ3)-1,8)),DATA,BJ3)</f>
        <v>0</v>
      </c>
      <c r="BK3" s="87">
        <f ca="1">IF(AND(OP="11",RAMX=DEC2BIN(COLUMN(BK3)-1,8),RAMY=DEC2BIN(ROW(BK3)-1,8)),DATA,BK3)</f>
        <v>0</v>
      </c>
      <c r="BL3" s="87">
        <f ca="1">IF(AND(OP="11",RAMX=DEC2BIN(COLUMN(BL3)-1,8),RAMY=DEC2BIN(ROW(BL3)-1,8)),DATA,BL3)</f>
        <v>0</v>
      </c>
    </row>
    <row r="4" spans="1:64" x14ac:dyDescent="0.25">
      <c r="A4" s="87">
        <f ca="1">IF(AND(OP="11",RAMX=DEC2BIN(COLUMN(A4)-1,8),RAMY=DEC2BIN(ROW(A4)-1,8)),DATA,A4)</f>
        <v>0</v>
      </c>
      <c r="B4" s="87">
        <f ca="1">IF(AND(OP="11",RAMX=DEC2BIN(COLUMN(B4)-1,8),RAMY=DEC2BIN(ROW(B4)-1,8)),DATA,B4)</f>
        <v>0</v>
      </c>
      <c r="C4" s="87">
        <f ca="1">IF(AND(OP="11",RAMX=DEC2BIN(COLUMN(C4)-1,8),RAMY=DEC2BIN(ROW(C4)-1,8)),DATA,C4)</f>
        <v>0</v>
      </c>
      <c r="D4" s="87">
        <f ca="1">IF(AND(OP="11",RAMX=DEC2BIN(COLUMN(D4)-1,8),RAMY=DEC2BIN(ROW(D4)-1,8)),DATA,D4)</f>
        <v>0</v>
      </c>
      <c r="E4" s="87">
        <f ca="1">IF(AND(OP="11",RAMX=DEC2BIN(COLUMN(E4)-1,8),RAMY=DEC2BIN(ROW(E4)-1,8)),DATA,E4)</f>
        <v>0</v>
      </c>
      <c r="F4" s="87">
        <f ca="1">IF(AND(OP="11",RAMX=DEC2BIN(COLUMN(F4)-1,8),RAMY=DEC2BIN(ROW(F4)-1,8)),DATA,F4)</f>
        <v>0</v>
      </c>
      <c r="G4" s="87">
        <f ca="1">IF(AND(OP="11",RAMX=DEC2BIN(COLUMN(G4)-1,8),RAMY=DEC2BIN(ROW(G4)-1,8)),DATA,G4)</f>
        <v>0</v>
      </c>
      <c r="H4" s="87">
        <f ca="1">IF(AND(OP="11",RAMX=DEC2BIN(COLUMN(H4)-1,8),RAMY=DEC2BIN(ROW(H4)-1,8)),DATA,H4)</f>
        <v>0</v>
      </c>
      <c r="I4" s="87">
        <f ca="1">IF(AND(OP="11",RAMX=DEC2BIN(COLUMN(I4)-1,8),RAMY=DEC2BIN(ROW(I4)-1,8)),DATA,I4)</f>
        <v>0</v>
      </c>
      <c r="J4" s="87">
        <f ca="1">IF(AND(OP="11",RAMX=DEC2BIN(COLUMN(J4)-1,8),RAMY=DEC2BIN(ROW(J4)-1,8)),DATA,J4)</f>
        <v>0</v>
      </c>
      <c r="K4" s="87">
        <f ca="1">IF(AND(OP="11",RAMX=DEC2BIN(COLUMN(K4)-1,8),RAMY=DEC2BIN(ROW(K4)-1,8)),DATA,K4)</f>
        <v>0</v>
      </c>
      <c r="L4" s="87">
        <f ca="1">IF(AND(OP="11",RAMX=DEC2BIN(COLUMN(L4)-1,8),RAMY=DEC2BIN(ROW(L4)-1,8)),DATA,L4)</f>
        <v>0</v>
      </c>
      <c r="M4" s="87">
        <f ca="1">IF(AND(OP="11",RAMX=DEC2BIN(COLUMN(M4)-1,8),RAMY=DEC2BIN(ROW(M4)-1,8)),DATA,M4)</f>
        <v>0</v>
      </c>
      <c r="N4" s="87">
        <f ca="1">IF(AND(OP="11",RAMX=DEC2BIN(COLUMN(N4)-1,8),RAMY=DEC2BIN(ROW(N4)-1,8)),DATA,N4)</f>
        <v>0</v>
      </c>
      <c r="O4" s="87">
        <f ca="1">IF(AND(OP="11",RAMX=DEC2BIN(COLUMN(O4)-1,8),RAMY=DEC2BIN(ROW(O4)-1,8)),DATA,O4)</f>
        <v>0</v>
      </c>
      <c r="P4" s="87">
        <f ca="1">IF(AND(OP="11",RAMX=DEC2BIN(COLUMN(P4)-1,8),RAMY=DEC2BIN(ROW(P4)-1,8)),DATA,P4)</f>
        <v>0</v>
      </c>
      <c r="Q4" s="87">
        <f ca="1">IF(AND(OP="11",RAMX=DEC2BIN(COLUMN(Q4)-1,8),RAMY=DEC2BIN(ROW(Q4)-1,8)),DATA,Q4)</f>
        <v>0</v>
      </c>
      <c r="R4" s="87">
        <f ca="1">IF(AND(OP="11",RAMX=DEC2BIN(COLUMN(R4)-1,8),RAMY=DEC2BIN(ROW(R4)-1,8)),DATA,R4)</f>
        <v>0</v>
      </c>
      <c r="S4" s="87">
        <f ca="1">IF(AND(OP="11",RAMX=DEC2BIN(COLUMN(S4)-1,8),RAMY=DEC2BIN(ROW(S4)-1,8)),DATA,S4)</f>
        <v>0</v>
      </c>
      <c r="T4" s="87">
        <f ca="1">IF(AND(OP="11",RAMX=DEC2BIN(COLUMN(T4)-1,8),RAMY=DEC2BIN(ROW(T4)-1,8)),DATA,T4)</f>
        <v>0</v>
      </c>
      <c r="U4" s="87">
        <f ca="1">IF(AND(OP="11",RAMX=DEC2BIN(COLUMN(U4)-1,8),RAMY=DEC2BIN(ROW(U4)-1,8)),DATA,U4)</f>
        <v>0</v>
      </c>
      <c r="V4" s="87">
        <f ca="1">IF(AND(OP="11",RAMX=DEC2BIN(COLUMN(V4)-1,8),RAMY=DEC2BIN(ROW(V4)-1,8)),DATA,V4)</f>
        <v>0</v>
      </c>
      <c r="W4" s="87">
        <f ca="1">IF(AND(OP="11",RAMX=DEC2BIN(COLUMN(W4)-1,8),RAMY=DEC2BIN(ROW(W4)-1,8)),DATA,W4)</f>
        <v>0</v>
      </c>
      <c r="X4" s="87">
        <f ca="1">IF(AND(OP="11",RAMX=DEC2BIN(COLUMN(X4)-1,8),RAMY=DEC2BIN(ROW(X4)-1,8)),DATA,X4)</f>
        <v>0</v>
      </c>
      <c r="Y4" s="87">
        <f ca="1">IF(AND(OP="11",RAMX=DEC2BIN(COLUMN(Y4)-1,8),RAMY=DEC2BIN(ROW(Y4)-1,8)),DATA,Y4)</f>
        <v>0</v>
      </c>
      <c r="Z4" s="87">
        <f ca="1">IF(AND(OP="11",RAMX=DEC2BIN(COLUMN(Z4)-1,8),RAMY=DEC2BIN(ROW(Z4)-1,8)),DATA,Z4)</f>
        <v>0</v>
      </c>
      <c r="AA4" s="87">
        <f ca="1">IF(AND(OP="11",RAMX=DEC2BIN(COLUMN(AA4)-1,8),RAMY=DEC2BIN(ROW(AA4)-1,8)),DATA,AA4)</f>
        <v>0</v>
      </c>
      <c r="AB4" s="87">
        <f ca="1">IF(AND(OP="11",RAMX=DEC2BIN(COLUMN(AB4)-1,8),RAMY=DEC2BIN(ROW(AB4)-1,8)),DATA,AB4)</f>
        <v>0</v>
      </c>
      <c r="AC4" s="87">
        <f ca="1">IF(AND(OP="11",RAMX=DEC2BIN(COLUMN(AC4)-1,8),RAMY=DEC2BIN(ROW(AC4)-1,8)),DATA,AC4)</f>
        <v>0</v>
      </c>
      <c r="AD4" s="87">
        <f ca="1">IF(AND(OP="11",RAMX=DEC2BIN(COLUMN(AD4)-1,8),RAMY=DEC2BIN(ROW(AD4)-1,8)),DATA,AD4)</f>
        <v>0</v>
      </c>
      <c r="AE4" s="87">
        <f ca="1">IF(AND(OP="11",RAMX=DEC2BIN(COLUMN(AE4)-1,8),RAMY=DEC2BIN(ROW(AE4)-1,8)),DATA,AE4)</f>
        <v>0</v>
      </c>
      <c r="AF4" s="87">
        <f ca="1">IF(AND(OP="11",RAMX=DEC2BIN(COLUMN(AF4)-1,8),RAMY=DEC2BIN(ROW(AF4)-1,8)),DATA,AF4)</f>
        <v>0</v>
      </c>
      <c r="AG4" s="87">
        <f ca="1">IF(AND(OP="11",RAMX=DEC2BIN(COLUMN(AG4)-1,8),RAMY=DEC2BIN(ROW(AG4)-1,8)),DATA,AG4)</f>
        <v>0</v>
      </c>
      <c r="AH4" s="87">
        <f ca="1">IF(AND(OP="11",RAMX=DEC2BIN(COLUMN(AH4)-1,8),RAMY=DEC2BIN(ROW(AH4)-1,8)),DATA,AH4)</f>
        <v>0</v>
      </c>
      <c r="AI4" s="87">
        <f ca="1">IF(AND(OP="11",RAMX=DEC2BIN(COLUMN(AI4)-1,8),RAMY=DEC2BIN(ROW(AI4)-1,8)),DATA,AI4)</f>
        <v>0</v>
      </c>
      <c r="AJ4" s="87">
        <f ca="1">IF(AND(OP="11",RAMX=DEC2BIN(COLUMN(AJ4)-1,8),RAMY=DEC2BIN(ROW(AJ4)-1,8)),DATA,AJ4)</f>
        <v>0</v>
      </c>
      <c r="AK4" s="87">
        <f ca="1">IF(AND(OP="11",RAMX=DEC2BIN(COLUMN(AK4)-1,8),RAMY=DEC2BIN(ROW(AK4)-1,8)),DATA,AK4)</f>
        <v>0</v>
      </c>
      <c r="AL4" s="87">
        <f ca="1">IF(AND(OP="11",RAMX=DEC2BIN(COLUMN(AL4)-1,8),RAMY=DEC2BIN(ROW(AL4)-1,8)),DATA,AL4)</f>
        <v>0</v>
      </c>
      <c r="AM4" s="87">
        <f ca="1">IF(AND(OP="11",RAMX=DEC2BIN(COLUMN(AM4)-1,8),RAMY=DEC2BIN(ROW(AM4)-1,8)),DATA,AM4)</f>
        <v>0</v>
      </c>
      <c r="AN4" s="87">
        <f ca="1">IF(AND(OP="11",RAMX=DEC2BIN(COLUMN(AN4)-1,8),RAMY=DEC2BIN(ROW(AN4)-1,8)),DATA,AN4)</f>
        <v>0</v>
      </c>
      <c r="AO4" s="87">
        <f ca="1">IF(AND(OP="11",RAMX=DEC2BIN(COLUMN(AO4)-1,8),RAMY=DEC2BIN(ROW(AO4)-1,8)),DATA,AO4)</f>
        <v>0</v>
      </c>
      <c r="AP4" s="87">
        <f ca="1">IF(AND(OP="11",RAMX=DEC2BIN(COLUMN(AP4)-1,8),RAMY=DEC2BIN(ROW(AP4)-1,8)),DATA,AP4)</f>
        <v>0</v>
      </c>
      <c r="AQ4" s="87">
        <f ca="1">IF(AND(OP="11",RAMX=DEC2BIN(COLUMN(AQ4)-1,8),RAMY=DEC2BIN(ROW(AQ4)-1,8)),DATA,AQ4)</f>
        <v>0</v>
      </c>
      <c r="AR4" s="87">
        <f ca="1">IF(AND(OP="11",RAMX=DEC2BIN(COLUMN(AR4)-1,8),RAMY=DEC2BIN(ROW(AR4)-1,8)),DATA,AR4)</f>
        <v>0</v>
      </c>
      <c r="AS4" s="87">
        <f ca="1">IF(AND(OP="11",RAMX=DEC2BIN(COLUMN(AS4)-1,8),RAMY=DEC2BIN(ROW(AS4)-1,8)),DATA,AS4)</f>
        <v>0</v>
      </c>
      <c r="AT4" s="87">
        <f ca="1">IF(AND(OP="11",RAMX=DEC2BIN(COLUMN(AT4)-1,8),RAMY=DEC2BIN(ROW(AT4)-1,8)),DATA,AT4)</f>
        <v>0</v>
      </c>
      <c r="AU4" s="87">
        <f ca="1">IF(AND(OP="11",RAMX=DEC2BIN(COLUMN(AU4)-1,8),RAMY=DEC2BIN(ROW(AU4)-1,8)),DATA,AU4)</f>
        <v>0</v>
      </c>
      <c r="AV4" s="87">
        <f ca="1">IF(AND(OP="11",RAMX=DEC2BIN(COLUMN(AV4)-1,8),RAMY=DEC2BIN(ROW(AV4)-1,8)),DATA,AV4)</f>
        <v>0</v>
      </c>
      <c r="AW4" s="87">
        <f ca="1">IF(AND(OP="11",RAMX=DEC2BIN(COLUMN(AW4)-1,8),RAMY=DEC2BIN(ROW(AW4)-1,8)),DATA,AW4)</f>
        <v>0</v>
      </c>
      <c r="AX4" s="87">
        <f ca="1">IF(AND(OP="11",RAMX=DEC2BIN(COLUMN(AX4)-1,8),RAMY=DEC2BIN(ROW(AX4)-1,8)),DATA,AX4)</f>
        <v>0</v>
      </c>
      <c r="AY4" s="87">
        <f ca="1">IF(AND(OP="11",RAMX=DEC2BIN(COLUMN(AY4)-1,8),RAMY=DEC2BIN(ROW(AY4)-1,8)),DATA,AY4)</f>
        <v>0</v>
      </c>
      <c r="AZ4" s="87">
        <f ca="1">IF(AND(OP="11",RAMX=DEC2BIN(COLUMN(AZ4)-1,8),RAMY=DEC2BIN(ROW(AZ4)-1,8)),DATA,AZ4)</f>
        <v>0</v>
      </c>
      <c r="BA4" s="87">
        <f ca="1">IF(AND(OP="11",RAMX=DEC2BIN(COLUMN(BA4)-1,8),RAMY=DEC2BIN(ROW(BA4)-1,8)),DATA,BA4)</f>
        <v>0</v>
      </c>
      <c r="BB4" s="87">
        <f ca="1">IF(AND(OP="11",RAMX=DEC2BIN(COLUMN(BB4)-1,8),RAMY=DEC2BIN(ROW(BB4)-1,8)),DATA,BB4)</f>
        <v>0</v>
      </c>
      <c r="BC4" s="87">
        <f ca="1">IF(AND(OP="11",RAMX=DEC2BIN(COLUMN(BC4)-1,8),RAMY=DEC2BIN(ROW(BC4)-1,8)),DATA,BC4)</f>
        <v>0</v>
      </c>
      <c r="BD4" s="87">
        <f ca="1">IF(AND(OP="11",RAMX=DEC2BIN(COLUMN(BD4)-1,8),RAMY=DEC2BIN(ROW(BD4)-1,8)),DATA,BD4)</f>
        <v>0</v>
      </c>
      <c r="BE4" s="87">
        <f ca="1">IF(AND(OP="11",RAMX=DEC2BIN(COLUMN(BE4)-1,8),RAMY=DEC2BIN(ROW(BE4)-1,8)),DATA,BE4)</f>
        <v>0</v>
      </c>
      <c r="BF4" s="87">
        <f ca="1">IF(AND(OP="11",RAMX=DEC2BIN(COLUMN(BF4)-1,8),RAMY=DEC2BIN(ROW(BF4)-1,8)),DATA,BF4)</f>
        <v>0</v>
      </c>
      <c r="BG4" s="87">
        <f ca="1">IF(AND(OP="11",RAMX=DEC2BIN(COLUMN(BG4)-1,8),RAMY=DEC2BIN(ROW(BG4)-1,8)),DATA,BG4)</f>
        <v>0</v>
      </c>
      <c r="BH4" s="87">
        <f ca="1">IF(AND(OP="11",RAMX=DEC2BIN(COLUMN(BH4)-1,8),RAMY=DEC2BIN(ROW(BH4)-1,8)),DATA,BH4)</f>
        <v>0</v>
      </c>
      <c r="BI4" s="87">
        <f ca="1">IF(AND(OP="11",RAMX=DEC2BIN(COLUMN(BI4)-1,8),RAMY=DEC2BIN(ROW(BI4)-1,8)),DATA,BI4)</f>
        <v>0</v>
      </c>
      <c r="BJ4" s="87">
        <f ca="1">IF(AND(OP="11",RAMX=DEC2BIN(COLUMN(BJ4)-1,8),RAMY=DEC2BIN(ROW(BJ4)-1,8)),DATA,BJ4)</f>
        <v>0</v>
      </c>
      <c r="BK4" s="87">
        <f ca="1">IF(AND(OP="11",RAMX=DEC2BIN(COLUMN(BK4)-1,8),RAMY=DEC2BIN(ROW(BK4)-1,8)),DATA,BK4)</f>
        <v>0</v>
      </c>
      <c r="BL4" s="87">
        <f ca="1">IF(AND(OP="11",RAMX=DEC2BIN(COLUMN(BL4)-1,8),RAMY=DEC2BIN(ROW(BL4)-1,8)),DATA,BL4)</f>
        <v>0</v>
      </c>
    </row>
    <row r="5" spans="1:64" x14ac:dyDescent="0.25">
      <c r="A5" s="87">
        <f ca="1">IF(AND(OP="11",RAMX=DEC2BIN(COLUMN(A5)-1,8),RAMY=DEC2BIN(ROW(A5)-1,8)),DATA,A5)</f>
        <v>0</v>
      </c>
      <c r="B5" s="87">
        <f ca="1">IF(AND(OP="11",RAMX=DEC2BIN(COLUMN(B5)-1,8),RAMY=DEC2BIN(ROW(B5)-1,8)),DATA,B5)</f>
        <v>0</v>
      </c>
      <c r="C5" s="87">
        <f ca="1">IF(AND(OP="11",RAMX=DEC2BIN(COLUMN(C5)-1,8),RAMY=DEC2BIN(ROW(C5)-1,8)),DATA,C5)</f>
        <v>0</v>
      </c>
      <c r="D5" s="87">
        <f ca="1">IF(AND(OP="11",RAMX=DEC2BIN(COLUMN(D5)-1,8),RAMY=DEC2BIN(ROW(D5)-1,8)),DATA,D5)</f>
        <v>0</v>
      </c>
      <c r="E5" s="87">
        <f ca="1">IF(AND(OP="11",RAMX=DEC2BIN(COLUMN(E5)-1,8),RAMY=DEC2BIN(ROW(E5)-1,8)),DATA,E5)</f>
        <v>0</v>
      </c>
      <c r="F5" s="87">
        <f ca="1">IF(AND(OP="11",RAMX=DEC2BIN(COLUMN(F5)-1,8),RAMY=DEC2BIN(ROW(F5)-1,8)),DATA,F5)</f>
        <v>0</v>
      </c>
      <c r="G5" s="87">
        <f ca="1">IF(AND(OP="11",RAMX=DEC2BIN(COLUMN(G5)-1,8),RAMY=DEC2BIN(ROW(G5)-1,8)),DATA,G5)</f>
        <v>0</v>
      </c>
      <c r="H5" s="87">
        <f ca="1">IF(AND(OP="11",RAMX=DEC2BIN(COLUMN(H5)-1,8),RAMY=DEC2BIN(ROW(H5)-1,8)),DATA,H5)</f>
        <v>0</v>
      </c>
      <c r="I5" s="87">
        <f ca="1">IF(AND(OP="11",RAMX=DEC2BIN(COLUMN(I5)-1,8),RAMY=DEC2BIN(ROW(I5)-1,8)),DATA,I5)</f>
        <v>0</v>
      </c>
      <c r="J5" s="87">
        <f ca="1">IF(AND(OP="11",RAMX=DEC2BIN(COLUMN(J5)-1,8),RAMY=DEC2BIN(ROW(J5)-1,8)),DATA,J5)</f>
        <v>0</v>
      </c>
      <c r="K5" s="87">
        <f ca="1">IF(AND(OP="11",RAMX=DEC2BIN(COLUMN(K5)-1,8),RAMY=DEC2BIN(ROW(K5)-1,8)),DATA,K5)</f>
        <v>0</v>
      </c>
      <c r="L5" s="87">
        <f ca="1">IF(AND(OP="11",RAMX=DEC2BIN(COLUMN(L5)-1,8),RAMY=DEC2BIN(ROW(L5)-1,8)),DATA,L5)</f>
        <v>0</v>
      </c>
      <c r="M5" s="87">
        <f ca="1">IF(AND(OP="11",RAMX=DEC2BIN(COLUMN(M5)-1,8),RAMY=DEC2BIN(ROW(M5)-1,8)),DATA,M5)</f>
        <v>0</v>
      </c>
      <c r="N5" s="87">
        <f ca="1">IF(AND(OP="11",RAMX=DEC2BIN(COLUMN(N5)-1,8),RAMY=DEC2BIN(ROW(N5)-1,8)),DATA,N5)</f>
        <v>0</v>
      </c>
      <c r="O5" s="87">
        <f ca="1">IF(AND(OP="11",RAMX=DEC2BIN(COLUMN(O5)-1,8),RAMY=DEC2BIN(ROW(O5)-1,8)),DATA,O5)</f>
        <v>0</v>
      </c>
      <c r="P5" s="87">
        <f ca="1">IF(AND(OP="11",RAMX=DEC2BIN(COLUMN(P5)-1,8),RAMY=DEC2BIN(ROW(P5)-1,8)),DATA,P5)</f>
        <v>0</v>
      </c>
      <c r="Q5" s="87">
        <f ca="1">IF(AND(OP="11",RAMX=DEC2BIN(COLUMN(Q5)-1,8),RAMY=DEC2BIN(ROW(Q5)-1,8)),DATA,Q5)</f>
        <v>0</v>
      </c>
      <c r="R5" s="87">
        <f ca="1">IF(AND(OP="11",RAMX=DEC2BIN(COLUMN(R5)-1,8),RAMY=DEC2BIN(ROW(R5)-1,8)),DATA,R5)</f>
        <v>0</v>
      </c>
      <c r="S5" s="87">
        <f ca="1">IF(AND(OP="11",RAMX=DEC2BIN(COLUMN(S5)-1,8),RAMY=DEC2BIN(ROW(S5)-1,8)),DATA,S5)</f>
        <v>0</v>
      </c>
      <c r="T5" s="87">
        <f ca="1">IF(AND(OP="11",RAMX=DEC2BIN(COLUMN(T5)-1,8),RAMY=DEC2BIN(ROW(T5)-1,8)),DATA,T5)</f>
        <v>0</v>
      </c>
      <c r="U5" s="87">
        <f ca="1">IF(AND(OP="11",RAMX=DEC2BIN(COLUMN(U5)-1,8),RAMY=DEC2BIN(ROW(U5)-1,8)),DATA,U5)</f>
        <v>0</v>
      </c>
      <c r="V5" s="87">
        <f ca="1">IF(AND(OP="11",RAMX=DEC2BIN(COLUMN(V5)-1,8),RAMY=DEC2BIN(ROW(V5)-1,8)),DATA,V5)</f>
        <v>0</v>
      </c>
      <c r="W5" s="87">
        <f ca="1">IF(AND(OP="11",RAMX=DEC2BIN(COLUMN(W5)-1,8),RAMY=DEC2BIN(ROW(W5)-1,8)),DATA,W5)</f>
        <v>0</v>
      </c>
      <c r="X5" s="87">
        <f ca="1">IF(AND(OP="11",RAMX=DEC2BIN(COLUMN(X5)-1,8),RAMY=DEC2BIN(ROW(X5)-1,8)),DATA,X5)</f>
        <v>0</v>
      </c>
      <c r="Y5" s="87">
        <f ca="1">IF(AND(OP="11",RAMX=DEC2BIN(COLUMN(Y5)-1,8),RAMY=DEC2BIN(ROW(Y5)-1,8)),DATA,Y5)</f>
        <v>0</v>
      </c>
      <c r="Z5" s="87">
        <f ca="1">IF(AND(OP="11",RAMX=DEC2BIN(COLUMN(Z5)-1,8),RAMY=DEC2BIN(ROW(Z5)-1,8)),DATA,Z5)</f>
        <v>0</v>
      </c>
      <c r="AA5" s="87">
        <f ca="1">IF(AND(OP="11",RAMX=DEC2BIN(COLUMN(AA5)-1,8),RAMY=DEC2BIN(ROW(AA5)-1,8)),DATA,AA5)</f>
        <v>0</v>
      </c>
      <c r="AB5" s="87">
        <f ca="1">IF(AND(OP="11",RAMX=DEC2BIN(COLUMN(AB5)-1,8),RAMY=DEC2BIN(ROW(AB5)-1,8)),DATA,AB5)</f>
        <v>0</v>
      </c>
      <c r="AC5" s="87">
        <f ca="1">IF(AND(OP="11",RAMX=DEC2BIN(COLUMN(AC5)-1,8),RAMY=DEC2BIN(ROW(AC5)-1,8)),DATA,AC5)</f>
        <v>0</v>
      </c>
      <c r="AD5" s="87">
        <f ca="1">IF(AND(OP="11",RAMX=DEC2BIN(COLUMN(AD5)-1,8),RAMY=DEC2BIN(ROW(AD5)-1,8)),DATA,AD5)</f>
        <v>0</v>
      </c>
      <c r="AE5" s="87">
        <f ca="1">IF(AND(OP="11",RAMX=DEC2BIN(COLUMN(AE5)-1,8),RAMY=DEC2BIN(ROW(AE5)-1,8)),DATA,AE5)</f>
        <v>0</v>
      </c>
      <c r="AF5" s="87">
        <f ca="1">IF(AND(OP="11",RAMX=DEC2BIN(COLUMN(AF5)-1,8),RAMY=DEC2BIN(ROW(AF5)-1,8)),DATA,AF5)</f>
        <v>0</v>
      </c>
      <c r="AG5" s="87">
        <f ca="1">IF(AND(OP="11",RAMX=DEC2BIN(COLUMN(AG5)-1,8),RAMY=DEC2BIN(ROW(AG5)-1,8)),DATA,AG5)</f>
        <v>0</v>
      </c>
      <c r="AH5" s="87">
        <f ca="1">IF(AND(OP="11",RAMX=DEC2BIN(COLUMN(AH5)-1,8),RAMY=DEC2BIN(ROW(AH5)-1,8)),DATA,AH5)</f>
        <v>0</v>
      </c>
      <c r="AI5" s="87">
        <f ca="1">IF(AND(OP="11",RAMX=DEC2BIN(COLUMN(AI5)-1,8),RAMY=DEC2BIN(ROW(AI5)-1,8)),DATA,AI5)</f>
        <v>0</v>
      </c>
      <c r="AJ5" s="87">
        <f ca="1">IF(AND(OP="11",RAMX=DEC2BIN(COLUMN(AJ5)-1,8),RAMY=DEC2BIN(ROW(AJ5)-1,8)),DATA,AJ5)</f>
        <v>0</v>
      </c>
      <c r="AK5" s="87">
        <f ca="1">IF(AND(OP="11",RAMX=DEC2BIN(COLUMN(AK5)-1,8),RAMY=DEC2BIN(ROW(AK5)-1,8)),DATA,AK5)</f>
        <v>0</v>
      </c>
      <c r="AL5" s="87">
        <f ca="1">IF(AND(OP="11",RAMX=DEC2BIN(COLUMN(AL5)-1,8),RAMY=DEC2BIN(ROW(AL5)-1,8)),DATA,AL5)</f>
        <v>0</v>
      </c>
      <c r="AM5" s="87">
        <f ca="1">IF(AND(OP="11",RAMX=DEC2BIN(COLUMN(AM5)-1,8),RAMY=DEC2BIN(ROW(AM5)-1,8)),DATA,AM5)</f>
        <v>0</v>
      </c>
      <c r="AN5" s="87">
        <f ca="1">IF(AND(OP="11",RAMX=DEC2BIN(COLUMN(AN5)-1,8),RAMY=DEC2BIN(ROW(AN5)-1,8)),DATA,AN5)</f>
        <v>0</v>
      </c>
      <c r="AO5" s="87">
        <f ca="1">IF(AND(OP="11",RAMX=DEC2BIN(COLUMN(AO5)-1,8),RAMY=DEC2BIN(ROW(AO5)-1,8)),DATA,AO5)</f>
        <v>0</v>
      </c>
      <c r="AP5" s="87">
        <f ca="1">IF(AND(OP="11",RAMX=DEC2BIN(COLUMN(AP5)-1,8),RAMY=DEC2BIN(ROW(AP5)-1,8)),DATA,AP5)</f>
        <v>0</v>
      </c>
      <c r="AQ5" s="87">
        <f ca="1">IF(AND(OP="11",RAMX=DEC2BIN(COLUMN(AQ5)-1,8),RAMY=DEC2BIN(ROW(AQ5)-1,8)),DATA,AQ5)</f>
        <v>0</v>
      </c>
      <c r="AR5" s="87">
        <f ca="1">IF(AND(OP="11",RAMX=DEC2BIN(COLUMN(AR5)-1,8),RAMY=DEC2BIN(ROW(AR5)-1,8)),DATA,AR5)</f>
        <v>0</v>
      </c>
      <c r="AS5" s="87">
        <f ca="1">IF(AND(OP="11",RAMX=DEC2BIN(COLUMN(AS5)-1,8),RAMY=DEC2BIN(ROW(AS5)-1,8)),DATA,AS5)</f>
        <v>0</v>
      </c>
      <c r="AT5" s="87">
        <f ca="1">IF(AND(OP="11",RAMX=DEC2BIN(COLUMN(AT5)-1,8),RAMY=DEC2BIN(ROW(AT5)-1,8)),DATA,AT5)</f>
        <v>0</v>
      </c>
      <c r="AU5" s="87">
        <f ca="1">IF(AND(OP="11",RAMX=DEC2BIN(COLUMN(AU5)-1,8),RAMY=DEC2BIN(ROW(AU5)-1,8)),DATA,AU5)</f>
        <v>0</v>
      </c>
      <c r="AV5" s="87">
        <f ca="1">IF(AND(OP="11",RAMX=DEC2BIN(COLUMN(AV5)-1,8),RAMY=DEC2BIN(ROW(AV5)-1,8)),DATA,AV5)</f>
        <v>0</v>
      </c>
      <c r="AW5" s="87">
        <f ca="1">IF(AND(OP="11",RAMX=DEC2BIN(COLUMN(AW5)-1,8),RAMY=DEC2BIN(ROW(AW5)-1,8)),DATA,AW5)</f>
        <v>0</v>
      </c>
      <c r="AX5" s="87">
        <f ca="1">IF(AND(OP="11",RAMX=DEC2BIN(COLUMN(AX5)-1,8),RAMY=DEC2BIN(ROW(AX5)-1,8)),DATA,AX5)</f>
        <v>0</v>
      </c>
      <c r="AY5" s="87">
        <f ca="1">IF(AND(OP="11",RAMX=DEC2BIN(COLUMN(AY5)-1,8),RAMY=DEC2BIN(ROW(AY5)-1,8)),DATA,AY5)</f>
        <v>0</v>
      </c>
      <c r="AZ5" s="87">
        <f ca="1">IF(AND(OP="11",RAMX=DEC2BIN(COLUMN(AZ5)-1,8),RAMY=DEC2BIN(ROW(AZ5)-1,8)),DATA,AZ5)</f>
        <v>0</v>
      </c>
      <c r="BA5" s="87">
        <f ca="1">IF(AND(OP="11",RAMX=DEC2BIN(COLUMN(BA5)-1,8),RAMY=DEC2BIN(ROW(BA5)-1,8)),DATA,BA5)</f>
        <v>0</v>
      </c>
      <c r="BB5" s="87">
        <f ca="1">IF(AND(OP="11",RAMX=DEC2BIN(COLUMN(BB5)-1,8),RAMY=DEC2BIN(ROW(BB5)-1,8)),DATA,BB5)</f>
        <v>0</v>
      </c>
      <c r="BC5" s="87">
        <f ca="1">IF(AND(OP="11",RAMX=DEC2BIN(COLUMN(BC5)-1,8),RAMY=DEC2BIN(ROW(BC5)-1,8)),DATA,BC5)</f>
        <v>0</v>
      </c>
      <c r="BD5" s="87">
        <f ca="1">IF(AND(OP="11",RAMX=DEC2BIN(COLUMN(BD5)-1,8),RAMY=DEC2BIN(ROW(BD5)-1,8)),DATA,BD5)</f>
        <v>0</v>
      </c>
      <c r="BE5" s="87">
        <f ca="1">IF(AND(OP="11",RAMX=DEC2BIN(COLUMN(BE5)-1,8),RAMY=DEC2BIN(ROW(BE5)-1,8)),DATA,BE5)</f>
        <v>0</v>
      </c>
      <c r="BF5" s="87">
        <f ca="1">IF(AND(OP="11",RAMX=DEC2BIN(COLUMN(BF5)-1,8),RAMY=DEC2BIN(ROW(BF5)-1,8)),DATA,BF5)</f>
        <v>0</v>
      </c>
      <c r="BG5" s="87">
        <f ca="1">IF(AND(OP="11",RAMX=DEC2BIN(COLUMN(BG5)-1,8),RAMY=DEC2BIN(ROW(BG5)-1,8)),DATA,BG5)</f>
        <v>0</v>
      </c>
      <c r="BH5" s="87">
        <f ca="1">IF(AND(OP="11",RAMX=DEC2BIN(COLUMN(BH5)-1,8),RAMY=DEC2BIN(ROW(BH5)-1,8)),DATA,BH5)</f>
        <v>0</v>
      </c>
      <c r="BI5" s="87">
        <f ca="1">IF(AND(OP="11",RAMX=DEC2BIN(COLUMN(BI5)-1,8),RAMY=DEC2BIN(ROW(BI5)-1,8)),DATA,BI5)</f>
        <v>0</v>
      </c>
      <c r="BJ5" s="87">
        <f ca="1">IF(AND(OP="11",RAMX=DEC2BIN(COLUMN(BJ5)-1,8),RAMY=DEC2BIN(ROW(BJ5)-1,8)),DATA,BJ5)</f>
        <v>0</v>
      </c>
      <c r="BK5" s="87">
        <f ca="1">IF(AND(OP="11",RAMX=DEC2BIN(COLUMN(BK5)-1,8),RAMY=DEC2BIN(ROW(BK5)-1,8)),DATA,BK5)</f>
        <v>0</v>
      </c>
      <c r="BL5" s="87">
        <f ca="1">IF(AND(OP="11",RAMX=DEC2BIN(COLUMN(BL5)-1,8),RAMY=DEC2BIN(ROW(BL5)-1,8)),DATA,BL5)</f>
        <v>0</v>
      </c>
    </row>
    <row r="6" spans="1:64" x14ac:dyDescent="0.25">
      <c r="A6" s="87">
        <f ca="1">IF(AND(OP="11",RAMX=DEC2BIN(COLUMN(A6)-1,8),RAMY=DEC2BIN(ROW(A6)-1,8)),DATA,A6)</f>
        <v>0</v>
      </c>
      <c r="B6" s="87">
        <f ca="1">IF(AND(OP="11",RAMX=DEC2BIN(COLUMN(B6)-1,8),RAMY=DEC2BIN(ROW(B6)-1,8)),DATA,B6)</f>
        <v>0</v>
      </c>
      <c r="C6" s="87">
        <f ca="1">IF(AND(OP="11",RAMX=DEC2BIN(COLUMN(C6)-1,8),RAMY=DEC2BIN(ROW(C6)-1,8)),DATA,C6)</f>
        <v>0</v>
      </c>
      <c r="D6" s="87">
        <f ca="1">IF(AND(OP="11",RAMX=DEC2BIN(COLUMN(D6)-1,8),RAMY=DEC2BIN(ROW(D6)-1,8)),DATA,D6)</f>
        <v>0</v>
      </c>
      <c r="E6" s="87">
        <f ca="1">IF(AND(OP="11",RAMX=DEC2BIN(COLUMN(E6)-1,8),RAMY=DEC2BIN(ROW(E6)-1,8)),DATA,E6)</f>
        <v>0</v>
      </c>
      <c r="F6" s="87">
        <f ca="1">IF(AND(OP="11",RAMX=DEC2BIN(COLUMN(F6)-1,8),RAMY=DEC2BIN(ROW(F6)-1,8)),DATA,F6)</f>
        <v>0</v>
      </c>
      <c r="G6" s="87">
        <f ca="1">IF(AND(OP="11",RAMX=DEC2BIN(COLUMN(G6)-1,8),RAMY=DEC2BIN(ROW(G6)-1,8)),DATA,G6)</f>
        <v>0</v>
      </c>
      <c r="H6" s="87">
        <f ca="1">IF(AND(OP="11",RAMX=DEC2BIN(COLUMN(H6)-1,8),RAMY=DEC2BIN(ROW(H6)-1,8)),DATA,H6)</f>
        <v>0</v>
      </c>
      <c r="I6" s="87">
        <f ca="1">IF(AND(OP="11",RAMX=DEC2BIN(COLUMN(I6)-1,8),RAMY=DEC2BIN(ROW(I6)-1,8)),DATA,I6)</f>
        <v>0</v>
      </c>
      <c r="J6" s="87">
        <f ca="1">IF(AND(OP="11",RAMX=DEC2BIN(COLUMN(J6)-1,8),RAMY=DEC2BIN(ROW(J6)-1,8)),DATA,J6)</f>
        <v>0</v>
      </c>
      <c r="K6" s="87">
        <f ca="1">IF(AND(OP="11",RAMX=DEC2BIN(COLUMN(K6)-1,8),RAMY=DEC2BIN(ROW(K6)-1,8)),DATA,K6)</f>
        <v>0</v>
      </c>
      <c r="L6" s="87">
        <f ca="1">IF(AND(OP="11",RAMX=DEC2BIN(COLUMN(L6)-1,8),RAMY=DEC2BIN(ROW(L6)-1,8)),DATA,L6)</f>
        <v>0</v>
      </c>
      <c r="M6" s="87">
        <f ca="1">IF(AND(OP="11",RAMX=DEC2BIN(COLUMN(M6)-1,8),RAMY=DEC2BIN(ROW(M6)-1,8)),DATA,M6)</f>
        <v>0</v>
      </c>
      <c r="N6" s="87">
        <f ca="1">IF(AND(OP="11",RAMX=DEC2BIN(COLUMN(N6)-1,8),RAMY=DEC2BIN(ROW(N6)-1,8)),DATA,N6)</f>
        <v>0</v>
      </c>
      <c r="O6" s="87">
        <f ca="1">IF(AND(OP="11",RAMX=DEC2BIN(COLUMN(O6)-1,8),RAMY=DEC2BIN(ROW(O6)-1,8)),DATA,O6)</f>
        <v>0</v>
      </c>
      <c r="P6" s="87">
        <f ca="1">IF(AND(OP="11",RAMX=DEC2BIN(COLUMN(P6)-1,8),RAMY=DEC2BIN(ROW(P6)-1,8)),DATA,P6)</f>
        <v>0</v>
      </c>
      <c r="Q6" s="87">
        <f ca="1">IF(AND(OP="11",RAMX=DEC2BIN(COLUMN(Q6)-1,8),RAMY=DEC2BIN(ROW(Q6)-1,8)),DATA,Q6)</f>
        <v>0</v>
      </c>
      <c r="R6" s="87">
        <f ca="1">IF(AND(OP="11",RAMX=DEC2BIN(COLUMN(R6)-1,8),RAMY=DEC2BIN(ROW(R6)-1,8)),DATA,R6)</f>
        <v>0</v>
      </c>
      <c r="S6" s="87">
        <f ca="1">IF(AND(OP="11",RAMX=DEC2BIN(COLUMN(S6)-1,8),RAMY=DEC2BIN(ROW(S6)-1,8)),DATA,S6)</f>
        <v>0</v>
      </c>
      <c r="T6" s="87">
        <f ca="1">IF(AND(OP="11",RAMX=DEC2BIN(COLUMN(T6)-1,8),RAMY=DEC2BIN(ROW(T6)-1,8)),DATA,T6)</f>
        <v>0</v>
      </c>
      <c r="U6" s="87">
        <f ca="1">IF(AND(OP="11",RAMX=DEC2BIN(COLUMN(U6)-1,8),RAMY=DEC2BIN(ROW(U6)-1,8)),DATA,U6)</f>
        <v>0</v>
      </c>
      <c r="V6" s="87">
        <f ca="1">IF(AND(OP="11",RAMX=DEC2BIN(COLUMN(V6)-1,8),RAMY=DEC2BIN(ROW(V6)-1,8)),DATA,V6)</f>
        <v>0</v>
      </c>
      <c r="W6" s="87">
        <f ca="1">IF(AND(OP="11",RAMX=DEC2BIN(COLUMN(W6)-1,8),RAMY=DEC2BIN(ROW(W6)-1,8)),DATA,W6)</f>
        <v>0</v>
      </c>
      <c r="X6" s="87">
        <f ca="1">IF(AND(OP="11",RAMX=DEC2BIN(COLUMN(X6)-1,8),RAMY=DEC2BIN(ROW(X6)-1,8)),DATA,X6)</f>
        <v>0</v>
      </c>
      <c r="Y6" s="87">
        <f ca="1">IF(AND(OP="11",RAMX=DEC2BIN(COLUMN(Y6)-1,8),RAMY=DEC2BIN(ROW(Y6)-1,8)),DATA,Y6)</f>
        <v>0</v>
      </c>
      <c r="Z6" s="87">
        <f ca="1">IF(AND(OP="11",RAMX=DEC2BIN(COLUMN(Z6)-1,8),RAMY=DEC2BIN(ROW(Z6)-1,8)),DATA,Z6)</f>
        <v>0</v>
      </c>
      <c r="AA6" s="87">
        <f ca="1">IF(AND(OP="11",RAMX=DEC2BIN(COLUMN(AA6)-1,8),RAMY=DEC2BIN(ROW(AA6)-1,8)),DATA,AA6)</f>
        <v>0</v>
      </c>
      <c r="AB6" s="87">
        <f ca="1">IF(AND(OP="11",RAMX=DEC2BIN(COLUMN(AB6)-1,8),RAMY=DEC2BIN(ROW(AB6)-1,8)),DATA,AB6)</f>
        <v>0</v>
      </c>
      <c r="AC6" s="87">
        <f ca="1">IF(AND(OP="11",RAMX=DEC2BIN(COLUMN(AC6)-1,8),RAMY=DEC2BIN(ROW(AC6)-1,8)),DATA,AC6)</f>
        <v>0</v>
      </c>
      <c r="AD6" s="87">
        <f ca="1">IF(AND(OP="11",RAMX=DEC2BIN(COLUMN(AD6)-1,8),RAMY=DEC2BIN(ROW(AD6)-1,8)),DATA,AD6)</f>
        <v>0</v>
      </c>
      <c r="AE6" s="87">
        <f ca="1">IF(AND(OP="11",RAMX=DEC2BIN(COLUMN(AE6)-1,8),RAMY=DEC2BIN(ROW(AE6)-1,8)),DATA,AE6)</f>
        <v>0</v>
      </c>
      <c r="AF6" s="87">
        <f ca="1">IF(AND(OP="11",RAMX=DEC2BIN(COLUMN(AF6)-1,8),RAMY=DEC2BIN(ROW(AF6)-1,8)),DATA,AF6)</f>
        <v>0</v>
      </c>
      <c r="AG6" s="87">
        <f ca="1">IF(AND(OP="11",RAMX=DEC2BIN(COLUMN(AG6)-1,8),RAMY=DEC2BIN(ROW(AG6)-1,8)),DATA,AG6)</f>
        <v>0</v>
      </c>
      <c r="AH6" s="87">
        <f ca="1">IF(AND(OP="11",RAMX=DEC2BIN(COLUMN(AH6)-1,8),RAMY=DEC2BIN(ROW(AH6)-1,8)),DATA,AH6)</f>
        <v>0</v>
      </c>
      <c r="AI6" s="87">
        <f ca="1">IF(AND(OP="11",RAMX=DEC2BIN(COLUMN(AI6)-1,8),RAMY=DEC2BIN(ROW(AI6)-1,8)),DATA,AI6)</f>
        <v>0</v>
      </c>
      <c r="AJ6" s="87">
        <f ca="1">IF(AND(OP="11",RAMX=DEC2BIN(COLUMN(AJ6)-1,8),RAMY=DEC2BIN(ROW(AJ6)-1,8)),DATA,AJ6)</f>
        <v>0</v>
      </c>
      <c r="AK6" s="87">
        <f ca="1">IF(AND(OP="11",RAMX=DEC2BIN(COLUMN(AK6)-1,8),RAMY=DEC2BIN(ROW(AK6)-1,8)),DATA,AK6)</f>
        <v>0</v>
      </c>
      <c r="AL6" s="87">
        <f ca="1">IF(AND(OP="11",RAMX=DEC2BIN(COLUMN(AL6)-1,8),RAMY=DEC2BIN(ROW(AL6)-1,8)),DATA,AL6)</f>
        <v>0</v>
      </c>
      <c r="AM6" s="87">
        <f ca="1">IF(AND(OP="11",RAMX=DEC2BIN(COLUMN(AM6)-1,8),RAMY=DEC2BIN(ROW(AM6)-1,8)),DATA,AM6)</f>
        <v>0</v>
      </c>
      <c r="AN6" s="87">
        <f ca="1">IF(AND(OP="11",RAMX=DEC2BIN(COLUMN(AN6)-1,8),RAMY=DEC2BIN(ROW(AN6)-1,8)),DATA,AN6)</f>
        <v>0</v>
      </c>
      <c r="AO6" s="87">
        <f ca="1">IF(AND(OP="11",RAMX=DEC2BIN(COLUMN(AO6)-1,8),RAMY=DEC2BIN(ROW(AO6)-1,8)),DATA,AO6)</f>
        <v>0</v>
      </c>
      <c r="AP6" s="87">
        <f ca="1">IF(AND(OP="11",RAMX=DEC2BIN(COLUMN(AP6)-1,8),RAMY=DEC2BIN(ROW(AP6)-1,8)),DATA,AP6)</f>
        <v>0</v>
      </c>
      <c r="AQ6" s="87">
        <f ca="1">IF(AND(OP="11",RAMX=DEC2BIN(COLUMN(AQ6)-1,8),RAMY=DEC2BIN(ROW(AQ6)-1,8)),DATA,AQ6)</f>
        <v>0</v>
      </c>
      <c r="AR6" s="87">
        <f ca="1">IF(AND(OP="11",RAMX=DEC2BIN(COLUMN(AR6)-1,8),RAMY=DEC2BIN(ROW(AR6)-1,8)),DATA,AR6)</f>
        <v>0</v>
      </c>
      <c r="AS6" s="87">
        <f ca="1">IF(AND(OP="11",RAMX=DEC2BIN(COLUMN(AS6)-1,8),RAMY=DEC2BIN(ROW(AS6)-1,8)),DATA,AS6)</f>
        <v>0</v>
      </c>
      <c r="AT6" s="87">
        <f ca="1">IF(AND(OP="11",RAMX=DEC2BIN(COLUMN(AT6)-1,8),RAMY=DEC2BIN(ROW(AT6)-1,8)),DATA,AT6)</f>
        <v>0</v>
      </c>
      <c r="AU6" s="87">
        <f ca="1">IF(AND(OP="11",RAMX=DEC2BIN(COLUMN(AU6)-1,8),RAMY=DEC2BIN(ROW(AU6)-1,8)),DATA,AU6)</f>
        <v>0</v>
      </c>
      <c r="AV6" s="87">
        <f ca="1">IF(AND(OP="11",RAMX=DEC2BIN(COLUMN(AV6)-1,8),RAMY=DEC2BIN(ROW(AV6)-1,8)),DATA,AV6)</f>
        <v>0</v>
      </c>
      <c r="AW6" s="87">
        <f ca="1">IF(AND(OP="11",RAMX=DEC2BIN(COLUMN(AW6)-1,8),RAMY=DEC2BIN(ROW(AW6)-1,8)),DATA,AW6)</f>
        <v>0</v>
      </c>
      <c r="AX6" s="87">
        <f ca="1">IF(AND(OP="11",RAMX=DEC2BIN(COLUMN(AX6)-1,8),RAMY=DEC2BIN(ROW(AX6)-1,8)),DATA,AX6)</f>
        <v>0</v>
      </c>
      <c r="AY6" s="87">
        <f ca="1">IF(AND(OP="11",RAMX=DEC2BIN(COLUMN(AY6)-1,8),RAMY=DEC2BIN(ROW(AY6)-1,8)),DATA,AY6)</f>
        <v>0</v>
      </c>
      <c r="AZ6" s="87">
        <f ca="1">IF(AND(OP="11",RAMX=DEC2BIN(COLUMN(AZ6)-1,8),RAMY=DEC2BIN(ROW(AZ6)-1,8)),DATA,AZ6)</f>
        <v>0</v>
      </c>
      <c r="BA6" s="87">
        <f ca="1">IF(AND(OP="11",RAMX=DEC2BIN(COLUMN(BA6)-1,8),RAMY=DEC2BIN(ROW(BA6)-1,8)),DATA,BA6)</f>
        <v>0</v>
      </c>
      <c r="BB6" s="87">
        <f ca="1">IF(AND(OP="11",RAMX=DEC2BIN(COLUMN(BB6)-1,8),RAMY=DEC2BIN(ROW(BB6)-1,8)),DATA,BB6)</f>
        <v>0</v>
      </c>
      <c r="BC6" s="87">
        <f ca="1">IF(AND(OP="11",RAMX=DEC2BIN(COLUMN(BC6)-1,8),RAMY=DEC2BIN(ROW(BC6)-1,8)),DATA,BC6)</f>
        <v>0</v>
      </c>
      <c r="BD6" s="87">
        <f ca="1">IF(AND(OP="11",RAMX=DEC2BIN(COLUMN(BD6)-1,8),RAMY=DEC2BIN(ROW(BD6)-1,8)),DATA,BD6)</f>
        <v>0</v>
      </c>
      <c r="BE6" s="87">
        <f ca="1">IF(AND(OP="11",RAMX=DEC2BIN(COLUMN(BE6)-1,8),RAMY=DEC2BIN(ROW(BE6)-1,8)),DATA,BE6)</f>
        <v>0</v>
      </c>
      <c r="BF6" s="87">
        <f ca="1">IF(AND(OP="11",RAMX=DEC2BIN(COLUMN(BF6)-1,8),RAMY=DEC2BIN(ROW(BF6)-1,8)),DATA,BF6)</f>
        <v>0</v>
      </c>
      <c r="BG6" s="87">
        <f ca="1">IF(AND(OP="11",RAMX=DEC2BIN(COLUMN(BG6)-1,8),RAMY=DEC2BIN(ROW(BG6)-1,8)),DATA,BG6)</f>
        <v>0</v>
      </c>
      <c r="BH6" s="87">
        <f ca="1">IF(AND(OP="11",RAMX=DEC2BIN(COLUMN(BH6)-1,8),RAMY=DEC2BIN(ROW(BH6)-1,8)),DATA,BH6)</f>
        <v>0</v>
      </c>
      <c r="BI6" s="87">
        <f ca="1">IF(AND(OP="11",RAMX=DEC2BIN(COLUMN(BI6)-1,8),RAMY=DEC2BIN(ROW(BI6)-1,8)),DATA,BI6)</f>
        <v>0</v>
      </c>
      <c r="BJ6" s="87">
        <f ca="1">IF(AND(OP="11",RAMX=DEC2BIN(COLUMN(BJ6)-1,8),RAMY=DEC2BIN(ROW(BJ6)-1,8)),DATA,BJ6)</f>
        <v>0</v>
      </c>
      <c r="BK6" s="87">
        <f ca="1">IF(AND(OP="11",RAMX=DEC2BIN(COLUMN(BK6)-1,8),RAMY=DEC2BIN(ROW(BK6)-1,8)),DATA,BK6)</f>
        <v>0</v>
      </c>
      <c r="BL6" s="87">
        <f ca="1">IF(AND(OP="11",RAMX=DEC2BIN(COLUMN(BL6)-1,8),RAMY=DEC2BIN(ROW(BL6)-1,8)),DATA,BL6)</f>
        <v>0</v>
      </c>
    </row>
    <row r="7" spans="1:64" x14ac:dyDescent="0.25">
      <c r="A7" s="87">
        <f ca="1">IF(AND(OP="11",RAMX=DEC2BIN(COLUMN(A7)-1,8),RAMY=DEC2BIN(ROW(A7)-1,8)),DATA,A7)</f>
        <v>0</v>
      </c>
      <c r="B7" s="87">
        <f ca="1">IF(AND(OP="11",RAMX=DEC2BIN(COLUMN(B7)-1,8),RAMY=DEC2BIN(ROW(B7)-1,8)),DATA,B7)</f>
        <v>0</v>
      </c>
      <c r="C7" s="87">
        <f ca="1">IF(AND(OP="11",RAMX=DEC2BIN(COLUMN(C7)-1,8),RAMY=DEC2BIN(ROW(C7)-1,8)),DATA,C7)</f>
        <v>0</v>
      </c>
      <c r="D7" s="87">
        <f ca="1">IF(AND(OP="11",RAMX=DEC2BIN(COLUMN(D7)-1,8),RAMY=DEC2BIN(ROW(D7)-1,8)),DATA,D7)</f>
        <v>0</v>
      </c>
      <c r="E7" s="87">
        <f ca="1">IF(AND(OP="11",RAMX=DEC2BIN(COLUMN(E7)-1,8),RAMY=DEC2BIN(ROW(E7)-1,8)),DATA,E7)</f>
        <v>0</v>
      </c>
      <c r="F7" s="87">
        <f ca="1">IF(AND(OP="11",RAMX=DEC2BIN(COLUMN(F7)-1,8),RAMY=DEC2BIN(ROW(F7)-1,8)),DATA,F7)</f>
        <v>0</v>
      </c>
      <c r="G7" s="87">
        <f ca="1">IF(AND(OP="11",RAMX=DEC2BIN(COLUMN(G7)-1,8),RAMY=DEC2BIN(ROW(G7)-1,8)),DATA,G7)</f>
        <v>0</v>
      </c>
      <c r="H7" s="87">
        <f ca="1">IF(AND(OP="11",RAMX=DEC2BIN(COLUMN(H7)-1,8),RAMY=DEC2BIN(ROW(H7)-1,8)),DATA,H7)</f>
        <v>0</v>
      </c>
      <c r="I7" s="87">
        <f ca="1">IF(AND(OP="11",RAMX=DEC2BIN(COLUMN(I7)-1,8),RAMY=DEC2BIN(ROW(I7)-1,8)),DATA,I7)</f>
        <v>0</v>
      </c>
      <c r="J7" s="87">
        <f ca="1">IF(AND(OP="11",RAMX=DEC2BIN(COLUMN(J7)-1,8),RAMY=DEC2BIN(ROW(J7)-1,8)),DATA,J7)</f>
        <v>0</v>
      </c>
      <c r="K7" s="87">
        <f ca="1">IF(AND(OP="11",RAMX=DEC2BIN(COLUMN(K7)-1,8),RAMY=DEC2BIN(ROW(K7)-1,8)),DATA,K7)</f>
        <v>0</v>
      </c>
      <c r="L7" s="87">
        <f ca="1">IF(AND(OP="11",RAMX=DEC2BIN(COLUMN(L7)-1,8),RAMY=DEC2BIN(ROW(L7)-1,8)),DATA,L7)</f>
        <v>0</v>
      </c>
      <c r="M7" s="87">
        <f ca="1">IF(AND(OP="11",RAMX=DEC2BIN(COLUMN(M7)-1,8),RAMY=DEC2BIN(ROW(M7)-1,8)),DATA,M7)</f>
        <v>0</v>
      </c>
      <c r="N7" s="87">
        <f ca="1">IF(AND(OP="11",RAMX=DEC2BIN(COLUMN(N7)-1,8),RAMY=DEC2BIN(ROW(N7)-1,8)),DATA,N7)</f>
        <v>0</v>
      </c>
      <c r="O7" s="87">
        <f ca="1">IF(AND(OP="11",RAMX=DEC2BIN(COLUMN(O7)-1,8),RAMY=DEC2BIN(ROW(O7)-1,8)),DATA,O7)</f>
        <v>0</v>
      </c>
      <c r="P7" s="87">
        <f ca="1">IF(AND(OP="11",RAMX=DEC2BIN(COLUMN(P7)-1,8),RAMY=DEC2BIN(ROW(P7)-1,8)),DATA,P7)</f>
        <v>0</v>
      </c>
      <c r="Q7" s="87">
        <f ca="1">IF(AND(OP="11",RAMX=DEC2BIN(COLUMN(Q7)-1,8),RAMY=DEC2BIN(ROW(Q7)-1,8)),DATA,Q7)</f>
        <v>0</v>
      </c>
      <c r="R7" s="87">
        <f ca="1">IF(AND(OP="11",RAMX=DEC2BIN(COLUMN(R7)-1,8),RAMY=DEC2BIN(ROW(R7)-1,8)),DATA,R7)</f>
        <v>0</v>
      </c>
      <c r="S7" s="87">
        <f ca="1">IF(AND(OP="11",RAMX=DEC2BIN(COLUMN(S7)-1,8),RAMY=DEC2BIN(ROW(S7)-1,8)),DATA,S7)</f>
        <v>0</v>
      </c>
      <c r="T7" s="87">
        <f ca="1">IF(AND(OP="11",RAMX=DEC2BIN(COLUMN(T7)-1,8),RAMY=DEC2BIN(ROW(T7)-1,8)),DATA,T7)</f>
        <v>0</v>
      </c>
      <c r="U7" s="87">
        <f ca="1">IF(AND(OP="11",RAMX=DEC2BIN(COLUMN(U7)-1,8),RAMY=DEC2BIN(ROW(U7)-1,8)),DATA,U7)</f>
        <v>0</v>
      </c>
      <c r="V7" s="87">
        <f ca="1">IF(AND(OP="11",RAMX=DEC2BIN(COLUMN(V7)-1,8),RAMY=DEC2BIN(ROW(V7)-1,8)),DATA,V7)</f>
        <v>0</v>
      </c>
      <c r="W7" s="87">
        <f ca="1">IF(AND(OP="11",RAMX=DEC2BIN(COLUMN(W7)-1,8),RAMY=DEC2BIN(ROW(W7)-1,8)),DATA,W7)</f>
        <v>0</v>
      </c>
      <c r="X7" s="87">
        <f ca="1">IF(AND(OP="11",RAMX=DEC2BIN(COLUMN(X7)-1,8),RAMY=DEC2BIN(ROW(X7)-1,8)),DATA,X7)</f>
        <v>0</v>
      </c>
      <c r="Y7" s="87">
        <f ca="1">IF(AND(OP="11",RAMX=DEC2BIN(COLUMN(Y7)-1,8),RAMY=DEC2BIN(ROW(Y7)-1,8)),DATA,Y7)</f>
        <v>0</v>
      </c>
      <c r="Z7" s="87">
        <f ca="1">IF(AND(OP="11",RAMX=DEC2BIN(COLUMN(Z7)-1,8),RAMY=DEC2BIN(ROW(Z7)-1,8)),DATA,Z7)</f>
        <v>0</v>
      </c>
      <c r="AA7" s="87">
        <f ca="1">IF(AND(OP="11",RAMX=DEC2BIN(COLUMN(AA7)-1,8),RAMY=DEC2BIN(ROW(AA7)-1,8)),DATA,AA7)</f>
        <v>0</v>
      </c>
      <c r="AB7" s="87">
        <f ca="1">IF(AND(OP="11",RAMX=DEC2BIN(COLUMN(AB7)-1,8),RAMY=DEC2BIN(ROW(AB7)-1,8)),DATA,AB7)</f>
        <v>0</v>
      </c>
      <c r="AC7" s="87">
        <f ca="1">IF(AND(OP="11",RAMX=DEC2BIN(COLUMN(AC7)-1,8),RAMY=DEC2BIN(ROW(AC7)-1,8)),DATA,AC7)</f>
        <v>0</v>
      </c>
      <c r="AD7" s="87">
        <f ca="1">IF(AND(OP="11",RAMX=DEC2BIN(COLUMN(AD7)-1,8),RAMY=DEC2BIN(ROW(AD7)-1,8)),DATA,AD7)</f>
        <v>0</v>
      </c>
      <c r="AE7" s="87">
        <f ca="1">IF(AND(OP="11",RAMX=DEC2BIN(COLUMN(AE7)-1,8),RAMY=DEC2BIN(ROW(AE7)-1,8)),DATA,AE7)</f>
        <v>0</v>
      </c>
      <c r="AF7" s="87">
        <f ca="1">IF(AND(OP="11",RAMX=DEC2BIN(COLUMN(AF7)-1,8),RAMY=DEC2BIN(ROW(AF7)-1,8)),DATA,AF7)</f>
        <v>0</v>
      </c>
      <c r="AG7" s="87">
        <f ca="1">IF(AND(OP="11",RAMX=DEC2BIN(COLUMN(AG7)-1,8),RAMY=DEC2BIN(ROW(AG7)-1,8)),DATA,AG7)</f>
        <v>0</v>
      </c>
      <c r="AH7" s="87">
        <f ca="1">IF(AND(OP="11",RAMX=DEC2BIN(COLUMN(AH7)-1,8),RAMY=DEC2BIN(ROW(AH7)-1,8)),DATA,AH7)</f>
        <v>0</v>
      </c>
      <c r="AI7" s="87">
        <f ca="1">IF(AND(OP="11",RAMX=DEC2BIN(COLUMN(AI7)-1,8),RAMY=DEC2BIN(ROW(AI7)-1,8)),DATA,AI7)</f>
        <v>0</v>
      </c>
      <c r="AJ7" s="87">
        <f ca="1">IF(AND(OP="11",RAMX=DEC2BIN(COLUMN(AJ7)-1,8),RAMY=DEC2BIN(ROW(AJ7)-1,8)),DATA,AJ7)</f>
        <v>0</v>
      </c>
      <c r="AK7" s="87">
        <f ca="1">IF(AND(OP="11",RAMX=DEC2BIN(COLUMN(AK7)-1,8),RAMY=DEC2BIN(ROW(AK7)-1,8)),DATA,AK7)</f>
        <v>0</v>
      </c>
      <c r="AL7" s="87">
        <f ca="1">IF(AND(OP="11",RAMX=DEC2BIN(COLUMN(AL7)-1,8),RAMY=DEC2BIN(ROW(AL7)-1,8)),DATA,AL7)</f>
        <v>0</v>
      </c>
      <c r="AM7" s="87">
        <f ca="1">IF(AND(OP="11",RAMX=DEC2BIN(COLUMN(AM7)-1,8),RAMY=DEC2BIN(ROW(AM7)-1,8)),DATA,AM7)</f>
        <v>0</v>
      </c>
      <c r="AN7" s="87">
        <f ca="1">IF(AND(OP="11",RAMX=DEC2BIN(COLUMN(AN7)-1,8),RAMY=DEC2BIN(ROW(AN7)-1,8)),DATA,AN7)</f>
        <v>0</v>
      </c>
      <c r="AO7" s="87">
        <f ca="1">IF(AND(OP="11",RAMX=DEC2BIN(COLUMN(AO7)-1,8),RAMY=DEC2BIN(ROW(AO7)-1,8)),DATA,AO7)</f>
        <v>0</v>
      </c>
      <c r="AP7" s="87">
        <f ca="1">IF(AND(OP="11",RAMX=DEC2BIN(COLUMN(AP7)-1,8),RAMY=DEC2BIN(ROW(AP7)-1,8)),DATA,AP7)</f>
        <v>0</v>
      </c>
      <c r="AQ7" s="87">
        <f ca="1">IF(AND(OP="11",RAMX=DEC2BIN(COLUMN(AQ7)-1,8),RAMY=DEC2BIN(ROW(AQ7)-1,8)),DATA,AQ7)</f>
        <v>0</v>
      </c>
      <c r="AR7" s="87">
        <f ca="1">IF(AND(OP="11",RAMX=DEC2BIN(COLUMN(AR7)-1,8),RAMY=DEC2BIN(ROW(AR7)-1,8)),DATA,AR7)</f>
        <v>0</v>
      </c>
      <c r="AS7" s="87">
        <f ca="1">IF(AND(OP="11",RAMX=DEC2BIN(COLUMN(AS7)-1,8),RAMY=DEC2BIN(ROW(AS7)-1,8)),DATA,AS7)</f>
        <v>0</v>
      </c>
      <c r="AT7" s="87">
        <f ca="1">IF(AND(OP="11",RAMX=DEC2BIN(COLUMN(AT7)-1,8),RAMY=DEC2BIN(ROW(AT7)-1,8)),DATA,AT7)</f>
        <v>0</v>
      </c>
      <c r="AU7" s="87">
        <f ca="1">IF(AND(OP="11",RAMX=DEC2BIN(COLUMN(AU7)-1,8),RAMY=DEC2BIN(ROW(AU7)-1,8)),DATA,AU7)</f>
        <v>0</v>
      </c>
      <c r="AV7" s="87">
        <f ca="1">IF(AND(OP="11",RAMX=DEC2BIN(COLUMN(AV7)-1,8),RAMY=DEC2BIN(ROW(AV7)-1,8)),DATA,AV7)</f>
        <v>0</v>
      </c>
      <c r="AW7" s="87">
        <f ca="1">IF(AND(OP="11",RAMX=DEC2BIN(COLUMN(AW7)-1,8),RAMY=DEC2BIN(ROW(AW7)-1,8)),DATA,AW7)</f>
        <v>0</v>
      </c>
      <c r="AX7" s="87">
        <f ca="1">IF(AND(OP="11",RAMX=DEC2BIN(COLUMN(AX7)-1,8),RAMY=DEC2BIN(ROW(AX7)-1,8)),DATA,AX7)</f>
        <v>0</v>
      </c>
      <c r="AY7" s="87">
        <f ca="1">IF(AND(OP="11",RAMX=DEC2BIN(COLUMN(AY7)-1,8),RAMY=DEC2BIN(ROW(AY7)-1,8)),DATA,AY7)</f>
        <v>0</v>
      </c>
      <c r="AZ7" s="87">
        <f ca="1">IF(AND(OP="11",RAMX=DEC2BIN(COLUMN(AZ7)-1,8),RAMY=DEC2BIN(ROW(AZ7)-1,8)),DATA,AZ7)</f>
        <v>0</v>
      </c>
      <c r="BA7" s="87">
        <f ca="1">IF(AND(OP="11",RAMX=DEC2BIN(COLUMN(BA7)-1,8),RAMY=DEC2BIN(ROW(BA7)-1,8)),DATA,BA7)</f>
        <v>0</v>
      </c>
      <c r="BB7" s="87">
        <f ca="1">IF(AND(OP="11",RAMX=DEC2BIN(COLUMN(BB7)-1,8),RAMY=DEC2BIN(ROW(BB7)-1,8)),DATA,BB7)</f>
        <v>0</v>
      </c>
      <c r="BC7" s="87">
        <f ca="1">IF(AND(OP="11",RAMX=DEC2BIN(COLUMN(BC7)-1,8),RAMY=DEC2BIN(ROW(BC7)-1,8)),DATA,BC7)</f>
        <v>0</v>
      </c>
      <c r="BD7" s="87">
        <f ca="1">IF(AND(OP="11",RAMX=DEC2BIN(COLUMN(BD7)-1,8),RAMY=DEC2BIN(ROW(BD7)-1,8)),DATA,BD7)</f>
        <v>0</v>
      </c>
      <c r="BE7" s="87">
        <f ca="1">IF(AND(OP="11",RAMX=DEC2BIN(COLUMN(BE7)-1,8),RAMY=DEC2BIN(ROW(BE7)-1,8)),DATA,BE7)</f>
        <v>0</v>
      </c>
      <c r="BF7" s="87">
        <f ca="1">IF(AND(OP="11",RAMX=DEC2BIN(COLUMN(BF7)-1,8),RAMY=DEC2BIN(ROW(BF7)-1,8)),DATA,BF7)</f>
        <v>0</v>
      </c>
      <c r="BG7" s="87">
        <f ca="1">IF(AND(OP="11",RAMX=DEC2BIN(COLUMN(BG7)-1,8),RAMY=DEC2BIN(ROW(BG7)-1,8)),DATA,BG7)</f>
        <v>0</v>
      </c>
      <c r="BH7" s="87">
        <f ca="1">IF(AND(OP="11",RAMX=DEC2BIN(COLUMN(BH7)-1,8),RAMY=DEC2BIN(ROW(BH7)-1,8)),DATA,BH7)</f>
        <v>0</v>
      </c>
      <c r="BI7" s="87">
        <f ca="1">IF(AND(OP="11",RAMX=DEC2BIN(COLUMN(BI7)-1,8),RAMY=DEC2BIN(ROW(BI7)-1,8)),DATA,BI7)</f>
        <v>0</v>
      </c>
      <c r="BJ7" s="87">
        <f ca="1">IF(AND(OP="11",RAMX=DEC2BIN(COLUMN(BJ7)-1,8),RAMY=DEC2BIN(ROW(BJ7)-1,8)),DATA,BJ7)</f>
        <v>0</v>
      </c>
      <c r="BK7" s="87">
        <f ca="1">IF(AND(OP="11",RAMX=DEC2BIN(COLUMN(BK7)-1,8),RAMY=DEC2BIN(ROW(BK7)-1,8)),DATA,BK7)</f>
        <v>0</v>
      </c>
      <c r="BL7" s="87">
        <f ca="1">IF(AND(OP="11",RAMX=DEC2BIN(COLUMN(BL7)-1,8),RAMY=DEC2BIN(ROW(BL7)-1,8)),DATA,BL7)</f>
        <v>0</v>
      </c>
    </row>
    <row r="8" spans="1:64" x14ac:dyDescent="0.25">
      <c r="A8" s="87">
        <f ca="1">IF(AND(OP="11",RAMX=DEC2BIN(COLUMN(A8)-1,8),RAMY=DEC2BIN(ROW(A8)-1,8)),DATA,A8)</f>
        <v>0</v>
      </c>
      <c r="B8" s="87">
        <f ca="1">IF(AND(OP="11",RAMX=DEC2BIN(COLUMN(B8)-1,8),RAMY=DEC2BIN(ROW(B8)-1,8)),DATA,B8)</f>
        <v>0</v>
      </c>
      <c r="C8" s="87">
        <f ca="1">IF(AND(OP="11",RAMX=DEC2BIN(COLUMN(C8)-1,8),RAMY=DEC2BIN(ROW(C8)-1,8)),DATA,C8)</f>
        <v>0</v>
      </c>
      <c r="D8" s="87">
        <f ca="1">IF(AND(OP="11",RAMX=DEC2BIN(COLUMN(D8)-1,8),RAMY=DEC2BIN(ROW(D8)-1,8)),DATA,D8)</f>
        <v>0</v>
      </c>
      <c r="E8" s="87">
        <f ca="1">IF(AND(OP="11",RAMX=DEC2BIN(COLUMN(E8)-1,8),RAMY=DEC2BIN(ROW(E8)-1,8)),DATA,E8)</f>
        <v>0</v>
      </c>
      <c r="F8" s="87">
        <f ca="1">IF(AND(OP="11",RAMX=DEC2BIN(COLUMN(F8)-1,8),RAMY=DEC2BIN(ROW(F8)-1,8)),DATA,F8)</f>
        <v>0</v>
      </c>
      <c r="G8" s="87">
        <f ca="1">IF(AND(OP="11",RAMX=DEC2BIN(COLUMN(G8)-1,8),RAMY=DEC2BIN(ROW(G8)-1,8)),DATA,G8)</f>
        <v>0</v>
      </c>
      <c r="H8" s="87">
        <f ca="1">IF(AND(OP="11",RAMX=DEC2BIN(COLUMN(H8)-1,8),RAMY=DEC2BIN(ROW(H8)-1,8)),DATA,H8)</f>
        <v>0</v>
      </c>
      <c r="I8" s="87">
        <f ca="1">IF(AND(OP="11",RAMX=DEC2BIN(COLUMN(I8)-1,8),RAMY=DEC2BIN(ROW(I8)-1,8)),DATA,I8)</f>
        <v>0</v>
      </c>
      <c r="J8" s="87">
        <f ca="1">IF(AND(OP="11",RAMX=DEC2BIN(COLUMN(J8)-1,8),RAMY=DEC2BIN(ROW(J8)-1,8)),DATA,J8)</f>
        <v>0</v>
      </c>
      <c r="K8" s="87">
        <f ca="1">IF(AND(OP="11",RAMX=DEC2BIN(COLUMN(K8)-1,8),RAMY=DEC2BIN(ROW(K8)-1,8)),DATA,K8)</f>
        <v>0</v>
      </c>
      <c r="L8" s="87">
        <f ca="1">IF(AND(OP="11",RAMX=DEC2BIN(COLUMN(L8)-1,8),RAMY=DEC2BIN(ROW(L8)-1,8)),DATA,L8)</f>
        <v>0</v>
      </c>
      <c r="M8" s="87">
        <f ca="1">IF(AND(OP="11",RAMX=DEC2BIN(COLUMN(M8)-1,8),RAMY=DEC2BIN(ROW(M8)-1,8)),DATA,M8)</f>
        <v>0</v>
      </c>
      <c r="N8" s="87">
        <f ca="1">IF(AND(OP="11",RAMX=DEC2BIN(COLUMN(N8)-1,8),RAMY=DEC2BIN(ROW(N8)-1,8)),DATA,N8)</f>
        <v>0</v>
      </c>
      <c r="O8" s="87">
        <f ca="1">IF(AND(OP="11",RAMX=DEC2BIN(COLUMN(O8)-1,8),RAMY=DEC2BIN(ROW(O8)-1,8)),DATA,O8)</f>
        <v>0</v>
      </c>
      <c r="P8" s="87">
        <f ca="1">IF(AND(OP="11",RAMX=DEC2BIN(COLUMN(P8)-1,8),RAMY=DEC2BIN(ROW(P8)-1,8)),DATA,P8)</f>
        <v>0</v>
      </c>
      <c r="Q8" s="87">
        <f ca="1">IF(AND(OP="11",RAMX=DEC2BIN(COLUMN(Q8)-1,8),RAMY=DEC2BIN(ROW(Q8)-1,8)),DATA,Q8)</f>
        <v>0</v>
      </c>
      <c r="R8" s="87">
        <f ca="1">IF(AND(OP="11",RAMX=DEC2BIN(COLUMN(R8)-1,8),RAMY=DEC2BIN(ROW(R8)-1,8)),DATA,R8)</f>
        <v>0</v>
      </c>
      <c r="S8" s="87">
        <f ca="1">IF(AND(OP="11",RAMX=DEC2BIN(COLUMN(S8)-1,8),RAMY=DEC2BIN(ROW(S8)-1,8)),DATA,S8)</f>
        <v>0</v>
      </c>
      <c r="T8" s="87">
        <f ca="1">IF(AND(OP="11",RAMX=DEC2BIN(COLUMN(T8)-1,8),RAMY=DEC2BIN(ROW(T8)-1,8)),DATA,T8)</f>
        <v>0</v>
      </c>
      <c r="U8" s="87">
        <f ca="1">IF(AND(OP="11",RAMX=DEC2BIN(COLUMN(U8)-1,8),RAMY=DEC2BIN(ROW(U8)-1,8)),DATA,U8)</f>
        <v>0</v>
      </c>
      <c r="V8" s="87">
        <f ca="1">IF(AND(OP="11",RAMX=DEC2BIN(COLUMN(V8)-1,8),RAMY=DEC2BIN(ROW(V8)-1,8)),DATA,V8)</f>
        <v>0</v>
      </c>
      <c r="W8" s="87">
        <f ca="1">IF(AND(OP="11",RAMX=DEC2BIN(COLUMN(W8)-1,8),RAMY=DEC2BIN(ROW(W8)-1,8)),DATA,W8)</f>
        <v>0</v>
      </c>
      <c r="X8" s="87">
        <f ca="1">IF(AND(OP="11",RAMX=DEC2BIN(COLUMN(X8)-1,8),RAMY=DEC2BIN(ROW(X8)-1,8)),DATA,X8)</f>
        <v>0</v>
      </c>
      <c r="Y8" s="87">
        <f ca="1">IF(AND(OP="11",RAMX=DEC2BIN(COLUMN(Y8)-1,8),RAMY=DEC2BIN(ROW(Y8)-1,8)),DATA,Y8)</f>
        <v>0</v>
      </c>
      <c r="Z8" s="87">
        <f ca="1">IF(AND(OP="11",RAMX=DEC2BIN(COLUMN(Z8)-1,8),RAMY=DEC2BIN(ROW(Z8)-1,8)),DATA,Z8)</f>
        <v>0</v>
      </c>
      <c r="AA8" s="87">
        <f ca="1">IF(AND(OP="11",RAMX=DEC2BIN(COLUMN(AA8)-1,8),RAMY=DEC2BIN(ROW(AA8)-1,8)),DATA,AA8)</f>
        <v>0</v>
      </c>
      <c r="AB8" s="87">
        <f ca="1">IF(AND(OP="11",RAMX=DEC2BIN(COLUMN(AB8)-1,8),RAMY=DEC2BIN(ROW(AB8)-1,8)),DATA,AB8)</f>
        <v>0</v>
      </c>
      <c r="AC8" s="87">
        <f ca="1">IF(AND(OP="11",RAMX=DEC2BIN(COLUMN(AC8)-1,8),RAMY=DEC2BIN(ROW(AC8)-1,8)),DATA,AC8)</f>
        <v>0</v>
      </c>
      <c r="AD8" s="87">
        <f ca="1">IF(AND(OP="11",RAMX=DEC2BIN(COLUMN(AD8)-1,8),RAMY=DEC2BIN(ROW(AD8)-1,8)),DATA,AD8)</f>
        <v>0</v>
      </c>
      <c r="AE8" s="87">
        <f ca="1">IF(AND(OP="11",RAMX=DEC2BIN(COLUMN(AE8)-1,8),RAMY=DEC2BIN(ROW(AE8)-1,8)),DATA,AE8)</f>
        <v>0</v>
      </c>
      <c r="AF8" s="87">
        <f ca="1">IF(AND(OP="11",RAMX=DEC2BIN(COLUMN(AF8)-1,8),RAMY=DEC2BIN(ROW(AF8)-1,8)),DATA,AF8)</f>
        <v>0</v>
      </c>
      <c r="AG8" s="87">
        <f ca="1">IF(AND(OP="11",RAMX=DEC2BIN(COLUMN(AG8)-1,8),RAMY=DEC2BIN(ROW(AG8)-1,8)),DATA,AG8)</f>
        <v>0</v>
      </c>
      <c r="AH8" s="87">
        <f ca="1">IF(AND(OP="11",RAMX=DEC2BIN(COLUMN(AH8)-1,8),RAMY=DEC2BIN(ROW(AH8)-1,8)),DATA,AH8)</f>
        <v>0</v>
      </c>
      <c r="AI8" s="87">
        <f ca="1">IF(AND(OP="11",RAMX=DEC2BIN(COLUMN(AI8)-1,8),RAMY=DEC2BIN(ROW(AI8)-1,8)),DATA,AI8)</f>
        <v>0</v>
      </c>
      <c r="AJ8" s="87">
        <f ca="1">IF(AND(OP="11",RAMX=DEC2BIN(COLUMN(AJ8)-1,8),RAMY=DEC2BIN(ROW(AJ8)-1,8)),DATA,AJ8)</f>
        <v>0</v>
      </c>
      <c r="AK8" s="87">
        <f ca="1">IF(AND(OP="11",RAMX=DEC2BIN(COLUMN(AK8)-1,8),RAMY=DEC2BIN(ROW(AK8)-1,8)),DATA,AK8)</f>
        <v>0</v>
      </c>
      <c r="AL8" s="87">
        <f ca="1">IF(AND(OP="11",RAMX=DEC2BIN(COLUMN(AL8)-1,8),RAMY=DEC2BIN(ROW(AL8)-1,8)),DATA,AL8)</f>
        <v>0</v>
      </c>
      <c r="AM8" s="87">
        <f ca="1">IF(AND(OP="11",RAMX=DEC2BIN(COLUMN(AM8)-1,8),RAMY=DEC2BIN(ROW(AM8)-1,8)),DATA,AM8)</f>
        <v>0</v>
      </c>
      <c r="AN8" s="87">
        <f ca="1">IF(AND(OP="11",RAMX=DEC2BIN(COLUMN(AN8)-1,8),RAMY=DEC2BIN(ROW(AN8)-1,8)),DATA,AN8)</f>
        <v>0</v>
      </c>
      <c r="AO8" s="87">
        <f ca="1">IF(AND(OP="11",RAMX=DEC2BIN(COLUMN(AO8)-1,8),RAMY=DEC2BIN(ROW(AO8)-1,8)),DATA,AO8)</f>
        <v>0</v>
      </c>
      <c r="AP8" s="87">
        <f ca="1">IF(AND(OP="11",RAMX=DEC2BIN(COLUMN(AP8)-1,8),RAMY=DEC2BIN(ROW(AP8)-1,8)),DATA,AP8)</f>
        <v>0</v>
      </c>
      <c r="AQ8" s="87">
        <f ca="1">IF(AND(OP="11",RAMX=DEC2BIN(COLUMN(AQ8)-1,8),RAMY=DEC2BIN(ROW(AQ8)-1,8)),DATA,AQ8)</f>
        <v>0</v>
      </c>
      <c r="AR8" s="87">
        <f ca="1">IF(AND(OP="11",RAMX=DEC2BIN(COLUMN(AR8)-1,8),RAMY=DEC2BIN(ROW(AR8)-1,8)),DATA,AR8)</f>
        <v>0</v>
      </c>
      <c r="AS8" s="87">
        <f ca="1">IF(AND(OP="11",RAMX=DEC2BIN(COLUMN(AS8)-1,8),RAMY=DEC2BIN(ROW(AS8)-1,8)),DATA,AS8)</f>
        <v>0</v>
      </c>
      <c r="AT8" s="87">
        <f ca="1">IF(AND(OP="11",RAMX=DEC2BIN(COLUMN(AT8)-1,8),RAMY=DEC2BIN(ROW(AT8)-1,8)),DATA,AT8)</f>
        <v>0</v>
      </c>
      <c r="AU8" s="87">
        <f ca="1">IF(AND(OP="11",RAMX=DEC2BIN(COLUMN(AU8)-1,8),RAMY=DEC2BIN(ROW(AU8)-1,8)),DATA,AU8)</f>
        <v>0</v>
      </c>
      <c r="AV8" s="87">
        <f ca="1">IF(AND(OP="11",RAMX=DEC2BIN(COLUMN(AV8)-1,8),RAMY=DEC2BIN(ROW(AV8)-1,8)),DATA,AV8)</f>
        <v>0</v>
      </c>
      <c r="AW8" s="87">
        <f ca="1">IF(AND(OP="11",RAMX=DEC2BIN(COLUMN(AW8)-1,8),RAMY=DEC2BIN(ROW(AW8)-1,8)),DATA,AW8)</f>
        <v>0</v>
      </c>
      <c r="AX8" s="87">
        <f ca="1">IF(AND(OP="11",RAMX=DEC2BIN(COLUMN(AX8)-1,8),RAMY=DEC2BIN(ROW(AX8)-1,8)),DATA,AX8)</f>
        <v>0</v>
      </c>
      <c r="AY8" s="87">
        <f ca="1">IF(AND(OP="11",RAMX=DEC2BIN(COLUMN(AY8)-1,8),RAMY=DEC2BIN(ROW(AY8)-1,8)),DATA,AY8)</f>
        <v>0</v>
      </c>
      <c r="AZ8" s="87">
        <f ca="1">IF(AND(OP="11",RAMX=DEC2BIN(COLUMN(AZ8)-1,8),RAMY=DEC2BIN(ROW(AZ8)-1,8)),DATA,AZ8)</f>
        <v>0</v>
      </c>
      <c r="BA8" s="87">
        <f ca="1">IF(AND(OP="11",RAMX=DEC2BIN(COLUMN(BA8)-1,8),RAMY=DEC2BIN(ROW(BA8)-1,8)),DATA,BA8)</f>
        <v>0</v>
      </c>
      <c r="BB8" s="87">
        <f ca="1">IF(AND(OP="11",RAMX=DEC2BIN(COLUMN(BB8)-1,8),RAMY=DEC2BIN(ROW(BB8)-1,8)),DATA,BB8)</f>
        <v>0</v>
      </c>
      <c r="BC8" s="87">
        <f ca="1">IF(AND(OP="11",RAMX=DEC2BIN(COLUMN(BC8)-1,8),RAMY=DEC2BIN(ROW(BC8)-1,8)),DATA,BC8)</f>
        <v>0</v>
      </c>
      <c r="BD8" s="87">
        <f ca="1">IF(AND(OP="11",RAMX=DEC2BIN(COLUMN(BD8)-1,8),RAMY=DEC2BIN(ROW(BD8)-1,8)),DATA,BD8)</f>
        <v>0</v>
      </c>
      <c r="BE8" s="87">
        <f ca="1">IF(AND(OP="11",RAMX=DEC2BIN(COLUMN(BE8)-1,8),RAMY=DEC2BIN(ROW(BE8)-1,8)),DATA,BE8)</f>
        <v>0</v>
      </c>
      <c r="BF8" s="87">
        <f ca="1">IF(AND(OP="11",RAMX=DEC2BIN(COLUMN(BF8)-1,8),RAMY=DEC2BIN(ROW(BF8)-1,8)),DATA,BF8)</f>
        <v>0</v>
      </c>
      <c r="BG8" s="87">
        <f ca="1">IF(AND(OP="11",RAMX=DEC2BIN(COLUMN(BG8)-1,8),RAMY=DEC2BIN(ROW(BG8)-1,8)),DATA,BG8)</f>
        <v>0</v>
      </c>
      <c r="BH8" s="87">
        <f ca="1">IF(AND(OP="11",RAMX=DEC2BIN(COLUMN(BH8)-1,8),RAMY=DEC2BIN(ROW(BH8)-1,8)),DATA,BH8)</f>
        <v>0</v>
      </c>
      <c r="BI8" s="87">
        <f ca="1">IF(AND(OP="11",RAMX=DEC2BIN(COLUMN(BI8)-1,8),RAMY=DEC2BIN(ROW(BI8)-1,8)),DATA,BI8)</f>
        <v>0</v>
      </c>
      <c r="BJ8" s="87">
        <f ca="1">IF(AND(OP="11",RAMX=DEC2BIN(COLUMN(BJ8)-1,8),RAMY=DEC2BIN(ROW(BJ8)-1,8)),DATA,BJ8)</f>
        <v>0</v>
      </c>
      <c r="BK8" s="87">
        <f ca="1">IF(AND(OP="11",RAMX=DEC2BIN(COLUMN(BK8)-1,8),RAMY=DEC2BIN(ROW(BK8)-1,8)),DATA,BK8)</f>
        <v>0</v>
      </c>
      <c r="BL8" s="87">
        <f ca="1">IF(AND(OP="11",RAMX=DEC2BIN(COLUMN(BL8)-1,8),RAMY=DEC2BIN(ROW(BL8)-1,8)),DATA,BL8)</f>
        <v>0</v>
      </c>
    </row>
    <row r="9" spans="1:64" x14ac:dyDescent="0.25">
      <c r="A9" s="87">
        <f ca="1">IF(AND(OP="11",RAMX=DEC2BIN(COLUMN(A9)-1,8),RAMY=DEC2BIN(ROW(A9)-1,8)),DATA,A9)</f>
        <v>0</v>
      </c>
      <c r="B9" s="87">
        <f ca="1">IF(AND(OP="11",RAMX=DEC2BIN(COLUMN(B9)-1,8),RAMY=DEC2BIN(ROW(B9)-1,8)),DATA,B9)</f>
        <v>0</v>
      </c>
      <c r="C9" s="87">
        <f ca="1">IF(AND(OP="11",RAMX=DEC2BIN(COLUMN(C9)-1,8),RAMY=DEC2BIN(ROW(C9)-1,8)),DATA,C9)</f>
        <v>0</v>
      </c>
      <c r="D9" s="87">
        <f ca="1">IF(AND(OP="11",RAMX=DEC2BIN(COLUMN(D9)-1,8),RAMY=DEC2BIN(ROW(D9)-1,8)),DATA,D9)</f>
        <v>0</v>
      </c>
      <c r="E9" s="87">
        <f ca="1">IF(AND(OP="11",RAMX=DEC2BIN(COLUMN(E9)-1,8),RAMY=DEC2BIN(ROW(E9)-1,8)),DATA,E9)</f>
        <v>0</v>
      </c>
      <c r="F9" s="87">
        <f ca="1">IF(AND(OP="11",RAMX=DEC2BIN(COLUMN(F9)-1,8),RAMY=DEC2BIN(ROW(F9)-1,8)),DATA,F9)</f>
        <v>0</v>
      </c>
      <c r="G9" s="87">
        <f ca="1">IF(AND(OP="11",RAMX=DEC2BIN(COLUMN(G9)-1,8),RAMY=DEC2BIN(ROW(G9)-1,8)),DATA,G9)</f>
        <v>0</v>
      </c>
      <c r="H9" s="87">
        <f ca="1">IF(AND(OP="11",RAMX=DEC2BIN(COLUMN(H9)-1,8),RAMY=DEC2BIN(ROW(H9)-1,8)),DATA,H9)</f>
        <v>0</v>
      </c>
      <c r="I9" s="87">
        <f ca="1">IF(AND(OP="11",RAMX=DEC2BIN(COLUMN(I9)-1,8),RAMY=DEC2BIN(ROW(I9)-1,8)),DATA,I9)</f>
        <v>0</v>
      </c>
      <c r="J9" s="87">
        <f ca="1">IF(AND(OP="11",RAMX=DEC2BIN(COLUMN(J9)-1,8),RAMY=DEC2BIN(ROW(J9)-1,8)),DATA,J9)</f>
        <v>0</v>
      </c>
      <c r="K9" s="87">
        <f ca="1">IF(AND(OP="11",RAMX=DEC2BIN(COLUMN(K9)-1,8),RAMY=DEC2BIN(ROW(K9)-1,8)),DATA,K9)</f>
        <v>0</v>
      </c>
      <c r="L9" s="87">
        <f ca="1">IF(AND(OP="11",RAMX=DEC2BIN(COLUMN(L9)-1,8),RAMY=DEC2BIN(ROW(L9)-1,8)),DATA,L9)</f>
        <v>0</v>
      </c>
      <c r="M9" s="87">
        <f ca="1">IF(AND(OP="11",RAMX=DEC2BIN(COLUMN(M9)-1,8),RAMY=DEC2BIN(ROW(M9)-1,8)),DATA,M9)</f>
        <v>0</v>
      </c>
      <c r="N9" s="87">
        <f ca="1">IF(AND(OP="11",RAMX=DEC2BIN(COLUMN(N9)-1,8),RAMY=DEC2BIN(ROW(N9)-1,8)),DATA,N9)</f>
        <v>0</v>
      </c>
      <c r="O9" s="87">
        <f ca="1">IF(AND(OP="11",RAMX=DEC2BIN(COLUMN(O9)-1,8),RAMY=DEC2BIN(ROW(O9)-1,8)),DATA,O9)</f>
        <v>0</v>
      </c>
      <c r="P9" s="87">
        <f ca="1">IF(AND(OP="11",RAMX=DEC2BIN(COLUMN(P9)-1,8),RAMY=DEC2BIN(ROW(P9)-1,8)),DATA,P9)</f>
        <v>0</v>
      </c>
      <c r="Q9" s="87">
        <f ca="1">IF(AND(OP="11",RAMX=DEC2BIN(COLUMN(Q9)-1,8),RAMY=DEC2BIN(ROW(Q9)-1,8)),DATA,Q9)</f>
        <v>0</v>
      </c>
      <c r="R9" s="87">
        <f ca="1">IF(AND(OP="11",RAMX=DEC2BIN(COLUMN(R9)-1,8),RAMY=DEC2BIN(ROW(R9)-1,8)),DATA,R9)</f>
        <v>0</v>
      </c>
      <c r="S9" s="87">
        <f ca="1">IF(AND(OP="11",RAMX=DEC2BIN(COLUMN(S9)-1,8),RAMY=DEC2BIN(ROW(S9)-1,8)),DATA,S9)</f>
        <v>0</v>
      </c>
      <c r="T9" s="87">
        <f ca="1">IF(AND(OP="11",RAMX=DEC2BIN(COLUMN(T9)-1,8),RAMY=DEC2BIN(ROW(T9)-1,8)),DATA,T9)</f>
        <v>0</v>
      </c>
      <c r="U9" s="87">
        <f ca="1">IF(AND(OP="11",RAMX=DEC2BIN(COLUMN(U9)-1,8),RAMY=DEC2BIN(ROW(U9)-1,8)),DATA,U9)</f>
        <v>0</v>
      </c>
      <c r="V9" s="87">
        <f ca="1">IF(AND(OP="11",RAMX=DEC2BIN(COLUMN(V9)-1,8),RAMY=DEC2BIN(ROW(V9)-1,8)),DATA,V9)</f>
        <v>0</v>
      </c>
      <c r="W9" s="87">
        <f ca="1">IF(AND(OP="11",RAMX=DEC2BIN(COLUMN(W9)-1,8),RAMY=DEC2BIN(ROW(W9)-1,8)),DATA,W9)</f>
        <v>0</v>
      </c>
      <c r="X9" s="87">
        <f ca="1">IF(AND(OP="11",RAMX=DEC2BIN(COLUMN(X9)-1,8),RAMY=DEC2BIN(ROW(X9)-1,8)),DATA,X9)</f>
        <v>0</v>
      </c>
      <c r="Y9" s="87">
        <f ca="1">IF(AND(OP="11",RAMX=DEC2BIN(COLUMN(Y9)-1,8),RAMY=DEC2BIN(ROW(Y9)-1,8)),DATA,Y9)</f>
        <v>0</v>
      </c>
      <c r="Z9" s="87">
        <f ca="1">IF(AND(OP="11",RAMX=DEC2BIN(COLUMN(Z9)-1,8),RAMY=DEC2BIN(ROW(Z9)-1,8)),DATA,Z9)</f>
        <v>0</v>
      </c>
      <c r="AA9" s="87">
        <f ca="1">IF(AND(OP="11",RAMX=DEC2BIN(COLUMN(AA9)-1,8),RAMY=DEC2BIN(ROW(AA9)-1,8)),DATA,AA9)</f>
        <v>0</v>
      </c>
      <c r="AB9" s="87">
        <f ca="1">IF(AND(OP="11",RAMX=DEC2BIN(COLUMN(AB9)-1,8),RAMY=DEC2BIN(ROW(AB9)-1,8)),DATA,AB9)</f>
        <v>0</v>
      </c>
      <c r="AC9" s="87">
        <f ca="1">IF(AND(OP="11",RAMX=DEC2BIN(COLUMN(AC9)-1,8),RAMY=DEC2BIN(ROW(AC9)-1,8)),DATA,AC9)</f>
        <v>0</v>
      </c>
      <c r="AD9" s="87">
        <f ca="1">IF(AND(OP="11",RAMX=DEC2BIN(COLUMN(AD9)-1,8),RAMY=DEC2BIN(ROW(AD9)-1,8)),DATA,AD9)</f>
        <v>0</v>
      </c>
      <c r="AE9" s="87">
        <f ca="1">IF(AND(OP="11",RAMX=DEC2BIN(COLUMN(AE9)-1,8),RAMY=DEC2BIN(ROW(AE9)-1,8)),DATA,AE9)</f>
        <v>0</v>
      </c>
      <c r="AF9" s="87">
        <f ca="1">IF(AND(OP="11",RAMX=DEC2BIN(COLUMN(AF9)-1,8),RAMY=DEC2BIN(ROW(AF9)-1,8)),DATA,AF9)</f>
        <v>0</v>
      </c>
      <c r="AG9" s="87">
        <f ca="1">IF(AND(OP="11",RAMX=DEC2BIN(COLUMN(AG9)-1,8),RAMY=DEC2BIN(ROW(AG9)-1,8)),DATA,AG9)</f>
        <v>0</v>
      </c>
      <c r="AH9" s="87">
        <f ca="1">IF(AND(OP="11",RAMX=DEC2BIN(COLUMN(AH9)-1,8),RAMY=DEC2BIN(ROW(AH9)-1,8)),DATA,AH9)</f>
        <v>0</v>
      </c>
      <c r="AI9" s="87">
        <f ca="1">IF(AND(OP="11",RAMX=DEC2BIN(COLUMN(AI9)-1,8),RAMY=DEC2BIN(ROW(AI9)-1,8)),DATA,AI9)</f>
        <v>0</v>
      </c>
      <c r="AJ9" s="87">
        <f ca="1">IF(AND(OP="11",RAMX=DEC2BIN(COLUMN(AJ9)-1,8),RAMY=DEC2BIN(ROW(AJ9)-1,8)),DATA,AJ9)</f>
        <v>0</v>
      </c>
      <c r="AK9" s="87">
        <f ca="1">IF(AND(OP="11",RAMX=DEC2BIN(COLUMN(AK9)-1,8),RAMY=DEC2BIN(ROW(AK9)-1,8)),DATA,AK9)</f>
        <v>0</v>
      </c>
      <c r="AL9" s="87">
        <f ca="1">IF(AND(OP="11",RAMX=DEC2BIN(COLUMN(AL9)-1,8),RAMY=DEC2BIN(ROW(AL9)-1,8)),DATA,AL9)</f>
        <v>0</v>
      </c>
      <c r="AM9" s="87">
        <f ca="1">IF(AND(OP="11",RAMX=DEC2BIN(COLUMN(AM9)-1,8),RAMY=DEC2BIN(ROW(AM9)-1,8)),DATA,AM9)</f>
        <v>0</v>
      </c>
      <c r="AN9" s="87">
        <f ca="1">IF(AND(OP="11",RAMX=DEC2BIN(COLUMN(AN9)-1,8),RAMY=DEC2BIN(ROW(AN9)-1,8)),DATA,AN9)</f>
        <v>0</v>
      </c>
      <c r="AO9" s="87">
        <f ca="1">IF(AND(OP="11",RAMX=DEC2BIN(COLUMN(AO9)-1,8),RAMY=DEC2BIN(ROW(AO9)-1,8)),DATA,AO9)</f>
        <v>0</v>
      </c>
      <c r="AP9" s="87">
        <f ca="1">IF(AND(OP="11",RAMX=DEC2BIN(COLUMN(AP9)-1,8),RAMY=DEC2BIN(ROW(AP9)-1,8)),DATA,AP9)</f>
        <v>0</v>
      </c>
      <c r="AQ9" s="87">
        <f ca="1">IF(AND(OP="11",RAMX=DEC2BIN(COLUMN(AQ9)-1,8),RAMY=DEC2BIN(ROW(AQ9)-1,8)),DATA,AQ9)</f>
        <v>0</v>
      </c>
      <c r="AR9" s="87">
        <f ca="1">IF(AND(OP="11",RAMX=DEC2BIN(COLUMN(AR9)-1,8),RAMY=DEC2BIN(ROW(AR9)-1,8)),DATA,AR9)</f>
        <v>0</v>
      </c>
      <c r="AS9" s="87">
        <f ca="1">IF(AND(OP="11",RAMX=DEC2BIN(COLUMN(AS9)-1,8),RAMY=DEC2BIN(ROW(AS9)-1,8)),DATA,AS9)</f>
        <v>0</v>
      </c>
      <c r="AT9" s="87">
        <f ca="1">IF(AND(OP="11",RAMX=DEC2BIN(COLUMN(AT9)-1,8),RAMY=DEC2BIN(ROW(AT9)-1,8)),DATA,AT9)</f>
        <v>0</v>
      </c>
      <c r="AU9" s="87">
        <f ca="1">IF(AND(OP="11",RAMX=DEC2BIN(COLUMN(AU9)-1,8),RAMY=DEC2BIN(ROW(AU9)-1,8)),DATA,AU9)</f>
        <v>0</v>
      </c>
      <c r="AV9" s="87">
        <f ca="1">IF(AND(OP="11",RAMX=DEC2BIN(COLUMN(AV9)-1,8),RAMY=DEC2BIN(ROW(AV9)-1,8)),DATA,AV9)</f>
        <v>0</v>
      </c>
      <c r="AW9" s="87">
        <f ca="1">IF(AND(OP="11",RAMX=DEC2BIN(COLUMN(AW9)-1,8),RAMY=DEC2BIN(ROW(AW9)-1,8)),DATA,AW9)</f>
        <v>0</v>
      </c>
      <c r="AX9" s="87">
        <f ca="1">IF(AND(OP="11",RAMX=DEC2BIN(COLUMN(AX9)-1,8),RAMY=DEC2BIN(ROW(AX9)-1,8)),DATA,AX9)</f>
        <v>0</v>
      </c>
      <c r="AY9" s="87">
        <f ca="1">IF(AND(OP="11",RAMX=DEC2BIN(COLUMN(AY9)-1,8),RAMY=DEC2BIN(ROW(AY9)-1,8)),DATA,AY9)</f>
        <v>0</v>
      </c>
      <c r="AZ9" s="87">
        <f ca="1">IF(AND(OP="11",RAMX=DEC2BIN(COLUMN(AZ9)-1,8),RAMY=DEC2BIN(ROW(AZ9)-1,8)),DATA,AZ9)</f>
        <v>0</v>
      </c>
      <c r="BA9" s="87">
        <f ca="1">IF(AND(OP="11",RAMX=DEC2BIN(COLUMN(BA9)-1,8),RAMY=DEC2BIN(ROW(BA9)-1,8)),DATA,BA9)</f>
        <v>0</v>
      </c>
      <c r="BB9" s="87">
        <f ca="1">IF(AND(OP="11",RAMX=DEC2BIN(COLUMN(BB9)-1,8),RAMY=DEC2BIN(ROW(BB9)-1,8)),DATA,BB9)</f>
        <v>0</v>
      </c>
      <c r="BC9" s="87">
        <f ca="1">IF(AND(OP="11",RAMX=DEC2BIN(COLUMN(BC9)-1,8),RAMY=DEC2BIN(ROW(BC9)-1,8)),DATA,BC9)</f>
        <v>0</v>
      </c>
      <c r="BD9" s="87">
        <f ca="1">IF(AND(OP="11",RAMX=DEC2BIN(COLUMN(BD9)-1,8),RAMY=DEC2BIN(ROW(BD9)-1,8)),DATA,BD9)</f>
        <v>0</v>
      </c>
      <c r="BE9" s="87">
        <f ca="1">IF(AND(OP="11",RAMX=DEC2BIN(COLUMN(BE9)-1,8),RAMY=DEC2BIN(ROW(BE9)-1,8)),DATA,BE9)</f>
        <v>0</v>
      </c>
      <c r="BF9" s="87">
        <f ca="1">IF(AND(OP="11",RAMX=DEC2BIN(COLUMN(BF9)-1,8),RAMY=DEC2BIN(ROW(BF9)-1,8)),DATA,BF9)</f>
        <v>0</v>
      </c>
      <c r="BG9" s="87">
        <f ca="1">IF(AND(OP="11",RAMX=DEC2BIN(COLUMN(BG9)-1,8),RAMY=DEC2BIN(ROW(BG9)-1,8)),DATA,BG9)</f>
        <v>0</v>
      </c>
      <c r="BH9" s="87">
        <f ca="1">IF(AND(OP="11",RAMX=DEC2BIN(COLUMN(BH9)-1,8),RAMY=DEC2BIN(ROW(BH9)-1,8)),DATA,BH9)</f>
        <v>0</v>
      </c>
      <c r="BI9" s="87">
        <f ca="1">IF(AND(OP="11",RAMX=DEC2BIN(COLUMN(BI9)-1,8),RAMY=DEC2BIN(ROW(BI9)-1,8)),DATA,BI9)</f>
        <v>0</v>
      </c>
      <c r="BJ9" s="87">
        <f ca="1">IF(AND(OP="11",RAMX=DEC2BIN(COLUMN(BJ9)-1,8),RAMY=DEC2BIN(ROW(BJ9)-1,8)),DATA,BJ9)</f>
        <v>0</v>
      </c>
      <c r="BK9" s="87">
        <f ca="1">IF(AND(OP="11",RAMX=DEC2BIN(COLUMN(BK9)-1,8),RAMY=DEC2BIN(ROW(BK9)-1,8)),DATA,BK9)</f>
        <v>0</v>
      </c>
      <c r="BL9" s="87">
        <f ca="1">IF(AND(OP="11",RAMX=DEC2BIN(COLUMN(BL9)-1,8),RAMY=DEC2BIN(ROW(BL9)-1,8)),DATA,BL9)</f>
        <v>0</v>
      </c>
    </row>
    <row r="10" spans="1:64" x14ac:dyDescent="0.25">
      <c r="A10" s="87">
        <f ca="1">IF(AND(OP="11",RAMX=DEC2BIN(COLUMN(A10)-1,8),RAMY=DEC2BIN(ROW(A10)-1,8)),DATA,A10)</f>
        <v>0</v>
      </c>
      <c r="B10" s="87">
        <f ca="1">IF(AND(OP="11",RAMX=DEC2BIN(COLUMN(B10)-1,8),RAMY=DEC2BIN(ROW(B10)-1,8)),DATA,B10)</f>
        <v>0</v>
      </c>
      <c r="C10" s="87">
        <f ca="1">IF(AND(OP="11",RAMX=DEC2BIN(COLUMN(C10)-1,8),RAMY=DEC2BIN(ROW(C10)-1,8)),DATA,C10)</f>
        <v>0</v>
      </c>
      <c r="D10" s="87">
        <f ca="1">IF(AND(OP="11",RAMX=DEC2BIN(COLUMN(D10)-1,8),RAMY=DEC2BIN(ROW(D10)-1,8)),DATA,D10)</f>
        <v>0</v>
      </c>
      <c r="E10" s="87">
        <f ca="1">IF(AND(OP="11",RAMX=DEC2BIN(COLUMN(E10)-1,8),RAMY=DEC2BIN(ROW(E10)-1,8)),DATA,E10)</f>
        <v>0</v>
      </c>
      <c r="F10" s="87">
        <f ca="1">IF(AND(OP="11",RAMX=DEC2BIN(COLUMN(F10)-1,8),RAMY=DEC2BIN(ROW(F10)-1,8)),DATA,F10)</f>
        <v>0</v>
      </c>
      <c r="G10" s="87">
        <f ca="1">IF(AND(OP="11",RAMX=DEC2BIN(COLUMN(G10)-1,8),RAMY=DEC2BIN(ROW(G10)-1,8)),DATA,G10)</f>
        <v>0</v>
      </c>
      <c r="H10" s="87">
        <f ca="1">IF(AND(OP="11",RAMX=DEC2BIN(COLUMN(H10)-1,8),RAMY=DEC2BIN(ROW(H10)-1,8)),DATA,H10)</f>
        <v>0</v>
      </c>
      <c r="I10" s="87">
        <f ca="1">IF(AND(OP="11",RAMX=DEC2BIN(COLUMN(I10)-1,8),RAMY=DEC2BIN(ROW(I10)-1,8)),DATA,I10)</f>
        <v>0</v>
      </c>
      <c r="J10" s="87">
        <f ca="1">IF(AND(OP="11",RAMX=DEC2BIN(COLUMN(J10)-1,8),RAMY=DEC2BIN(ROW(J10)-1,8)),DATA,J10)</f>
        <v>0</v>
      </c>
      <c r="K10" s="87">
        <f ca="1">IF(AND(OP="11",RAMX=DEC2BIN(COLUMN(K10)-1,8),RAMY=DEC2BIN(ROW(K10)-1,8)),DATA,K10)</f>
        <v>0</v>
      </c>
      <c r="L10" s="87">
        <f ca="1">IF(AND(OP="11",RAMX=DEC2BIN(COLUMN(L10)-1,8),RAMY=DEC2BIN(ROW(L10)-1,8)),DATA,L10)</f>
        <v>0</v>
      </c>
      <c r="M10" s="87">
        <f ca="1">IF(AND(OP="11",RAMX=DEC2BIN(COLUMN(M10)-1,8),RAMY=DEC2BIN(ROW(M10)-1,8)),DATA,M10)</f>
        <v>0</v>
      </c>
      <c r="N10" s="87">
        <f ca="1">IF(AND(OP="11",RAMX=DEC2BIN(COLUMN(N10)-1,8),RAMY=DEC2BIN(ROW(N10)-1,8)),DATA,N10)</f>
        <v>0</v>
      </c>
      <c r="O10" s="87">
        <f ca="1">IF(AND(OP="11",RAMX=DEC2BIN(COLUMN(O10)-1,8),RAMY=DEC2BIN(ROW(O10)-1,8)),DATA,O10)</f>
        <v>0</v>
      </c>
      <c r="P10" s="87">
        <f ca="1">IF(AND(OP="11",RAMX=DEC2BIN(COLUMN(P10)-1,8),RAMY=DEC2BIN(ROW(P10)-1,8)),DATA,P10)</f>
        <v>0</v>
      </c>
      <c r="Q10" s="87">
        <f ca="1">IF(AND(OP="11",RAMX=DEC2BIN(COLUMN(Q10)-1,8),RAMY=DEC2BIN(ROW(Q10)-1,8)),DATA,Q10)</f>
        <v>0</v>
      </c>
      <c r="R10" s="87">
        <f ca="1">IF(AND(OP="11",RAMX=DEC2BIN(COLUMN(R10)-1,8),RAMY=DEC2BIN(ROW(R10)-1,8)),DATA,R10)</f>
        <v>0</v>
      </c>
      <c r="S10" s="87">
        <f ca="1">IF(AND(OP="11",RAMX=DEC2BIN(COLUMN(S10)-1,8),RAMY=DEC2BIN(ROW(S10)-1,8)),DATA,S10)</f>
        <v>0</v>
      </c>
      <c r="T10" s="87">
        <f ca="1">IF(AND(OP="11",RAMX=DEC2BIN(COLUMN(T10)-1,8),RAMY=DEC2BIN(ROW(T10)-1,8)),DATA,T10)</f>
        <v>0</v>
      </c>
      <c r="U10" s="87">
        <f ca="1">IF(AND(OP="11",RAMX=DEC2BIN(COLUMN(U10)-1,8),RAMY=DEC2BIN(ROW(U10)-1,8)),DATA,U10)</f>
        <v>0</v>
      </c>
      <c r="V10" s="87">
        <f ca="1">IF(AND(OP="11",RAMX=DEC2BIN(COLUMN(V10)-1,8),RAMY=DEC2BIN(ROW(V10)-1,8)),DATA,V10)</f>
        <v>0</v>
      </c>
      <c r="W10" s="87">
        <f ca="1">IF(AND(OP="11",RAMX=DEC2BIN(COLUMN(W10)-1,8),RAMY=DEC2BIN(ROW(W10)-1,8)),DATA,W10)</f>
        <v>0</v>
      </c>
      <c r="X10" s="87">
        <f ca="1">IF(AND(OP="11",RAMX=DEC2BIN(COLUMN(X10)-1,8),RAMY=DEC2BIN(ROW(X10)-1,8)),DATA,X10)</f>
        <v>0</v>
      </c>
      <c r="Y10" s="87">
        <f ca="1">IF(AND(OP="11",RAMX=DEC2BIN(COLUMN(Y10)-1,8),RAMY=DEC2BIN(ROW(Y10)-1,8)),DATA,Y10)</f>
        <v>0</v>
      </c>
      <c r="Z10" s="87">
        <f ca="1">IF(AND(OP="11",RAMX=DEC2BIN(COLUMN(Z10)-1,8),RAMY=DEC2BIN(ROW(Z10)-1,8)),DATA,Z10)</f>
        <v>0</v>
      </c>
      <c r="AA10" s="87">
        <f ca="1">IF(AND(OP="11",RAMX=DEC2BIN(COLUMN(AA10)-1,8),RAMY=DEC2BIN(ROW(AA10)-1,8)),DATA,AA10)</f>
        <v>0</v>
      </c>
      <c r="AB10" s="87">
        <f ca="1">IF(AND(OP="11",RAMX=DEC2BIN(COLUMN(AB10)-1,8),RAMY=DEC2BIN(ROW(AB10)-1,8)),DATA,AB10)</f>
        <v>0</v>
      </c>
      <c r="AC10" s="87">
        <f ca="1">IF(AND(OP="11",RAMX=DEC2BIN(COLUMN(AC10)-1,8),RAMY=DEC2BIN(ROW(AC10)-1,8)),DATA,AC10)</f>
        <v>0</v>
      </c>
      <c r="AD10" s="87">
        <f ca="1">IF(AND(OP="11",RAMX=DEC2BIN(COLUMN(AD10)-1,8),RAMY=DEC2BIN(ROW(AD10)-1,8)),DATA,AD10)</f>
        <v>0</v>
      </c>
      <c r="AE10" s="87">
        <f ca="1">IF(AND(OP="11",RAMX=DEC2BIN(COLUMN(AE10)-1,8),RAMY=DEC2BIN(ROW(AE10)-1,8)),DATA,AE10)</f>
        <v>0</v>
      </c>
      <c r="AF10" s="87">
        <f ca="1">IF(AND(OP="11",RAMX=DEC2BIN(COLUMN(AF10)-1,8),RAMY=DEC2BIN(ROW(AF10)-1,8)),DATA,AF10)</f>
        <v>0</v>
      </c>
      <c r="AG10" s="87">
        <f ca="1">IF(AND(OP="11",RAMX=DEC2BIN(COLUMN(AG10)-1,8),RAMY=DEC2BIN(ROW(AG10)-1,8)),DATA,AG10)</f>
        <v>0</v>
      </c>
      <c r="AH10" s="87">
        <f ca="1">IF(AND(OP="11",RAMX=DEC2BIN(COLUMN(AH10)-1,8),RAMY=DEC2BIN(ROW(AH10)-1,8)),DATA,AH10)</f>
        <v>0</v>
      </c>
      <c r="AI10" s="87">
        <f ca="1">IF(AND(OP="11",RAMX=DEC2BIN(COLUMN(AI10)-1,8),RAMY=DEC2BIN(ROW(AI10)-1,8)),DATA,AI10)</f>
        <v>0</v>
      </c>
      <c r="AJ10" s="87">
        <f ca="1">IF(AND(OP="11",RAMX=DEC2BIN(COLUMN(AJ10)-1,8),RAMY=DEC2BIN(ROW(AJ10)-1,8)),DATA,AJ10)</f>
        <v>0</v>
      </c>
      <c r="AK10" s="87">
        <f ca="1">IF(AND(OP="11",RAMX=DEC2BIN(COLUMN(AK10)-1,8),RAMY=DEC2BIN(ROW(AK10)-1,8)),DATA,AK10)</f>
        <v>0</v>
      </c>
      <c r="AL10" s="87">
        <f ca="1">IF(AND(OP="11",RAMX=DEC2BIN(COLUMN(AL10)-1,8),RAMY=DEC2BIN(ROW(AL10)-1,8)),DATA,AL10)</f>
        <v>0</v>
      </c>
      <c r="AM10" s="87">
        <f ca="1">IF(AND(OP="11",RAMX=DEC2BIN(COLUMN(AM10)-1,8),RAMY=DEC2BIN(ROW(AM10)-1,8)),DATA,AM10)</f>
        <v>0</v>
      </c>
      <c r="AN10" s="87">
        <f ca="1">IF(AND(OP="11",RAMX=DEC2BIN(COLUMN(AN10)-1,8),RAMY=DEC2BIN(ROW(AN10)-1,8)),DATA,AN10)</f>
        <v>0</v>
      </c>
      <c r="AO10" s="87">
        <f ca="1">IF(AND(OP="11",RAMX=DEC2BIN(COLUMN(AO10)-1,8),RAMY=DEC2BIN(ROW(AO10)-1,8)),DATA,AO10)</f>
        <v>0</v>
      </c>
      <c r="AP10" s="87">
        <f ca="1">IF(AND(OP="11",RAMX=DEC2BIN(COLUMN(AP10)-1,8),RAMY=DEC2BIN(ROW(AP10)-1,8)),DATA,AP10)</f>
        <v>0</v>
      </c>
      <c r="AQ10" s="87">
        <f ca="1">IF(AND(OP="11",RAMX=DEC2BIN(COLUMN(AQ10)-1,8),RAMY=DEC2BIN(ROW(AQ10)-1,8)),DATA,AQ10)</f>
        <v>0</v>
      </c>
      <c r="AR10" s="87">
        <f ca="1">IF(AND(OP="11",RAMX=DEC2BIN(COLUMN(AR10)-1,8),RAMY=DEC2BIN(ROW(AR10)-1,8)),DATA,AR10)</f>
        <v>0</v>
      </c>
      <c r="AS10" s="87">
        <f ca="1">IF(AND(OP="11",RAMX=DEC2BIN(COLUMN(AS10)-1,8),RAMY=DEC2BIN(ROW(AS10)-1,8)),DATA,AS10)</f>
        <v>0</v>
      </c>
      <c r="AT10" s="87">
        <f ca="1">IF(AND(OP="11",RAMX=DEC2BIN(COLUMN(AT10)-1,8),RAMY=DEC2BIN(ROW(AT10)-1,8)),DATA,AT10)</f>
        <v>0</v>
      </c>
      <c r="AU10" s="87">
        <f ca="1">IF(AND(OP="11",RAMX=DEC2BIN(COLUMN(AU10)-1,8),RAMY=DEC2BIN(ROW(AU10)-1,8)),DATA,AU10)</f>
        <v>0</v>
      </c>
      <c r="AV10" s="87">
        <f ca="1">IF(AND(OP="11",RAMX=DEC2BIN(COLUMN(AV10)-1,8),RAMY=DEC2BIN(ROW(AV10)-1,8)),DATA,AV10)</f>
        <v>0</v>
      </c>
      <c r="AW10" s="87">
        <f ca="1">IF(AND(OP="11",RAMX=DEC2BIN(COLUMN(AW10)-1,8),RAMY=DEC2BIN(ROW(AW10)-1,8)),DATA,AW10)</f>
        <v>0</v>
      </c>
      <c r="AX10" s="87">
        <f ca="1">IF(AND(OP="11",RAMX=DEC2BIN(COLUMN(AX10)-1,8),RAMY=DEC2BIN(ROW(AX10)-1,8)),DATA,AX10)</f>
        <v>0</v>
      </c>
      <c r="AY10" s="87">
        <f ca="1">IF(AND(OP="11",RAMX=DEC2BIN(COLUMN(AY10)-1,8),RAMY=DEC2BIN(ROW(AY10)-1,8)),DATA,AY10)</f>
        <v>0</v>
      </c>
      <c r="AZ10" s="87">
        <f ca="1">IF(AND(OP="11",RAMX=DEC2BIN(COLUMN(AZ10)-1,8),RAMY=DEC2BIN(ROW(AZ10)-1,8)),DATA,AZ10)</f>
        <v>0</v>
      </c>
      <c r="BA10" s="87">
        <f ca="1">IF(AND(OP="11",RAMX=DEC2BIN(COLUMN(BA10)-1,8),RAMY=DEC2BIN(ROW(BA10)-1,8)),DATA,BA10)</f>
        <v>0</v>
      </c>
      <c r="BB10" s="87">
        <f ca="1">IF(AND(OP="11",RAMX=DEC2BIN(COLUMN(BB10)-1,8),RAMY=DEC2BIN(ROW(BB10)-1,8)),DATA,BB10)</f>
        <v>0</v>
      </c>
      <c r="BC10" s="87">
        <f ca="1">IF(AND(OP="11",RAMX=DEC2BIN(COLUMN(BC10)-1,8),RAMY=DEC2BIN(ROW(BC10)-1,8)),DATA,BC10)</f>
        <v>0</v>
      </c>
      <c r="BD10" s="87">
        <f ca="1">IF(AND(OP="11",RAMX=DEC2BIN(COLUMN(BD10)-1,8),RAMY=DEC2BIN(ROW(BD10)-1,8)),DATA,BD10)</f>
        <v>0</v>
      </c>
      <c r="BE10" s="87">
        <f ca="1">IF(AND(OP="11",RAMX=DEC2BIN(COLUMN(BE10)-1,8),RAMY=DEC2BIN(ROW(BE10)-1,8)),DATA,BE10)</f>
        <v>0</v>
      </c>
      <c r="BF10" s="87">
        <f ca="1">IF(AND(OP="11",RAMX=DEC2BIN(COLUMN(BF10)-1,8),RAMY=DEC2BIN(ROW(BF10)-1,8)),DATA,BF10)</f>
        <v>0</v>
      </c>
      <c r="BG10" s="87">
        <f ca="1">IF(AND(OP="11",RAMX=DEC2BIN(COLUMN(BG10)-1,8),RAMY=DEC2BIN(ROW(BG10)-1,8)),DATA,BG10)</f>
        <v>0</v>
      </c>
      <c r="BH10" s="87">
        <f ca="1">IF(AND(OP="11",RAMX=DEC2BIN(COLUMN(BH10)-1,8),RAMY=DEC2BIN(ROW(BH10)-1,8)),DATA,BH10)</f>
        <v>0</v>
      </c>
      <c r="BI10" s="87">
        <f ca="1">IF(AND(OP="11",RAMX=DEC2BIN(COLUMN(BI10)-1,8),RAMY=DEC2BIN(ROW(BI10)-1,8)),DATA,BI10)</f>
        <v>0</v>
      </c>
      <c r="BJ10" s="87">
        <f ca="1">IF(AND(OP="11",RAMX=DEC2BIN(COLUMN(BJ10)-1,8),RAMY=DEC2BIN(ROW(BJ10)-1,8)),DATA,BJ10)</f>
        <v>0</v>
      </c>
      <c r="BK10" s="87">
        <f ca="1">IF(AND(OP="11",RAMX=DEC2BIN(COLUMN(BK10)-1,8),RAMY=DEC2BIN(ROW(BK10)-1,8)),DATA,BK10)</f>
        <v>0</v>
      </c>
      <c r="BL10" s="87">
        <f ca="1">IF(AND(OP="11",RAMX=DEC2BIN(COLUMN(BL10)-1,8),RAMY=DEC2BIN(ROW(BL10)-1,8)),DATA,BL10)</f>
        <v>0</v>
      </c>
    </row>
    <row r="11" spans="1:64" x14ac:dyDescent="0.25">
      <c r="A11" s="87">
        <f ca="1">IF(AND(OP="11",RAMX=DEC2BIN(COLUMN(A11)-1,8),RAMY=DEC2BIN(ROW(A11)-1,8)),DATA,A11)</f>
        <v>0</v>
      </c>
      <c r="B11" s="87">
        <f ca="1">IF(AND(OP="11",RAMX=DEC2BIN(COLUMN(B11)-1,8),RAMY=DEC2BIN(ROW(B11)-1,8)),DATA,B11)</f>
        <v>0</v>
      </c>
      <c r="C11" s="87">
        <f ca="1">IF(AND(OP="11",RAMX=DEC2BIN(COLUMN(C11)-1,8),RAMY=DEC2BIN(ROW(C11)-1,8)),DATA,C11)</f>
        <v>0</v>
      </c>
      <c r="D11" s="87">
        <f ca="1">IF(AND(OP="11",RAMX=DEC2BIN(COLUMN(D11)-1,8),RAMY=DEC2BIN(ROW(D11)-1,8)),DATA,D11)</f>
        <v>0</v>
      </c>
      <c r="E11" s="87">
        <f ca="1">IF(AND(OP="11",RAMX=DEC2BIN(COLUMN(E11)-1,8),RAMY=DEC2BIN(ROW(E11)-1,8)),DATA,E11)</f>
        <v>0</v>
      </c>
      <c r="F11" s="87">
        <f ca="1">IF(AND(OP="11",RAMX=DEC2BIN(COLUMN(F11)-1,8),RAMY=DEC2BIN(ROW(F11)-1,8)),DATA,F11)</f>
        <v>0</v>
      </c>
      <c r="G11" s="87">
        <f ca="1">IF(AND(OP="11",RAMX=DEC2BIN(COLUMN(G11)-1,8),RAMY=DEC2BIN(ROW(G11)-1,8)),DATA,G11)</f>
        <v>0</v>
      </c>
      <c r="H11" s="87">
        <f ca="1">IF(AND(OP="11",RAMX=DEC2BIN(COLUMN(H11)-1,8),RAMY=DEC2BIN(ROW(H11)-1,8)),DATA,H11)</f>
        <v>0</v>
      </c>
      <c r="I11" s="87">
        <f ca="1">IF(AND(OP="11",RAMX=DEC2BIN(COLUMN(I11)-1,8),RAMY=DEC2BIN(ROW(I11)-1,8)),DATA,I11)</f>
        <v>0</v>
      </c>
      <c r="J11" s="87">
        <f ca="1">IF(AND(OP="11",RAMX=DEC2BIN(COLUMN(J11)-1,8),RAMY=DEC2BIN(ROW(J11)-1,8)),DATA,J11)</f>
        <v>0</v>
      </c>
      <c r="K11" s="87">
        <f ca="1">IF(AND(OP="11",RAMX=DEC2BIN(COLUMN(K11)-1,8),RAMY=DEC2BIN(ROW(K11)-1,8)),DATA,K11)</f>
        <v>0</v>
      </c>
      <c r="L11" s="87">
        <f ca="1">IF(AND(OP="11",RAMX=DEC2BIN(COLUMN(L11)-1,8),RAMY=DEC2BIN(ROW(L11)-1,8)),DATA,L11)</f>
        <v>0</v>
      </c>
      <c r="M11" s="87">
        <f ca="1">IF(AND(OP="11",RAMX=DEC2BIN(COLUMN(M11)-1,8),RAMY=DEC2BIN(ROW(M11)-1,8)),DATA,M11)</f>
        <v>0</v>
      </c>
      <c r="N11" s="87">
        <f ca="1">IF(AND(OP="11",RAMX=DEC2BIN(COLUMN(N11)-1,8),RAMY=DEC2BIN(ROW(N11)-1,8)),DATA,N11)</f>
        <v>0</v>
      </c>
      <c r="O11" s="87">
        <f ca="1">IF(AND(OP="11",RAMX=DEC2BIN(COLUMN(O11)-1,8),RAMY=DEC2BIN(ROW(O11)-1,8)),DATA,O11)</f>
        <v>0</v>
      </c>
      <c r="P11" s="87">
        <f ca="1">IF(AND(OP="11",RAMX=DEC2BIN(COLUMN(P11)-1,8),RAMY=DEC2BIN(ROW(P11)-1,8)),DATA,P11)</f>
        <v>0</v>
      </c>
      <c r="Q11" s="87">
        <f ca="1">IF(AND(OP="11",RAMX=DEC2BIN(COLUMN(Q11)-1,8),RAMY=DEC2BIN(ROW(Q11)-1,8)),DATA,Q11)</f>
        <v>0</v>
      </c>
      <c r="R11" s="87">
        <f ca="1">IF(AND(OP="11",RAMX=DEC2BIN(COLUMN(R11)-1,8),RAMY=DEC2BIN(ROW(R11)-1,8)),DATA,R11)</f>
        <v>0</v>
      </c>
      <c r="S11" s="87">
        <f ca="1">IF(AND(OP="11",RAMX=DEC2BIN(COLUMN(S11)-1,8),RAMY=DEC2BIN(ROW(S11)-1,8)),DATA,S11)</f>
        <v>0</v>
      </c>
      <c r="T11" s="87">
        <f ca="1">IF(AND(OP="11",RAMX=DEC2BIN(COLUMN(T11)-1,8),RAMY=DEC2BIN(ROW(T11)-1,8)),DATA,T11)</f>
        <v>0</v>
      </c>
      <c r="U11" s="87">
        <f ca="1">IF(AND(OP="11",RAMX=DEC2BIN(COLUMN(U11)-1,8),RAMY=DEC2BIN(ROW(U11)-1,8)),DATA,U11)</f>
        <v>0</v>
      </c>
      <c r="V11" s="87">
        <f ca="1">IF(AND(OP="11",RAMX=DEC2BIN(COLUMN(V11)-1,8),RAMY=DEC2BIN(ROW(V11)-1,8)),DATA,V11)</f>
        <v>0</v>
      </c>
      <c r="W11" s="87">
        <f ca="1">IF(AND(OP="11",RAMX=DEC2BIN(COLUMN(W11)-1,8),RAMY=DEC2BIN(ROW(W11)-1,8)),DATA,W11)</f>
        <v>0</v>
      </c>
      <c r="X11" s="87">
        <f ca="1">IF(AND(OP="11",RAMX=DEC2BIN(COLUMN(X11)-1,8),RAMY=DEC2BIN(ROW(X11)-1,8)),DATA,X11)</f>
        <v>0</v>
      </c>
      <c r="Y11" s="87">
        <f ca="1">IF(AND(OP="11",RAMX=DEC2BIN(COLUMN(Y11)-1,8),RAMY=DEC2BIN(ROW(Y11)-1,8)),DATA,Y11)</f>
        <v>0</v>
      </c>
      <c r="Z11" s="87">
        <f ca="1">IF(AND(OP="11",RAMX=DEC2BIN(COLUMN(Z11)-1,8),RAMY=DEC2BIN(ROW(Z11)-1,8)),DATA,Z11)</f>
        <v>0</v>
      </c>
      <c r="AA11" s="87">
        <f ca="1">IF(AND(OP="11",RAMX=DEC2BIN(COLUMN(AA11)-1,8),RAMY=DEC2BIN(ROW(AA11)-1,8)),DATA,AA11)</f>
        <v>0</v>
      </c>
      <c r="AB11" s="87">
        <f ca="1">IF(AND(OP="11",RAMX=DEC2BIN(COLUMN(AB11)-1,8),RAMY=DEC2BIN(ROW(AB11)-1,8)),DATA,AB11)</f>
        <v>0</v>
      </c>
      <c r="AC11" s="87">
        <f ca="1">IF(AND(OP="11",RAMX=DEC2BIN(COLUMN(AC11)-1,8),RAMY=DEC2BIN(ROW(AC11)-1,8)),DATA,AC11)</f>
        <v>0</v>
      </c>
      <c r="AD11" s="87">
        <f ca="1">IF(AND(OP="11",RAMX=DEC2BIN(COLUMN(AD11)-1,8),RAMY=DEC2BIN(ROW(AD11)-1,8)),DATA,AD11)</f>
        <v>0</v>
      </c>
      <c r="AE11" s="87">
        <f ca="1">IF(AND(OP="11",RAMX=DEC2BIN(COLUMN(AE11)-1,8),RAMY=DEC2BIN(ROW(AE11)-1,8)),DATA,AE11)</f>
        <v>0</v>
      </c>
      <c r="AF11" s="87">
        <f ca="1">IF(AND(OP="11",RAMX=DEC2BIN(COLUMN(AF11)-1,8),RAMY=DEC2BIN(ROW(AF11)-1,8)),DATA,AF11)</f>
        <v>0</v>
      </c>
      <c r="AG11" s="87">
        <f ca="1">IF(AND(OP="11",RAMX=DEC2BIN(COLUMN(AG11)-1,8),RAMY=DEC2BIN(ROW(AG11)-1,8)),DATA,AG11)</f>
        <v>0</v>
      </c>
      <c r="AH11" s="87">
        <f ca="1">IF(AND(OP="11",RAMX=DEC2BIN(COLUMN(AH11)-1,8),RAMY=DEC2BIN(ROW(AH11)-1,8)),DATA,AH11)</f>
        <v>0</v>
      </c>
      <c r="AI11" s="87">
        <f ca="1">IF(AND(OP="11",RAMX=DEC2BIN(COLUMN(AI11)-1,8),RAMY=DEC2BIN(ROW(AI11)-1,8)),DATA,AI11)</f>
        <v>0</v>
      </c>
      <c r="AJ11" s="87">
        <f ca="1">IF(AND(OP="11",RAMX=DEC2BIN(COLUMN(AJ11)-1,8),RAMY=DEC2BIN(ROW(AJ11)-1,8)),DATA,AJ11)</f>
        <v>0</v>
      </c>
      <c r="AK11" s="87">
        <f ca="1">IF(AND(OP="11",RAMX=DEC2BIN(COLUMN(AK11)-1,8),RAMY=DEC2BIN(ROW(AK11)-1,8)),DATA,AK11)</f>
        <v>0</v>
      </c>
      <c r="AL11" s="87">
        <f ca="1">IF(AND(OP="11",RAMX=DEC2BIN(COLUMN(AL11)-1,8),RAMY=DEC2BIN(ROW(AL11)-1,8)),DATA,AL11)</f>
        <v>0</v>
      </c>
      <c r="AM11" s="87">
        <f ca="1">IF(AND(OP="11",RAMX=DEC2BIN(COLUMN(AM11)-1,8),RAMY=DEC2BIN(ROW(AM11)-1,8)),DATA,AM11)</f>
        <v>0</v>
      </c>
      <c r="AN11" s="87">
        <f ca="1">IF(AND(OP="11",RAMX=DEC2BIN(COLUMN(AN11)-1,8),RAMY=DEC2BIN(ROW(AN11)-1,8)),DATA,AN11)</f>
        <v>0</v>
      </c>
      <c r="AO11" s="87">
        <f ca="1">IF(AND(OP="11",RAMX=DEC2BIN(COLUMN(AO11)-1,8),RAMY=DEC2BIN(ROW(AO11)-1,8)),DATA,AO11)</f>
        <v>0</v>
      </c>
      <c r="AP11" s="87">
        <f ca="1">IF(AND(OP="11",RAMX=DEC2BIN(COLUMN(AP11)-1,8),RAMY=DEC2BIN(ROW(AP11)-1,8)),DATA,AP11)</f>
        <v>0</v>
      </c>
      <c r="AQ11" s="87">
        <f ca="1">IF(AND(OP="11",RAMX=DEC2BIN(COLUMN(AQ11)-1,8),RAMY=DEC2BIN(ROW(AQ11)-1,8)),DATA,AQ11)</f>
        <v>0</v>
      </c>
      <c r="AR11" s="87">
        <f ca="1">IF(AND(OP="11",RAMX=DEC2BIN(COLUMN(AR11)-1,8),RAMY=DEC2BIN(ROW(AR11)-1,8)),DATA,AR11)</f>
        <v>0</v>
      </c>
      <c r="AS11" s="87">
        <f ca="1">IF(AND(OP="11",RAMX=DEC2BIN(COLUMN(AS11)-1,8),RAMY=DEC2BIN(ROW(AS11)-1,8)),DATA,AS11)</f>
        <v>0</v>
      </c>
      <c r="AT11" s="87">
        <f ca="1">IF(AND(OP="11",RAMX=DEC2BIN(COLUMN(AT11)-1,8),RAMY=DEC2BIN(ROW(AT11)-1,8)),DATA,AT11)</f>
        <v>0</v>
      </c>
      <c r="AU11" s="87">
        <f ca="1">IF(AND(OP="11",RAMX=DEC2BIN(COLUMN(AU11)-1,8),RAMY=DEC2BIN(ROW(AU11)-1,8)),DATA,AU11)</f>
        <v>0</v>
      </c>
      <c r="AV11" s="87">
        <f ca="1">IF(AND(OP="11",RAMX=DEC2BIN(COLUMN(AV11)-1,8),RAMY=DEC2BIN(ROW(AV11)-1,8)),DATA,AV11)</f>
        <v>0</v>
      </c>
      <c r="AW11" s="87">
        <f ca="1">IF(AND(OP="11",RAMX=DEC2BIN(COLUMN(AW11)-1,8),RAMY=DEC2BIN(ROW(AW11)-1,8)),DATA,AW11)</f>
        <v>0</v>
      </c>
      <c r="AX11" s="87">
        <f ca="1">IF(AND(OP="11",RAMX=DEC2BIN(COLUMN(AX11)-1,8),RAMY=DEC2BIN(ROW(AX11)-1,8)),DATA,AX11)</f>
        <v>0</v>
      </c>
      <c r="AY11" s="87">
        <f ca="1">IF(AND(OP="11",RAMX=DEC2BIN(COLUMN(AY11)-1,8),RAMY=DEC2BIN(ROW(AY11)-1,8)),DATA,AY11)</f>
        <v>0</v>
      </c>
      <c r="AZ11" s="87">
        <f ca="1">IF(AND(OP="11",RAMX=DEC2BIN(COLUMN(AZ11)-1,8),RAMY=DEC2BIN(ROW(AZ11)-1,8)),DATA,AZ11)</f>
        <v>0</v>
      </c>
      <c r="BA11" s="87">
        <f ca="1">IF(AND(OP="11",RAMX=DEC2BIN(COLUMN(BA11)-1,8),RAMY=DEC2BIN(ROW(BA11)-1,8)),DATA,BA11)</f>
        <v>0</v>
      </c>
      <c r="BB11" s="87">
        <f ca="1">IF(AND(OP="11",RAMX=DEC2BIN(COLUMN(BB11)-1,8),RAMY=DEC2BIN(ROW(BB11)-1,8)),DATA,BB11)</f>
        <v>0</v>
      </c>
      <c r="BC11" s="87">
        <f ca="1">IF(AND(OP="11",RAMX=DEC2BIN(COLUMN(BC11)-1,8),RAMY=DEC2BIN(ROW(BC11)-1,8)),DATA,BC11)</f>
        <v>0</v>
      </c>
      <c r="BD11" s="87">
        <f ca="1">IF(AND(OP="11",RAMX=DEC2BIN(COLUMN(BD11)-1,8),RAMY=DEC2BIN(ROW(BD11)-1,8)),DATA,BD11)</f>
        <v>0</v>
      </c>
      <c r="BE11" s="87">
        <f ca="1">IF(AND(OP="11",RAMX=DEC2BIN(COLUMN(BE11)-1,8),RAMY=DEC2BIN(ROW(BE11)-1,8)),DATA,BE11)</f>
        <v>0</v>
      </c>
      <c r="BF11" s="87">
        <f ca="1">IF(AND(OP="11",RAMX=DEC2BIN(COLUMN(BF11)-1,8),RAMY=DEC2BIN(ROW(BF11)-1,8)),DATA,BF11)</f>
        <v>0</v>
      </c>
      <c r="BG11" s="87">
        <f ca="1">IF(AND(OP="11",RAMX=DEC2BIN(COLUMN(BG11)-1,8),RAMY=DEC2BIN(ROW(BG11)-1,8)),DATA,BG11)</f>
        <v>0</v>
      </c>
      <c r="BH11" s="87">
        <f ca="1">IF(AND(OP="11",RAMX=DEC2BIN(COLUMN(BH11)-1,8),RAMY=DEC2BIN(ROW(BH11)-1,8)),DATA,BH11)</f>
        <v>0</v>
      </c>
      <c r="BI11" s="87">
        <f ca="1">IF(AND(OP="11",RAMX=DEC2BIN(COLUMN(BI11)-1,8),RAMY=DEC2BIN(ROW(BI11)-1,8)),DATA,BI11)</f>
        <v>0</v>
      </c>
      <c r="BJ11" s="87">
        <f ca="1">IF(AND(OP="11",RAMX=DEC2BIN(COLUMN(BJ11)-1,8),RAMY=DEC2BIN(ROW(BJ11)-1,8)),DATA,BJ11)</f>
        <v>0</v>
      </c>
      <c r="BK11" s="87">
        <f ca="1">IF(AND(OP="11",RAMX=DEC2BIN(COLUMN(BK11)-1,8),RAMY=DEC2BIN(ROW(BK11)-1,8)),DATA,BK11)</f>
        <v>0</v>
      </c>
      <c r="BL11" s="87">
        <f ca="1">IF(AND(OP="11",RAMX=DEC2BIN(COLUMN(BL11)-1,8),RAMY=DEC2BIN(ROW(BL11)-1,8)),DATA,BL11)</f>
        <v>0</v>
      </c>
    </row>
    <row r="12" spans="1:64" x14ac:dyDescent="0.25">
      <c r="A12" s="87">
        <f ca="1">IF(AND(OP="11",RAMX=DEC2BIN(COLUMN(A12)-1,8),RAMY=DEC2BIN(ROW(A12)-1,8)),DATA,A12)</f>
        <v>0</v>
      </c>
      <c r="B12" s="87">
        <f ca="1">IF(AND(OP="11",RAMX=DEC2BIN(COLUMN(B12)-1,8),RAMY=DEC2BIN(ROW(B12)-1,8)),DATA,B12)</f>
        <v>0</v>
      </c>
      <c r="C12" s="87">
        <f ca="1">IF(AND(OP="11",RAMX=DEC2BIN(COLUMN(C12)-1,8),RAMY=DEC2BIN(ROW(C12)-1,8)),DATA,C12)</f>
        <v>0</v>
      </c>
      <c r="D12" s="87">
        <f ca="1">IF(AND(OP="11",RAMX=DEC2BIN(COLUMN(D12)-1,8),RAMY=DEC2BIN(ROW(D12)-1,8)),DATA,D12)</f>
        <v>0</v>
      </c>
      <c r="E12" s="87">
        <f ca="1">IF(AND(OP="11",RAMX=DEC2BIN(COLUMN(E12)-1,8),RAMY=DEC2BIN(ROW(E12)-1,8)),DATA,E12)</f>
        <v>0</v>
      </c>
      <c r="F12" s="87">
        <f ca="1">IF(AND(OP="11",RAMX=DEC2BIN(COLUMN(F12)-1,8),RAMY=DEC2BIN(ROW(F12)-1,8)),DATA,F12)</f>
        <v>0</v>
      </c>
      <c r="G12" s="87">
        <f ca="1">IF(AND(OP="11",RAMX=DEC2BIN(COLUMN(G12)-1,8),RAMY=DEC2BIN(ROW(G12)-1,8)),DATA,G12)</f>
        <v>0</v>
      </c>
      <c r="H12" s="87">
        <f ca="1">IF(AND(OP="11",RAMX=DEC2BIN(COLUMN(H12)-1,8),RAMY=DEC2BIN(ROW(H12)-1,8)),DATA,H12)</f>
        <v>0</v>
      </c>
      <c r="I12" s="87">
        <f ca="1">IF(AND(OP="11",RAMX=DEC2BIN(COLUMN(I12)-1,8),RAMY=DEC2BIN(ROW(I12)-1,8)),DATA,I12)</f>
        <v>0</v>
      </c>
      <c r="J12" s="87">
        <f ca="1">IF(AND(OP="11",RAMX=DEC2BIN(COLUMN(J12)-1,8),RAMY=DEC2BIN(ROW(J12)-1,8)),DATA,J12)</f>
        <v>0</v>
      </c>
      <c r="K12" s="87">
        <f ca="1">IF(AND(OP="11",RAMX=DEC2BIN(COLUMN(K12)-1,8),RAMY=DEC2BIN(ROW(K12)-1,8)),DATA,K12)</f>
        <v>0</v>
      </c>
      <c r="L12" s="87">
        <f ca="1">IF(AND(OP="11",RAMX=DEC2BIN(COLUMN(L12)-1,8),RAMY=DEC2BIN(ROW(L12)-1,8)),DATA,L12)</f>
        <v>0</v>
      </c>
      <c r="M12" s="87">
        <f ca="1">IF(AND(OP="11",RAMX=DEC2BIN(COLUMN(M12)-1,8),RAMY=DEC2BIN(ROW(M12)-1,8)),DATA,M12)</f>
        <v>0</v>
      </c>
      <c r="N12" s="87">
        <f ca="1">IF(AND(OP="11",RAMX=DEC2BIN(COLUMN(N12)-1,8),RAMY=DEC2BIN(ROW(N12)-1,8)),DATA,N12)</f>
        <v>0</v>
      </c>
      <c r="O12" s="87">
        <f ca="1">IF(AND(OP="11",RAMX=DEC2BIN(COLUMN(O12)-1,8),RAMY=DEC2BIN(ROW(O12)-1,8)),DATA,O12)</f>
        <v>0</v>
      </c>
      <c r="P12" s="87">
        <f ca="1">IF(AND(OP="11",RAMX=DEC2BIN(COLUMN(P12)-1,8),RAMY=DEC2BIN(ROW(P12)-1,8)),DATA,P12)</f>
        <v>0</v>
      </c>
      <c r="Q12" s="87">
        <f ca="1">IF(AND(OP="11",RAMX=DEC2BIN(COLUMN(Q12)-1,8),RAMY=DEC2BIN(ROW(Q12)-1,8)),DATA,Q12)</f>
        <v>0</v>
      </c>
      <c r="R12" s="87">
        <f ca="1">IF(AND(OP="11",RAMX=DEC2BIN(COLUMN(R12)-1,8),RAMY=DEC2BIN(ROW(R12)-1,8)),DATA,R12)</f>
        <v>0</v>
      </c>
      <c r="S12" s="87">
        <f ca="1">IF(AND(OP="11",RAMX=DEC2BIN(COLUMN(S12)-1,8),RAMY=DEC2BIN(ROW(S12)-1,8)),DATA,S12)</f>
        <v>0</v>
      </c>
      <c r="T12" s="87">
        <f ca="1">IF(AND(OP="11",RAMX=DEC2BIN(COLUMN(T12)-1,8),RAMY=DEC2BIN(ROW(T12)-1,8)),DATA,T12)</f>
        <v>0</v>
      </c>
      <c r="U12" s="87">
        <f ca="1">IF(AND(OP="11",RAMX=DEC2BIN(COLUMN(U12)-1,8),RAMY=DEC2BIN(ROW(U12)-1,8)),DATA,U12)</f>
        <v>0</v>
      </c>
      <c r="V12" s="87">
        <f ca="1">IF(AND(OP="11",RAMX=DEC2BIN(COLUMN(V12)-1,8),RAMY=DEC2BIN(ROW(V12)-1,8)),DATA,V12)</f>
        <v>0</v>
      </c>
      <c r="W12" s="87">
        <f ca="1">IF(AND(OP="11",RAMX=DEC2BIN(COLUMN(W12)-1,8),RAMY=DEC2BIN(ROW(W12)-1,8)),DATA,W12)</f>
        <v>0</v>
      </c>
      <c r="X12" s="87">
        <f ca="1">IF(AND(OP="11",RAMX=DEC2BIN(COLUMN(X12)-1,8),RAMY=DEC2BIN(ROW(X12)-1,8)),DATA,X12)</f>
        <v>0</v>
      </c>
      <c r="Y12" s="87">
        <f ca="1">IF(AND(OP="11",RAMX=DEC2BIN(COLUMN(Y12)-1,8),RAMY=DEC2BIN(ROW(Y12)-1,8)),DATA,Y12)</f>
        <v>0</v>
      </c>
      <c r="Z12" s="87">
        <f ca="1">IF(AND(OP="11",RAMX=DEC2BIN(COLUMN(Z12)-1,8),RAMY=DEC2BIN(ROW(Z12)-1,8)),DATA,Z12)</f>
        <v>0</v>
      </c>
      <c r="AA12" s="87">
        <f ca="1">IF(AND(OP="11",RAMX=DEC2BIN(COLUMN(AA12)-1,8),RAMY=DEC2BIN(ROW(AA12)-1,8)),DATA,AA12)</f>
        <v>0</v>
      </c>
      <c r="AB12" s="87">
        <f ca="1">IF(AND(OP="11",RAMX=DEC2BIN(COLUMN(AB12)-1,8),RAMY=DEC2BIN(ROW(AB12)-1,8)),DATA,AB12)</f>
        <v>0</v>
      </c>
      <c r="AC12" s="87">
        <f ca="1">IF(AND(OP="11",RAMX=DEC2BIN(COLUMN(AC12)-1,8),RAMY=DEC2BIN(ROW(AC12)-1,8)),DATA,AC12)</f>
        <v>0</v>
      </c>
      <c r="AD12" s="87">
        <f ca="1">IF(AND(OP="11",RAMX=DEC2BIN(COLUMN(AD12)-1,8),RAMY=DEC2BIN(ROW(AD12)-1,8)),DATA,AD12)</f>
        <v>0</v>
      </c>
      <c r="AE12" s="87">
        <f ca="1">IF(AND(OP="11",RAMX=DEC2BIN(COLUMN(AE12)-1,8),RAMY=DEC2BIN(ROW(AE12)-1,8)),DATA,AE12)</f>
        <v>0</v>
      </c>
      <c r="AF12" s="87">
        <f ca="1">IF(AND(OP="11",RAMX=DEC2BIN(COLUMN(AF12)-1,8),RAMY=DEC2BIN(ROW(AF12)-1,8)),DATA,AF12)</f>
        <v>0</v>
      </c>
      <c r="AG12" s="87">
        <f ca="1">IF(AND(OP="11",RAMX=DEC2BIN(COLUMN(AG12)-1,8),RAMY=DEC2BIN(ROW(AG12)-1,8)),DATA,AG12)</f>
        <v>0</v>
      </c>
      <c r="AH12" s="87">
        <f ca="1">IF(AND(OP="11",RAMX=DEC2BIN(COLUMN(AH12)-1,8),RAMY=DEC2BIN(ROW(AH12)-1,8)),DATA,AH12)</f>
        <v>0</v>
      </c>
      <c r="AI12" s="87">
        <f ca="1">IF(AND(OP="11",RAMX=DEC2BIN(COLUMN(AI12)-1,8),RAMY=DEC2BIN(ROW(AI12)-1,8)),DATA,AI12)</f>
        <v>0</v>
      </c>
      <c r="AJ12" s="87">
        <f ca="1">IF(AND(OP="11",RAMX=DEC2BIN(COLUMN(AJ12)-1,8),RAMY=DEC2BIN(ROW(AJ12)-1,8)),DATA,AJ12)</f>
        <v>0</v>
      </c>
      <c r="AK12" s="87">
        <f ca="1">IF(AND(OP="11",RAMX=DEC2BIN(COLUMN(AK12)-1,8),RAMY=DEC2BIN(ROW(AK12)-1,8)),DATA,AK12)</f>
        <v>0</v>
      </c>
      <c r="AL12" s="87">
        <f ca="1">IF(AND(OP="11",RAMX=DEC2BIN(COLUMN(AL12)-1,8),RAMY=DEC2BIN(ROW(AL12)-1,8)),DATA,AL12)</f>
        <v>0</v>
      </c>
      <c r="AM12" s="87">
        <f ca="1">IF(AND(OP="11",RAMX=DEC2BIN(COLUMN(AM12)-1,8),RAMY=DEC2BIN(ROW(AM12)-1,8)),DATA,AM12)</f>
        <v>0</v>
      </c>
      <c r="AN12" s="87">
        <f ca="1">IF(AND(OP="11",RAMX=DEC2BIN(COLUMN(AN12)-1,8),RAMY=DEC2BIN(ROW(AN12)-1,8)),DATA,AN12)</f>
        <v>0</v>
      </c>
      <c r="AO12" s="87">
        <f ca="1">IF(AND(OP="11",RAMX=DEC2BIN(COLUMN(AO12)-1,8),RAMY=DEC2BIN(ROW(AO12)-1,8)),DATA,AO12)</f>
        <v>0</v>
      </c>
      <c r="AP12" s="87">
        <f ca="1">IF(AND(OP="11",RAMX=DEC2BIN(COLUMN(AP12)-1,8),RAMY=DEC2BIN(ROW(AP12)-1,8)),DATA,AP12)</f>
        <v>0</v>
      </c>
      <c r="AQ12" s="87">
        <f ca="1">IF(AND(OP="11",RAMX=DEC2BIN(COLUMN(AQ12)-1,8),RAMY=DEC2BIN(ROW(AQ12)-1,8)),DATA,AQ12)</f>
        <v>0</v>
      </c>
      <c r="AR12" s="87">
        <f ca="1">IF(AND(OP="11",RAMX=DEC2BIN(COLUMN(AR12)-1,8),RAMY=DEC2BIN(ROW(AR12)-1,8)),DATA,AR12)</f>
        <v>0</v>
      </c>
      <c r="AS12" s="87">
        <f ca="1">IF(AND(OP="11",RAMX=DEC2BIN(COLUMN(AS12)-1,8),RAMY=DEC2BIN(ROW(AS12)-1,8)),DATA,AS12)</f>
        <v>0</v>
      </c>
      <c r="AT12" s="87">
        <f ca="1">IF(AND(OP="11",RAMX=DEC2BIN(COLUMN(AT12)-1,8),RAMY=DEC2BIN(ROW(AT12)-1,8)),DATA,AT12)</f>
        <v>0</v>
      </c>
      <c r="AU12" s="87">
        <f ca="1">IF(AND(OP="11",RAMX=DEC2BIN(COLUMN(AU12)-1,8),RAMY=DEC2BIN(ROW(AU12)-1,8)),DATA,AU12)</f>
        <v>0</v>
      </c>
      <c r="AV12" s="87">
        <f ca="1">IF(AND(OP="11",RAMX=DEC2BIN(COLUMN(AV12)-1,8),RAMY=DEC2BIN(ROW(AV12)-1,8)),DATA,AV12)</f>
        <v>0</v>
      </c>
      <c r="AW12" s="87">
        <f ca="1">IF(AND(OP="11",RAMX=DEC2BIN(COLUMN(AW12)-1,8),RAMY=DEC2BIN(ROW(AW12)-1,8)),DATA,AW12)</f>
        <v>0</v>
      </c>
      <c r="AX12" s="87">
        <f ca="1">IF(AND(OP="11",RAMX=DEC2BIN(COLUMN(AX12)-1,8),RAMY=DEC2BIN(ROW(AX12)-1,8)),DATA,AX12)</f>
        <v>0</v>
      </c>
      <c r="AY12" s="87">
        <f ca="1">IF(AND(OP="11",RAMX=DEC2BIN(COLUMN(AY12)-1,8),RAMY=DEC2BIN(ROW(AY12)-1,8)),DATA,AY12)</f>
        <v>0</v>
      </c>
      <c r="AZ12" s="87">
        <f ca="1">IF(AND(OP="11",RAMX=DEC2BIN(COLUMN(AZ12)-1,8),RAMY=DEC2BIN(ROW(AZ12)-1,8)),DATA,AZ12)</f>
        <v>0</v>
      </c>
      <c r="BA12" s="87">
        <f ca="1">IF(AND(OP="11",RAMX=DEC2BIN(COLUMN(BA12)-1,8),RAMY=DEC2BIN(ROW(BA12)-1,8)),DATA,BA12)</f>
        <v>0</v>
      </c>
      <c r="BB12" s="87">
        <f ca="1">IF(AND(OP="11",RAMX=DEC2BIN(COLUMN(BB12)-1,8),RAMY=DEC2BIN(ROW(BB12)-1,8)),DATA,BB12)</f>
        <v>0</v>
      </c>
      <c r="BC12" s="87">
        <f ca="1">IF(AND(OP="11",RAMX=DEC2BIN(COLUMN(BC12)-1,8),RAMY=DEC2BIN(ROW(BC12)-1,8)),DATA,BC12)</f>
        <v>0</v>
      </c>
      <c r="BD12" s="87">
        <f ca="1">IF(AND(OP="11",RAMX=DEC2BIN(COLUMN(BD12)-1,8),RAMY=DEC2BIN(ROW(BD12)-1,8)),DATA,BD12)</f>
        <v>0</v>
      </c>
      <c r="BE12" s="87">
        <f ca="1">IF(AND(OP="11",RAMX=DEC2BIN(COLUMN(BE12)-1,8),RAMY=DEC2BIN(ROW(BE12)-1,8)),DATA,BE12)</f>
        <v>0</v>
      </c>
      <c r="BF12" s="87">
        <f ca="1">IF(AND(OP="11",RAMX=DEC2BIN(COLUMN(BF12)-1,8),RAMY=DEC2BIN(ROW(BF12)-1,8)),DATA,BF12)</f>
        <v>0</v>
      </c>
      <c r="BG12" s="87">
        <f ca="1">IF(AND(OP="11",RAMX=DEC2BIN(COLUMN(BG12)-1,8),RAMY=DEC2BIN(ROW(BG12)-1,8)),DATA,BG12)</f>
        <v>0</v>
      </c>
      <c r="BH12" s="87">
        <f ca="1">IF(AND(OP="11",RAMX=DEC2BIN(COLUMN(BH12)-1,8),RAMY=DEC2BIN(ROW(BH12)-1,8)),DATA,BH12)</f>
        <v>0</v>
      </c>
      <c r="BI12" s="87">
        <f ca="1">IF(AND(OP="11",RAMX=DEC2BIN(COLUMN(BI12)-1,8),RAMY=DEC2BIN(ROW(BI12)-1,8)),DATA,BI12)</f>
        <v>0</v>
      </c>
      <c r="BJ12" s="87">
        <f ca="1">IF(AND(OP="11",RAMX=DEC2BIN(COLUMN(BJ12)-1,8),RAMY=DEC2BIN(ROW(BJ12)-1,8)),DATA,BJ12)</f>
        <v>0</v>
      </c>
      <c r="BK12" s="87">
        <f ca="1">IF(AND(OP="11",RAMX=DEC2BIN(COLUMN(BK12)-1,8),RAMY=DEC2BIN(ROW(BK12)-1,8)),DATA,BK12)</f>
        <v>0</v>
      </c>
      <c r="BL12" s="87">
        <f ca="1">IF(AND(OP="11",RAMX=DEC2BIN(COLUMN(BL12)-1,8),RAMY=DEC2BIN(ROW(BL12)-1,8)),DATA,BL12)</f>
        <v>0</v>
      </c>
    </row>
    <row r="13" spans="1:64" x14ac:dyDescent="0.25">
      <c r="A13" s="87">
        <f ca="1">IF(AND(OP="11",RAMX=DEC2BIN(COLUMN(A13)-1,8),RAMY=DEC2BIN(ROW(A13)-1,8)),DATA,A13)</f>
        <v>0</v>
      </c>
      <c r="B13" s="87">
        <f ca="1">IF(AND(OP="11",RAMX=DEC2BIN(COLUMN(B13)-1,8),RAMY=DEC2BIN(ROW(B13)-1,8)),DATA,B13)</f>
        <v>0</v>
      </c>
      <c r="C13" s="87">
        <f ca="1">IF(AND(OP="11",RAMX=DEC2BIN(COLUMN(C13)-1,8),RAMY=DEC2BIN(ROW(C13)-1,8)),DATA,C13)</f>
        <v>0</v>
      </c>
      <c r="D13" s="87">
        <f ca="1">IF(AND(OP="11",RAMX=DEC2BIN(COLUMN(D13)-1,8),RAMY=DEC2BIN(ROW(D13)-1,8)),DATA,D13)</f>
        <v>0</v>
      </c>
      <c r="E13" s="87">
        <f ca="1">IF(AND(OP="11",RAMX=DEC2BIN(COLUMN(E13)-1,8),RAMY=DEC2BIN(ROW(E13)-1,8)),DATA,E13)</f>
        <v>0</v>
      </c>
      <c r="F13" s="87">
        <f ca="1">IF(AND(OP="11",RAMX=DEC2BIN(COLUMN(F13)-1,8),RAMY=DEC2BIN(ROW(F13)-1,8)),DATA,F13)</f>
        <v>0</v>
      </c>
      <c r="G13" s="87">
        <f ca="1">IF(AND(OP="11",RAMX=DEC2BIN(COLUMN(G13)-1,8),RAMY=DEC2BIN(ROW(G13)-1,8)),DATA,G13)</f>
        <v>0</v>
      </c>
      <c r="H13" s="87">
        <f ca="1">IF(AND(OP="11",RAMX=DEC2BIN(COLUMN(H13)-1,8),RAMY=DEC2BIN(ROW(H13)-1,8)),DATA,H13)</f>
        <v>0</v>
      </c>
      <c r="I13" s="87">
        <f ca="1">IF(AND(OP="11",RAMX=DEC2BIN(COLUMN(I13)-1,8),RAMY=DEC2BIN(ROW(I13)-1,8)),DATA,I13)</f>
        <v>0</v>
      </c>
      <c r="J13" s="87">
        <f ca="1">IF(AND(OP="11",RAMX=DEC2BIN(COLUMN(J13)-1,8),RAMY=DEC2BIN(ROW(J13)-1,8)),DATA,J13)</f>
        <v>0</v>
      </c>
      <c r="K13" s="87">
        <f ca="1">IF(AND(OP="11",RAMX=DEC2BIN(COLUMN(K13)-1,8),RAMY=DEC2BIN(ROW(K13)-1,8)),DATA,K13)</f>
        <v>0</v>
      </c>
      <c r="L13" s="87">
        <f ca="1">IF(AND(OP="11",RAMX=DEC2BIN(COLUMN(L13)-1,8),RAMY=DEC2BIN(ROW(L13)-1,8)),DATA,L13)</f>
        <v>0</v>
      </c>
      <c r="M13" s="87">
        <f ca="1">IF(AND(OP="11",RAMX=DEC2BIN(COLUMN(M13)-1,8),RAMY=DEC2BIN(ROW(M13)-1,8)),DATA,M13)</f>
        <v>0</v>
      </c>
      <c r="N13" s="87">
        <f ca="1">IF(AND(OP="11",RAMX=DEC2BIN(COLUMN(N13)-1,8),RAMY=DEC2BIN(ROW(N13)-1,8)),DATA,N13)</f>
        <v>0</v>
      </c>
      <c r="O13" s="87">
        <f ca="1">IF(AND(OP="11",RAMX=DEC2BIN(COLUMN(O13)-1,8),RAMY=DEC2BIN(ROW(O13)-1,8)),DATA,O13)</f>
        <v>0</v>
      </c>
      <c r="P13" s="87">
        <f ca="1">IF(AND(OP="11",RAMX=DEC2BIN(COLUMN(P13)-1,8),RAMY=DEC2BIN(ROW(P13)-1,8)),DATA,P13)</f>
        <v>0</v>
      </c>
      <c r="Q13" s="87">
        <f ca="1">IF(AND(OP="11",RAMX=DEC2BIN(COLUMN(Q13)-1,8),RAMY=DEC2BIN(ROW(Q13)-1,8)),DATA,Q13)</f>
        <v>0</v>
      </c>
      <c r="R13" s="87">
        <f ca="1">IF(AND(OP="11",RAMX=DEC2BIN(COLUMN(R13)-1,8),RAMY=DEC2BIN(ROW(R13)-1,8)),DATA,R13)</f>
        <v>0</v>
      </c>
      <c r="S13" s="87">
        <f ca="1">IF(AND(OP="11",RAMX=DEC2BIN(COLUMN(S13)-1,8),RAMY=DEC2BIN(ROW(S13)-1,8)),DATA,S13)</f>
        <v>0</v>
      </c>
      <c r="T13" s="87">
        <f ca="1">IF(AND(OP="11",RAMX=DEC2BIN(COLUMN(T13)-1,8),RAMY=DEC2BIN(ROW(T13)-1,8)),DATA,T13)</f>
        <v>0</v>
      </c>
      <c r="U13" s="87">
        <f ca="1">IF(AND(OP="11",RAMX=DEC2BIN(COLUMN(U13)-1,8),RAMY=DEC2BIN(ROW(U13)-1,8)),DATA,U13)</f>
        <v>0</v>
      </c>
      <c r="V13" s="87">
        <f ca="1">IF(AND(OP="11",RAMX=DEC2BIN(COLUMN(V13)-1,8),RAMY=DEC2BIN(ROW(V13)-1,8)),DATA,V13)</f>
        <v>0</v>
      </c>
      <c r="W13" s="87">
        <f ca="1">IF(AND(OP="11",RAMX=DEC2BIN(COLUMN(W13)-1,8),RAMY=DEC2BIN(ROW(W13)-1,8)),DATA,W13)</f>
        <v>0</v>
      </c>
      <c r="X13" s="87">
        <f ca="1">IF(AND(OP="11",RAMX=DEC2BIN(COLUMN(X13)-1,8),RAMY=DEC2BIN(ROW(X13)-1,8)),DATA,X13)</f>
        <v>0</v>
      </c>
      <c r="Y13" s="87">
        <f ca="1">IF(AND(OP="11",RAMX=DEC2BIN(COLUMN(Y13)-1,8),RAMY=DEC2BIN(ROW(Y13)-1,8)),DATA,Y13)</f>
        <v>0</v>
      </c>
      <c r="Z13" s="87">
        <f ca="1">IF(AND(OP="11",RAMX=DEC2BIN(COLUMN(Z13)-1,8),RAMY=DEC2BIN(ROW(Z13)-1,8)),DATA,Z13)</f>
        <v>0</v>
      </c>
      <c r="AA13" s="87">
        <f ca="1">IF(AND(OP="11",RAMX=DEC2BIN(COLUMN(AA13)-1,8),RAMY=DEC2BIN(ROW(AA13)-1,8)),DATA,AA13)</f>
        <v>0</v>
      </c>
      <c r="AB13" s="87">
        <f ca="1">IF(AND(OP="11",RAMX=DEC2BIN(COLUMN(AB13)-1,8),RAMY=DEC2BIN(ROW(AB13)-1,8)),DATA,AB13)</f>
        <v>0</v>
      </c>
      <c r="AC13" s="87">
        <f ca="1">IF(AND(OP="11",RAMX=DEC2BIN(COLUMN(AC13)-1,8),RAMY=DEC2BIN(ROW(AC13)-1,8)),DATA,AC13)</f>
        <v>0</v>
      </c>
      <c r="AD13" s="87">
        <f ca="1">IF(AND(OP="11",RAMX=DEC2BIN(COLUMN(AD13)-1,8),RAMY=DEC2BIN(ROW(AD13)-1,8)),DATA,AD13)</f>
        <v>0</v>
      </c>
      <c r="AE13" s="87">
        <f ca="1">IF(AND(OP="11",RAMX=DEC2BIN(COLUMN(AE13)-1,8),RAMY=DEC2BIN(ROW(AE13)-1,8)),DATA,AE13)</f>
        <v>0</v>
      </c>
      <c r="AF13" s="87">
        <f ca="1">IF(AND(OP="11",RAMX=DEC2BIN(COLUMN(AF13)-1,8),RAMY=DEC2BIN(ROW(AF13)-1,8)),DATA,AF13)</f>
        <v>0</v>
      </c>
      <c r="AG13" s="87">
        <f ca="1">IF(AND(OP="11",RAMX=DEC2BIN(COLUMN(AG13)-1,8),RAMY=DEC2BIN(ROW(AG13)-1,8)),DATA,AG13)</f>
        <v>0</v>
      </c>
      <c r="AH13" s="87">
        <f ca="1">IF(AND(OP="11",RAMX=DEC2BIN(COLUMN(AH13)-1,8),RAMY=DEC2BIN(ROW(AH13)-1,8)),DATA,AH13)</f>
        <v>0</v>
      </c>
      <c r="AI13" s="87">
        <f ca="1">IF(AND(OP="11",RAMX=DEC2BIN(COLUMN(AI13)-1,8),RAMY=DEC2BIN(ROW(AI13)-1,8)),DATA,AI13)</f>
        <v>0</v>
      </c>
      <c r="AJ13" s="87">
        <f ca="1">IF(AND(OP="11",RAMX=DEC2BIN(COLUMN(AJ13)-1,8),RAMY=DEC2BIN(ROW(AJ13)-1,8)),DATA,AJ13)</f>
        <v>0</v>
      </c>
      <c r="AK13" s="87">
        <f ca="1">IF(AND(OP="11",RAMX=DEC2BIN(COLUMN(AK13)-1,8),RAMY=DEC2BIN(ROW(AK13)-1,8)),DATA,AK13)</f>
        <v>0</v>
      </c>
      <c r="AL13" s="87">
        <f ca="1">IF(AND(OP="11",RAMX=DEC2BIN(COLUMN(AL13)-1,8),RAMY=DEC2BIN(ROW(AL13)-1,8)),DATA,AL13)</f>
        <v>0</v>
      </c>
      <c r="AM13" s="87">
        <f ca="1">IF(AND(OP="11",RAMX=DEC2BIN(COLUMN(AM13)-1,8),RAMY=DEC2BIN(ROW(AM13)-1,8)),DATA,AM13)</f>
        <v>0</v>
      </c>
      <c r="AN13" s="87">
        <f ca="1">IF(AND(OP="11",RAMX=DEC2BIN(COLUMN(AN13)-1,8),RAMY=DEC2BIN(ROW(AN13)-1,8)),DATA,AN13)</f>
        <v>0</v>
      </c>
      <c r="AO13" s="87">
        <f ca="1">IF(AND(OP="11",RAMX=DEC2BIN(COLUMN(AO13)-1,8),RAMY=DEC2BIN(ROW(AO13)-1,8)),DATA,AO13)</f>
        <v>0</v>
      </c>
      <c r="AP13" s="87">
        <f ca="1">IF(AND(OP="11",RAMX=DEC2BIN(COLUMN(AP13)-1,8),RAMY=DEC2BIN(ROW(AP13)-1,8)),DATA,AP13)</f>
        <v>0</v>
      </c>
      <c r="AQ13" s="87">
        <f ca="1">IF(AND(OP="11",RAMX=DEC2BIN(COLUMN(AQ13)-1,8),RAMY=DEC2BIN(ROW(AQ13)-1,8)),DATA,AQ13)</f>
        <v>0</v>
      </c>
      <c r="AR13" s="87">
        <f ca="1">IF(AND(OP="11",RAMX=DEC2BIN(COLUMN(AR13)-1,8),RAMY=DEC2BIN(ROW(AR13)-1,8)),DATA,AR13)</f>
        <v>0</v>
      </c>
      <c r="AS13" s="87">
        <f ca="1">IF(AND(OP="11",RAMX=DEC2BIN(COLUMN(AS13)-1,8),RAMY=DEC2BIN(ROW(AS13)-1,8)),DATA,AS13)</f>
        <v>0</v>
      </c>
      <c r="AT13" s="87">
        <f ca="1">IF(AND(OP="11",RAMX=DEC2BIN(COLUMN(AT13)-1,8),RAMY=DEC2BIN(ROW(AT13)-1,8)),DATA,AT13)</f>
        <v>0</v>
      </c>
      <c r="AU13" s="87">
        <f ca="1">IF(AND(OP="11",RAMX=DEC2BIN(COLUMN(AU13)-1,8),RAMY=DEC2BIN(ROW(AU13)-1,8)),DATA,AU13)</f>
        <v>0</v>
      </c>
      <c r="AV13" s="87">
        <f ca="1">IF(AND(OP="11",RAMX=DEC2BIN(COLUMN(AV13)-1,8),RAMY=DEC2BIN(ROW(AV13)-1,8)),DATA,AV13)</f>
        <v>0</v>
      </c>
      <c r="AW13" s="87">
        <f ca="1">IF(AND(OP="11",RAMX=DEC2BIN(COLUMN(AW13)-1,8),RAMY=DEC2BIN(ROW(AW13)-1,8)),DATA,AW13)</f>
        <v>0</v>
      </c>
      <c r="AX13" s="87">
        <f ca="1">IF(AND(OP="11",RAMX=DEC2BIN(COLUMN(AX13)-1,8),RAMY=DEC2BIN(ROW(AX13)-1,8)),DATA,AX13)</f>
        <v>0</v>
      </c>
      <c r="AY13" s="87">
        <f ca="1">IF(AND(OP="11",RAMX=DEC2BIN(COLUMN(AY13)-1,8),RAMY=DEC2BIN(ROW(AY13)-1,8)),DATA,AY13)</f>
        <v>0</v>
      </c>
      <c r="AZ13" s="87">
        <f ca="1">IF(AND(OP="11",RAMX=DEC2BIN(COLUMN(AZ13)-1,8),RAMY=DEC2BIN(ROW(AZ13)-1,8)),DATA,AZ13)</f>
        <v>0</v>
      </c>
      <c r="BA13" s="87">
        <f ca="1">IF(AND(OP="11",RAMX=DEC2BIN(COLUMN(BA13)-1,8),RAMY=DEC2BIN(ROW(BA13)-1,8)),DATA,BA13)</f>
        <v>0</v>
      </c>
      <c r="BB13" s="87">
        <f ca="1">IF(AND(OP="11",RAMX=DEC2BIN(COLUMN(BB13)-1,8),RAMY=DEC2BIN(ROW(BB13)-1,8)),DATA,BB13)</f>
        <v>0</v>
      </c>
      <c r="BC13" s="87">
        <f ca="1">IF(AND(OP="11",RAMX=DEC2BIN(COLUMN(BC13)-1,8),RAMY=DEC2BIN(ROW(BC13)-1,8)),DATA,BC13)</f>
        <v>0</v>
      </c>
      <c r="BD13" s="87">
        <f ca="1">IF(AND(OP="11",RAMX=DEC2BIN(COLUMN(BD13)-1,8),RAMY=DEC2BIN(ROW(BD13)-1,8)),DATA,BD13)</f>
        <v>0</v>
      </c>
      <c r="BE13" s="87">
        <f ca="1">IF(AND(OP="11",RAMX=DEC2BIN(COLUMN(BE13)-1,8),RAMY=DEC2BIN(ROW(BE13)-1,8)),DATA,BE13)</f>
        <v>0</v>
      </c>
      <c r="BF13" s="87">
        <f ca="1">IF(AND(OP="11",RAMX=DEC2BIN(COLUMN(BF13)-1,8),RAMY=DEC2BIN(ROW(BF13)-1,8)),DATA,BF13)</f>
        <v>0</v>
      </c>
      <c r="BG13" s="87">
        <f ca="1">IF(AND(OP="11",RAMX=DEC2BIN(COLUMN(BG13)-1,8),RAMY=DEC2BIN(ROW(BG13)-1,8)),DATA,BG13)</f>
        <v>0</v>
      </c>
      <c r="BH13" s="87">
        <f ca="1">IF(AND(OP="11",RAMX=DEC2BIN(COLUMN(BH13)-1,8),RAMY=DEC2BIN(ROW(BH13)-1,8)),DATA,BH13)</f>
        <v>0</v>
      </c>
      <c r="BI13" s="87">
        <f ca="1">IF(AND(OP="11",RAMX=DEC2BIN(COLUMN(BI13)-1,8),RAMY=DEC2BIN(ROW(BI13)-1,8)),DATA,BI13)</f>
        <v>0</v>
      </c>
      <c r="BJ13" s="87">
        <f ca="1">IF(AND(OP="11",RAMX=DEC2BIN(COLUMN(BJ13)-1,8),RAMY=DEC2BIN(ROW(BJ13)-1,8)),DATA,BJ13)</f>
        <v>0</v>
      </c>
      <c r="BK13" s="87">
        <f ca="1">IF(AND(OP="11",RAMX=DEC2BIN(COLUMN(BK13)-1,8),RAMY=DEC2BIN(ROW(BK13)-1,8)),DATA,BK13)</f>
        <v>0</v>
      </c>
      <c r="BL13" s="87">
        <f ca="1">IF(AND(OP="11",RAMX=DEC2BIN(COLUMN(BL13)-1,8),RAMY=DEC2BIN(ROW(BL13)-1,8)),DATA,BL13)</f>
        <v>0</v>
      </c>
    </row>
    <row r="14" spans="1:64" x14ac:dyDescent="0.25">
      <c r="A14" s="87">
        <f ca="1">IF(AND(OP="11",RAMX=DEC2BIN(COLUMN(A14)-1,8),RAMY=DEC2BIN(ROW(A14)-1,8)),DATA,A14)</f>
        <v>0</v>
      </c>
      <c r="B14" s="87">
        <f ca="1">IF(AND(OP="11",RAMX=DEC2BIN(COLUMN(B14)-1,8),RAMY=DEC2BIN(ROW(B14)-1,8)),DATA,B14)</f>
        <v>0</v>
      </c>
      <c r="C14" s="87">
        <f ca="1">IF(AND(OP="11",RAMX=DEC2BIN(COLUMN(C14)-1,8),RAMY=DEC2BIN(ROW(C14)-1,8)),DATA,C14)</f>
        <v>0</v>
      </c>
      <c r="D14" s="87">
        <f ca="1">IF(AND(OP="11",RAMX=DEC2BIN(COLUMN(D14)-1,8),RAMY=DEC2BIN(ROW(D14)-1,8)),DATA,D14)</f>
        <v>0</v>
      </c>
      <c r="E14" s="87">
        <f ca="1">IF(AND(OP="11",RAMX=DEC2BIN(COLUMN(E14)-1,8),RAMY=DEC2BIN(ROW(E14)-1,8)),DATA,E14)</f>
        <v>0</v>
      </c>
      <c r="F14" s="87">
        <f ca="1">IF(AND(OP="11",RAMX=DEC2BIN(COLUMN(F14)-1,8),RAMY=DEC2BIN(ROW(F14)-1,8)),DATA,F14)</f>
        <v>0</v>
      </c>
      <c r="G14" s="87">
        <f ca="1">IF(AND(OP="11",RAMX=DEC2BIN(COLUMN(G14)-1,8),RAMY=DEC2BIN(ROW(G14)-1,8)),DATA,G14)</f>
        <v>0</v>
      </c>
      <c r="H14" s="87">
        <f ca="1">IF(AND(OP="11",RAMX=DEC2BIN(COLUMN(H14)-1,8),RAMY=DEC2BIN(ROW(H14)-1,8)),DATA,H14)</f>
        <v>0</v>
      </c>
      <c r="I14" s="87">
        <f ca="1">IF(AND(OP="11",RAMX=DEC2BIN(COLUMN(I14)-1,8),RAMY=DEC2BIN(ROW(I14)-1,8)),DATA,I14)</f>
        <v>0</v>
      </c>
      <c r="J14" s="87">
        <f ca="1">IF(AND(OP="11",RAMX=DEC2BIN(COLUMN(J14)-1,8),RAMY=DEC2BIN(ROW(J14)-1,8)),DATA,J14)</f>
        <v>0</v>
      </c>
      <c r="K14" s="87">
        <f ca="1">IF(AND(OP="11",RAMX=DEC2BIN(COLUMN(K14)-1,8),RAMY=DEC2BIN(ROW(K14)-1,8)),DATA,K14)</f>
        <v>0</v>
      </c>
      <c r="L14" s="87">
        <f ca="1">IF(AND(OP="11",RAMX=DEC2BIN(COLUMN(L14)-1,8),RAMY=DEC2BIN(ROW(L14)-1,8)),DATA,L14)</f>
        <v>0</v>
      </c>
      <c r="M14" s="87">
        <f ca="1">IF(AND(OP="11",RAMX=DEC2BIN(COLUMN(M14)-1,8),RAMY=DEC2BIN(ROW(M14)-1,8)),DATA,M14)</f>
        <v>0</v>
      </c>
      <c r="N14" s="87">
        <f ca="1">IF(AND(OP="11",RAMX=DEC2BIN(COLUMN(N14)-1,8),RAMY=DEC2BIN(ROW(N14)-1,8)),DATA,N14)</f>
        <v>0</v>
      </c>
      <c r="O14" s="87">
        <f ca="1">IF(AND(OP="11",RAMX=DEC2BIN(COLUMN(O14)-1,8),RAMY=DEC2BIN(ROW(O14)-1,8)),DATA,O14)</f>
        <v>0</v>
      </c>
      <c r="P14" s="87">
        <f ca="1">IF(AND(OP="11",RAMX=DEC2BIN(COLUMN(P14)-1,8),RAMY=DEC2BIN(ROW(P14)-1,8)),DATA,P14)</f>
        <v>0</v>
      </c>
      <c r="Q14" s="87">
        <f ca="1">IF(AND(OP="11",RAMX=DEC2BIN(COLUMN(Q14)-1,8),RAMY=DEC2BIN(ROW(Q14)-1,8)),DATA,Q14)</f>
        <v>0</v>
      </c>
      <c r="R14" s="87">
        <f ca="1">IF(AND(OP="11",RAMX=DEC2BIN(COLUMN(R14)-1,8),RAMY=DEC2BIN(ROW(R14)-1,8)),DATA,R14)</f>
        <v>0</v>
      </c>
      <c r="S14" s="87">
        <f ca="1">IF(AND(OP="11",RAMX=DEC2BIN(COLUMN(S14)-1,8),RAMY=DEC2BIN(ROW(S14)-1,8)),DATA,S14)</f>
        <v>0</v>
      </c>
      <c r="T14" s="87">
        <f ca="1">IF(AND(OP="11",RAMX=DEC2BIN(COLUMN(T14)-1,8),RAMY=DEC2BIN(ROW(T14)-1,8)),DATA,T14)</f>
        <v>0</v>
      </c>
      <c r="U14" s="87">
        <f ca="1">IF(AND(OP="11",RAMX=DEC2BIN(COLUMN(U14)-1,8),RAMY=DEC2BIN(ROW(U14)-1,8)),DATA,U14)</f>
        <v>0</v>
      </c>
      <c r="V14" s="87">
        <f ca="1">IF(AND(OP="11",RAMX=DEC2BIN(COLUMN(V14)-1,8),RAMY=DEC2BIN(ROW(V14)-1,8)),DATA,V14)</f>
        <v>0</v>
      </c>
      <c r="W14" s="87">
        <f ca="1">IF(AND(OP="11",RAMX=DEC2BIN(COLUMN(W14)-1,8),RAMY=DEC2BIN(ROW(W14)-1,8)),DATA,W14)</f>
        <v>0</v>
      </c>
      <c r="X14" s="87">
        <f ca="1">IF(AND(OP="11",RAMX=DEC2BIN(COLUMN(X14)-1,8),RAMY=DEC2BIN(ROW(X14)-1,8)),DATA,X14)</f>
        <v>0</v>
      </c>
      <c r="Y14" s="87">
        <f ca="1">IF(AND(OP="11",RAMX=DEC2BIN(COLUMN(Y14)-1,8),RAMY=DEC2BIN(ROW(Y14)-1,8)),DATA,Y14)</f>
        <v>0</v>
      </c>
      <c r="Z14" s="87">
        <f ca="1">IF(AND(OP="11",RAMX=DEC2BIN(COLUMN(Z14)-1,8),RAMY=DEC2BIN(ROW(Z14)-1,8)),DATA,Z14)</f>
        <v>0</v>
      </c>
      <c r="AA14" s="87">
        <f ca="1">IF(AND(OP="11",RAMX=DEC2BIN(COLUMN(AA14)-1,8),RAMY=DEC2BIN(ROW(AA14)-1,8)),DATA,AA14)</f>
        <v>0</v>
      </c>
      <c r="AB14" s="87">
        <f ca="1">IF(AND(OP="11",RAMX=DEC2BIN(COLUMN(AB14)-1,8),RAMY=DEC2BIN(ROW(AB14)-1,8)),DATA,AB14)</f>
        <v>0</v>
      </c>
      <c r="AC14" s="87">
        <f ca="1">IF(AND(OP="11",RAMX=DEC2BIN(COLUMN(AC14)-1,8),RAMY=DEC2BIN(ROW(AC14)-1,8)),DATA,AC14)</f>
        <v>0</v>
      </c>
      <c r="AD14" s="87">
        <f ca="1">IF(AND(OP="11",RAMX=DEC2BIN(COLUMN(AD14)-1,8),RAMY=DEC2BIN(ROW(AD14)-1,8)),DATA,AD14)</f>
        <v>0</v>
      </c>
      <c r="AE14" s="87">
        <f ca="1">IF(AND(OP="11",RAMX=DEC2BIN(COLUMN(AE14)-1,8),RAMY=DEC2BIN(ROW(AE14)-1,8)),DATA,AE14)</f>
        <v>0</v>
      </c>
      <c r="AF14" s="87">
        <f ca="1">IF(AND(OP="11",RAMX=DEC2BIN(COLUMN(AF14)-1,8),RAMY=DEC2BIN(ROW(AF14)-1,8)),DATA,AF14)</f>
        <v>0</v>
      </c>
      <c r="AG14" s="87">
        <f ca="1">IF(AND(OP="11",RAMX=DEC2BIN(COLUMN(AG14)-1,8),RAMY=DEC2BIN(ROW(AG14)-1,8)),DATA,AG14)</f>
        <v>0</v>
      </c>
      <c r="AH14" s="87">
        <f ca="1">IF(AND(OP="11",RAMX=DEC2BIN(COLUMN(AH14)-1,8),RAMY=DEC2BIN(ROW(AH14)-1,8)),DATA,AH14)</f>
        <v>0</v>
      </c>
      <c r="AI14" s="87">
        <f ca="1">IF(AND(OP="11",RAMX=DEC2BIN(COLUMN(AI14)-1,8),RAMY=DEC2BIN(ROW(AI14)-1,8)),DATA,AI14)</f>
        <v>0</v>
      </c>
      <c r="AJ14" s="87">
        <f ca="1">IF(AND(OP="11",RAMX=DEC2BIN(COLUMN(AJ14)-1,8),RAMY=DEC2BIN(ROW(AJ14)-1,8)),DATA,AJ14)</f>
        <v>0</v>
      </c>
      <c r="AK14" s="87">
        <f ca="1">IF(AND(OP="11",RAMX=DEC2BIN(COLUMN(AK14)-1,8),RAMY=DEC2BIN(ROW(AK14)-1,8)),DATA,AK14)</f>
        <v>0</v>
      </c>
      <c r="AL14" s="87">
        <f ca="1">IF(AND(OP="11",RAMX=DEC2BIN(COLUMN(AL14)-1,8),RAMY=DEC2BIN(ROW(AL14)-1,8)),DATA,AL14)</f>
        <v>0</v>
      </c>
      <c r="AM14" s="87">
        <f ca="1">IF(AND(OP="11",RAMX=DEC2BIN(COLUMN(AM14)-1,8),RAMY=DEC2BIN(ROW(AM14)-1,8)),DATA,AM14)</f>
        <v>0</v>
      </c>
      <c r="AN14" s="87">
        <f ca="1">IF(AND(OP="11",RAMX=DEC2BIN(COLUMN(AN14)-1,8),RAMY=DEC2BIN(ROW(AN14)-1,8)),DATA,AN14)</f>
        <v>0</v>
      </c>
      <c r="AO14" s="87">
        <f ca="1">IF(AND(OP="11",RAMX=DEC2BIN(COLUMN(AO14)-1,8),RAMY=DEC2BIN(ROW(AO14)-1,8)),DATA,AO14)</f>
        <v>0</v>
      </c>
      <c r="AP14" s="87">
        <f ca="1">IF(AND(OP="11",RAMX=DEC2BIN(COLUMN(AP14)-1,8),RAMY=DEC2BIN(ROW(AP14)-1,8)),DATA,AP14)</f>
        <v>0</v>
      </c>
      <c r="AQ14" s="87">
        <f ca="1">IF(AND(OP="11",RAMX=DEC2BIN(COLUMN(AQ14)-1,8),RAMY=DEC2BIN(ROW(AQ14)-1,8)),DATA,AQ14)</f>
        <v>0</v>
      </c>
      <c r="AR14" s="87">
        <f ca="1">IF(AND(OP="11",RAMX=DEC2BIN(COLUMN(AR14)-1,8),RAMY=DEC2BIN(ROW(AR14)-1,8)),DATA,AR14)</f>
        <v>0</v>
      </c>
      <c r="AS14" s="87">
        <f ca="1">IF(AND(OP="11",RAMX=DEC2BIN(COLUMN(AS14)-1,8),RAMY=DEC2BIN(ROW(AS14)-1,8)),DATA,AS14)</f>
        <v>0</v>
      </c>
      <c r="AT14" s="87">
        <f ca="1">IF(AND(OP="11",RAMX=DEC2BIN(COLUMN(AT14)-1,8),RAMY=DEC2BIN(ROW(AT14)-1,8)),DATA,AT14)</f>
        <v>0</v>
      </c>
      <c r="AU14" s="87">
        <f ca="1">IF(AND(OP="11",RAMX=DEC2BIN(COLUMN(AU14)-1,8),RAMY=DEC2BIN(ROW(AU14)-1,8)),DATA,AU14)</f>
        <v>0</v>
      </c>
      <c r="AV14" s="87">
        <f ca="1">IF(AND(OP="11",RAMX=DEC2BIN(COLUMN(AV14)-1,8),RAMY=DEC2BIN(ROW(AV14)-1,8)),DATA,AV14)</f>
        <v>0</v>
      </c>
      <c r="AW14" s="87">
        <f ca="1">IF(AND(OP="11",RAMX=DEC2BIN(COLUMN(AW14)-1,8),RAMY=DEC2BIN(ROW(AW14)-1,8)),DATA,AW14)</f>
        <v>0</v>
      </c>
      <c r="AX14" s="87">
        <f ca="1">IF(AND(OP="11",RAMX=DEC2BIN(COLUMN(AX14)-1,8),RAMY=DEC2BIN(ROW(AX14)-1,8)),DATA,AX14)</f>
        <v>0</v>
      </c>
      <c r="AY14" s="87">
        <f ca="1">IF(AND(OP="11",RAMX=DEC2BIN(COLUMN(AY14)-1,8),RAMY=DEC2BIN(ROW(AY14)-1,8)),DATA,AY14)</f>
        <v>0</v>
      </c>
      <c r="AZ14" s="87">
        <f ca="1">IF(AND(OP="11",RAMX=DEC2BIN(COLUMN(AZ14)-1,8),RAMY=DEC2BIN(ROW(AZ14)-1,8)),DATA,AZ14)</f>
        <v>0</v>
      </c>
      <c r="BA14" s="87">
        <f ca="1">IF(AND(OP="11",RAMX=DEC2BIN(COLUMN(BA14)-1,8),RAMY=DEC2BIN(ROW(BA14)-1,8)),DATA,BA14)</f>
        <v>0</v>
      </c>
      <c r="BB14" s="87">
        <f ca="1">IF(AND(OP="11",RAMX=DEC2BIN(COLUMN(BB14)-1,8),RAMY=DEC2BIN(ROW(BB14)-1,8)),DATA,BB14)</f>
        <v>0</v>
      </c>
      <c r="BC14" s="87">
        <f ca="1">IF(AND(OP="11",RAMX=DEC2BIN(COLUMN(BC14)-1,8),RAMY=DEC2BIN(ROW(BC14)-1,8)),DATA,BC14)</f>
        <v>0</v>
      </c>
      <c r="BD14" s="87">
        <f ca="1">IF(AND(OP="11",RAMX=DEC2BIN(COLUMN(BD14)-1,8),RAMY=DEC2BIN(ROW(BD14)-1,8)),DATA,BD14)</f>
        <v>0</v>
      </c>
      <c r="BE14" s="87">
        <f ca="1">IF(AND(OP="11",RAMX=DEC2BIN(COLUMN(BE14)-1,8),RAMY=DEC2BIN(ROW(BE14)-1,8)),DATA,BE14)</f>
        <v>0</v>
      </c>
      <c r="BF14" s="87">
        <f ca="1">IF(AND(OP="11",RAMX=DEC2BIN(COLUMN(BF14)-1,8),RAMY=DEC2BIN(ROW(BF14)-1,8)),DATA,BF14)</f>
        <v>0</v>
      </c>
      <c r="BG14" s="87">
        <f ca="1">IF(AND(OP="11",RAMX=DEC2BIN(COLUMN(BG14)-1,8),RAMY=DEC2BIN(ROW(BG14)-1,8)),DATA,BG14)</f>
        <v>0</v>
      </c>
      <c r="BH14" s="87">
        <f ca="1">IF(AND(OP="11",RAMX=DEC2BIN(COLUMN(BH14)-1,8),RAMY=DEC2BIN(ROW(BH14)-1,8)),DATA,BH14)</f>
        <v>0</v>
      </c>
      <c r="BI14" s="87">
        <f ca="1">IF(AND(OP="11",RAMX=DEC2BIN(COLUMN(BI14)-1,8),RAMY=DEC2BIN(ROW(BI14)-1,8)),DATA,BI14)</f>
        <v>0</v>
      </c>
      <c r="BJ14" s="87">
        <f ca="1">IF(AND(OP="11",RAMX=DEC2BIN(COLUMN(BJ14)-1,8),RAMY=DEC2BIN(ROW(BJ14)-1,8)),DATA,BJ14)</f>
        <v>0</v>
      </c>
      <c r="BK14" s="87">
        <f ca="1">IF(AND(OP="11",RAMX=DEC2BIN(COLUMN(BK14)-1,8),RAMY=DEC2BIN(ROW(BK14)-1,8)),DATA,BK14)</f>
        <v>0</v>
      </c>
      <c r="BL14" s="87">
        <f ca="1">IF(AND(OP="11",RAMX=DEC2BIN(COLUMN(BL14)-1,8),RAMY=DEC2BIN(ROW(BL14)-1,8)),DATA,BL14)</f>
        <v>0</v>
      </c>
    </row>
    <row r="15" spans="1:64" x14ac:dyDescent="0.25">
      <c r="A15" s="87">
        <f ca="1">IF(AND(OP="11",RAMX=DEC2BIN(COLUMN(A15)-1,8),RAMY=DEC2BIN(ROW(A15)-1,8)),DATA,A15)</f>
        <v>0</v>
      </c>
      <c r="B15" s="87">
        <f ca="1">IF(AND(OP="11",RAMX=DEC2BIN(COLUMN(B15)-1,8),RAMY=DEC2BIN(ROW(B15)-1,8)),DATA,B15)</f>
        <v>0</v>
      </c>
      <c r="C15" s="87">
        <f ca="1">IF(AND(OP="11",RAMX=DEC2BIN(COLUMN(C15)-1,8),RAMY=DEC2BIN(ROW(C15)-1,8)),DATA,C15)</f>
        <v>0</v>
      </c>
      <c r="D15" s="87">
        <f ca="1">IF(AND(OP="11",RAMX=DEC2BIN(COLUMN(D15)-1,8),RAMY=DEC2BIN(ROW(D15)-1,8)),DATA,D15)</f>
        <v>0</v>
      </c>
      <c r="E15" s="87">
        <f ca="1">IF(AND(OP="11",RAMX=DEC2BIN(COLUMN(E15)-1,8),RAMY=DEC2BIN(ROW(E15)-1,8)),DATA,E15)</f>
        <v>0</v>
      </c>
      <c r="F15" s="87">
        <f ca="1">IF(AND(OP="11",RAMX=DEC2BIN(COLUMN(F15)-1,8),RAMY=DEC2BIN(ROW(F15)-1,8)),DATA,F15)</f>
        <v>0</v>
      </c>
      <c r="G15" s="87">
        <f ca="1">IF(AND(OP="11",RAMX=DEC2BIN(COLUMN(G15)-1,8),RAMY=DEC2BIN(ROW(G15)-1,8)),DATA,G15)</f>
        <v>0</v>
      </c>
      <c r="H15" s="87">
        <f ca="1">IF(AND(OP="11",RAMX=DEC2BIN(COLUMN(H15)-1,8),RAMY=DEC2BIN(ROW(H15)-1,8)),DATA,H15)</f>
        <v>0</v>
      </c>
      <c r="I15" s="87">
        <f ca="1">IF(AND(OP="11",RAMX=DEC2BIN(COLUMN(I15)-1,8),RAMY=DEC2BIN(ROW(I15)-1,8)),DATA,I15)</f>
        <v>0</v>
      </c>
      <c r="J15" s="87">
        <f ca="1">IF(AND(OP="11",RAMX=DEC2BIN(COLUMN(J15)-1,8),RAMY=DEC2BIN(ROW(J15)-1,8)),DATA,J15)</f>
        <v>0</v>
      </c>
      <c r="K15" s="87">
        <f ca="1">IF(AND(OP="11",RAMX=DEC2BIN(COLUMN(K15)-1,8),RAMY=DEC2BIN(ROW(K15)-1,8)),DATA,K15)</f>
        <v>0</v>
      </c>
      <c r="L15" s="87">
        <f ca="1">IF(AND(OP="11",RAMX=DEC2BIN(COLUMN(L15)-1,8),RAMY=DEC2BIN(ROW(L15)-1,8)),DATA,L15)</f>
        <v>0</v>
      </c>
      <c r="M15" s="87">
        <f ca="1">IF(AND(OP="11",RAMX=DEC2BIN(COLUMN(M15)-1,8),RAMY=DEC2BIN(ROW(M15)-1,8)),DATA,M15)</f>
        <v>0</v>
      </c>
      <c r="N15" s="87">
        <f ca="1">IF(AND(OP="11",RAMX=DEC2BIN(COLUMN(N15)-1,8),RAMY=DEC2BIN(ROW(N15)-1,8)),DATA,N15)</f>
        <v>0</v>
      </c>
      <c r="O15" s="87">
        <f ca="1">IF(AND(OP="11",RAMX=DEC2BIN(COLUMN(O15)-1,8),RAMY=DEC2BIN(ROW(O15)-1,8)),DATA,O15)</f>
        <v>0</v>
      </c>
      <c r="P15" s="87">
        <f ca="1">IF(AND(OP="11",RAMX=DEC2BIN(COLUMN(P15)-1,8),RAMY=DEC2BIN(ROW(P15)-1,8)),DATA,P15)</f>
        <v>0</v>
      </c>
      <c r="Q15" s="87">
        <f ca="1">IF(AND(OP="11",RAMX=DEC2BIN(COLUMN(Q15)-1,8),RAMY=DEC2BIN(ROW(Q15)-1,8)),DATA,Q15)</f>
        <v>0</v>
      </c>
      <c r="R15" s="87">
        <f ca="1">IF(AND(OP="11",RAMX=DEC2BIN(COLUMN(R15)-1,8),RAMY=DEC2BIN(ROW(R15)-1,8)),DATA,R15)</f>
        <v>0</v>
      </c>
      <c r="S15" s="87">
        <f ca="1">IF(AND(OP="11",RAMX=DEC2BIN(COLUMN(S15)-1,8),RAMY=DEC2BIN(ROW(S15)-1,8)),DATA,S15)</f>
        <v>0</v>
      </c>
      <c r="T15" s="87">
        <f ca="1">IF(AND(OP="11",RAMX=DEC2BIN(COLUMN(T15)-1,8),RAMY=DEC2BIN(ROW(T15)-1,8)),DATA,T15)</f>
        <v>0</v>
      </c>
      <c r="U15" s="87">
        <f ca="1">IF(AND(OP="11",RAMX=DEC2BIN(COLUMN(U15)-1,8),RAMY=DEC2BIN(ROW(U15)-1,8)),DATA,U15)</f>
        <v>0</v>
      </c>
      <c r="V15" s="87">
        <f ca="1">IF(AND(OP="11",RAMX=DEC2BIN(COLUMN(V15)-1,8),RAMY=DEC2BIN(ROW(V15)-1,8)),DATA,V15)</f>
        <v>0</v>
      </c>
      <c r="W15" s="87">
        <f ca="1">IF(AND(OP="11",RAMX=DEC2BIN(COLUMN(W15)-1,8),RAMY=DEC2BIN(ROW(W15)-1,8)),DATA,W15)</f>
        <v>0</v>
      </c>
      <c r="X15" s="87">
        <f ca="1">IF(AND(OP="11",RAMX=DEC2BIN(COLUMN(X15)-1,8),RAMY=DEC2BIN(ROW(X15)-1,8)),DATA,X15)</f>
        <v>0</v>
      </c>
      <c r="Y15" s="87">
        <f ca="1">IF(AND(OP="11",RAMX=DEC2BIN(COLUMN(Y15)-1,8),RAMY=DEC2BIN(ROW(Y15)-1,8)),DATA,Y15)</f>
        <v>0</v>
      </c>
      <c r="Z15" s="87">
        <f ca="1">IF(AND(OP="11",RAMX=DEC2BIN(COLUMN(Z15)-1,8),RAMY=DEC2BIN(ROW(Z15)-1,8)),DATA,Z15)</f>
        <v>0</v>
      </c>
      <c r="AA15" s="87">
        <f ca="1">IF(AND(OP="11",RAMX=DEC2BIN(COLUMN(AA15)-1,8),RAMY=DEC2BIN(ROW(AA15)-1,8)),DATA,AA15)</f>
        <v>0</v>
      </c>
      <c r="AB15" s="87">
        <f ca="1">IF(AND(OP="11",RAMX=DEC2BIN(COLUMN(AB15)-1,8),RAMY=DEC2BIN(ROW(AB15)-1,8)),DATA,AB15)</f>
        <v>0</v>
      </c>
      <c r="AC15" s="87">
        <f ca="1">IF(AND(OP="11",RAMX=DEC2BIN(COLUMN(AC15)-1,8),RAMY=DEC2BIN(ROW(AC15)-1,8)),DATA,AC15)</f>
        <v>0</v>
      </c>
      <c r="AD15" s="87">
        <f ca="1">IF(AND(OP="11",RAMX=DEC2BIN(COLUMN(AD15)-1,8),RAMY=DEC2BIN(ROW(AD15)-1,8)),DATA,AD15)</f>
        <v>0</v>
      </c>
      <c r="AE15" s="87">
        <f ca="1">IF(AND(OP="11",RAMX=DEC2BIN(COLUMN(AE15)-1,8),RAMY=DEC2BIN(ROW(AE15)-1,8)),DATA,AE15)</f>
        <v>0</v>
      </c>
      <c r="AF15" s="87">
        <f ca="1">IF(AND(OP="11",RAMX=DEC2BIN(COLUMN(AF15)-1,8),RAMY=DEC2BIN(ROW(AF15)-1,8)),DATA,AF15)</f>
        <v>0</v>
      </c>
      <c r="AG15" s="87">
        <f ca="1">IF(AND(OP="11",RAMX=DEC2BIN(COLUMN(AG15)-1,8),RAMY=DEC2BIN(ROW(AG15)-1,8)),DATA,AG15)</f>
        <v>0</v>
      </c>
      <c r="AH15" s="87">
        <f ca="1">IF(AND(OP="11",RAMX=DEC2BIN(COLUMN(AH15)-1,8),RAMY=DEC2BIN(ROW(AH15)-1,8)),DATA,AH15)</f>
        <v>0</v>
      </c>
      <c r="AI15" s="87">
        <f ca="1">IF(AND(OP="11",RAMX=DEC2BIN(COLUMN(AI15)-1,8),RAMY=DEC2BIN(ROW(AI15)-1,8)),DATA,AI15)</f>
        <v>0</v>
      </c>
      <c r="AJ15" s="87">
        <f ca="1">IF(AND(OP="11",RAMX=DEC2BIN(COLUMN(AJ15)-1,8),RAMY=DEC2BIN(ROW(AJ15)-1,8)),DATA,AJ15)</f>
        <v>0</v>
      </c>
      <c r="AK15" s="87">
        <f ca="1">IF(AND(OP="11",RAMX=DEC2BIN(COLUMN(AK15)-1,8),RAMY=DEC2BIN(ROW(AK15)-1,8)),DATA,AK15)</f>
        <v>0</v>
      </c>
      <c r="AL15" s="87">
        <f ca="1">IF(AND(OP="11",RAMX=DEC2BIN(COLUMN(AL15)-1,8),RAMY=DEC2BIN(ROW(AL15)-1,8)),DATA,AL15)</f>
        <v>0</v>
      </c>
      <c r="AM15" s="87">
        <f ca="1">IF(AND(OP="11",RAMX=DEC2BIN(COLUMN(AM15)-1,8),RAMY=DEC2BIN(ROW(AM15)-1,8)),DATA,AM15)</f>
        <v>0</v>
      </c>
      <c r="AN15" s="87">
        <f ca="1">IF(AND(OP="11",RAMX=DEC2BIN(COLUMN(AN15)-1,8),RAMY=DEC2BIN(ROW(AN15)-1,8)),DATA,AN15)</f>
        <v>0</v>
      </c>
      <c r="AO15" s="87">
        <f ca="1">IF(AND(OP="11",RAMX=DEC2BIN(COLUMN(AO15)-1,8),RAMY=DEC2BIN(ROW(AO15)-1,8)),DATA,AO15)</f>
        <v>0</v>
      </c>
      <c r="AP15" s="87">
        <f ca="1">IF(AND(OP="11",RAMX=DEC2BIN(COLUMN(AP15)-1,8),RAMY=DEC2BIN(ROW(AP15)-1,8)),DATA,AP15)</f>
        <v>0</v>
      </c>
      <c r="AQ15" s="87">
        <f ca="1">IF(AND(OP="11",RAMX=DEC2BIN(COLUMN(AQ15)-1,8),RAMY=DEC2BIN(ROW(AQ15)-1,8)),DATA,AQ15)</f>
        <v>0</v>
      </c>
      <c r="AR15" s="87">
        <f ca="1">IF(AND(OP="11",RAMX=DEC2BIN(COLUMN(AR15)-1,8),RAMY=DEC2BIN(ROW(AR15)-1,8)),DATA,AR15)</f>
        <v>0</v>
      </c>
      <c r="AS15" s="87">
        <f ca="1">IF(AND(OP="11",RAMX=DEC2BIN(COLUMN(AS15)-1,8),RAMY=DEC2BIN(ROW(AS15)-1,8)),DATA,AS15)</f>
        <v>0</v>
      </c>
      <c r="AT15" s="87">
        <f ca="1">IF(AND(OP="11",RAMX=DEC2BIN(COLUMN(AT15)-1,8),RAMY=DEC2BIN(ROW(AT15)-1,8)),DATA,AT15)</f>
        <v>0</v>
      </c>
      <c r="AU15" s="87">
        <f ca="1">IF(AND(OP="11",RAMX=DEC2BIN(COLUMN(AU15)-1,8),RAMY=DEC2BIN(ROW(AU15)-1,8)),DATA,AU15)</f>
        <v>0</v>
      </c>
      <c r="AV15" s="87">
        <f ca="1">IF(AND(OP="11",RAMX=DEC2BIN(COLUMN(AV15)-1,8),RAMY=DEC2BIN(ROW(AV15)-1,8)),DATA,AV15)</f>
        <v>0</v>
      </c>
      <c r="AW15" s="87">
        <f ca="1">IF(AND(OP="11",RAMX=DEC2BIN(COLUMN(AW15)-1,8),RAMY=DEC2BIN(ROW(AW15)-1,8)),DATA,AW15)</f>
        <v>0</v>
      </c>
      <c r="AX15" s="87">
        <f ca="1">IF(AND(OP="11",RAMX=DEC2BIN(COLUMN(AX15)-1,8),RAMY=DEC2BIN(ROW(AX15)-1,8)),DATA,AX15)</f>
        <v>0</v>
      </c>
      <c r="AY15" s="87">
        <f ca="1">IF(AND(OP="11",RAMX=DEC2BIN(COLUMN(AY15)-1,8),RAMY=DEC2BIN(ROW(AY15)-1,8)),DATA,AY15)</f>
        <v>0</v>
      </c>
      <c r="AZ15" s="87">
        <f ca="1">IF(AND(OP="11",RAMX=DEC2BIN(COLUMN(AZ15)-1,8),RAMY=DEC2BIN(ROW(AZ15)-1,8)),DATA,AZ15)</f>
        <v>0</v>
      </c>
      <c r="BA15" s="87">
        <f ca="1">IF(AND(OP="11",RAMX=DEC2BIN(COLUMN(BA15)-1,8),RAMY=DEC2BIN(ROW(BA15)-1,8)),DATA,BA15)</f>
        <v>0</v>
      </c>
      <c r="BB15" s="87">
        <f ca="1">IF(AND(OP="11",RAMX=DEC2BIN(COLUMN(BB15)-1,8),RAMY=DEC2BIN(ROW(BB15)-1,8)),DATA,BB15)</f>
        <v>0</v>
      </c>
      <c r="BC15" s="87">
        <f ca="1">IF(AND(OP="11",RAMX=DEC2BIN(COLUMN(BC15)-1,8),RAMY=DEC2BIN(ROW(BC15)-1,8)),DATA,BC15)</f>
        <v>0</v>
      </c>
      <c r="BD15" s="87">
        <f ca="1">IF(AND(OP="11",RAMX=DEC2BIN(COLUMN(BD15)-1,8),RAMY=DEC2BIN(ROW(BD15)-1,8)),DATA,BD15)</f>
        <v>0</v>
      </c>
      <c r="BE15" s="87">
        <f ca="1">IF(AND(OP="11",RAMX=DEC2BIN(COLUMN(BE15)-1,8),RAMY=DEC2BIN(ROW(BE15)-1,8)),DATA,BE15)</f>
        <v>0</v>
      </c>
      <c r="BF15" s="87">
        <f ca="1">IF(AND(OP="11",RAMX=DEC2BIN(COLUMN(BF15)-1,8),RAMY=DEC2BIN(ROW(BF15)-1,8)),DATA,BF15)</f>
        <v>0</v>
      </c>
      <c r="BG15" s="87">
        <f ca="1">IF(AND(OP="11",RAMX=DEC2BIN(COLUMN(BG15)-1,8),RAMY=DEC2BIN(ROW(BG15)-1,8)),DATA,BG15)</f>
        <v>0</v>
      </c>
      <c r="BH15" s="87">
        <f ca="1">IF(AND(OP="11",RAMX=DEC2BIN(COLUMN(BH15)-1,8),RAMY=DEC2BIN(ROW(BH15)-1,8)),DATA,BH15)</f>
        <v>0</v>
      </c>
      <c r="BI15" s="87">
        <f ca="1">IF(AND(OP="11",RAMX=DEC2BIN(COLUMN(BI15)-1,8),RAMY=DEC2BIN(ROW(BI15)-1,8)),DATA,BI15)</f>
        <v>0</v>
      </c>
      <c r="BJ15" s="87">
        <f ca="1">IF(AND(OP="11",RAMX=DEC2BIN(COLUMN(BJ15)-1,8),RAMY=DEC2BIN(ROW(BJ15)-1,8)),DATA,BJ15)</f>
        <v>0</v>
      </c>
      <c r="BK15" s="87">
        <f ca="1">IF(AND(OP="11",RAMX=DEC2BIN(COLUMN(BK15)-1,8),RAMY=DEC2BIN(ROW(BK15)-1,8)),DATA,BK15)</f>
        <v>0</v>
      </c>
      <c r="BL15" s="87">
        <f ca="1">IF(AND(OP="11",RAMX=DEC2BIN(COLUMN(BL15)-1,8),RAMY=DEC2BIN(ROW(BL15)-1,8)),DATA,BL15)</f>
        <v>0</v>
      </c>
    </row>
    <row r="16" spans="1:64" x14ac:dyDescent="0.25">
      <c r="A16" s="87">
        <f ca="1">IF(AND(OP="11",RAMX=DEC2BIN(COLUMN(A16)-1,8),RAMY=DEC2BIN(ROW(A16)-1,8)),DATA,A16)</f>
        <v>0</v>
      </c>
      <c r="B16" s="87">
        <f ca="1">IF(AND(OP="11",RAMX=DEC2BIN(COLUMN(B16)-1,8),RAMY=DEC2BIN(ROW(B16)-1,8)),DATA,B16)</f>
        <v>0</v>
      </c>
      <c r="C16" s="87">
        <f ca="1">IF(AND(OP="11",RAMX=DEC2BIN(COLUMN(C16)-1,8),RAMY=DEC2BIN(ROW(C16)-1,8)),DATA,C16)</f>
        <v>0</v>
      </c>
      <c r="D16" s="87">
        <f ca="1">IF(AND(OP="11",RAMX=DEC2BIN(COLUMN(D16)-1,8),RAMY=DEC2BIN(ROW(D16)-1,8)),DATA,D16)</f>
        <v>0</v>
      </c>
      <c r="E16" s="87">
        <f ca="1">IF(AND(OP="11",RAMX=DEC2BIN(COLUMN(E16)-1,8),RAMY=DEC2BIN(ROW(E16)-1,8)),DATA,E16)</f>
        <v>0</v>
      </c>
      <c r="F16" s="87">
        <f ca="1">IF(AND(OP="11",RAMX=DEC2BIN(COLUMN(F16)-1,8),RAMY=DEC2BIN(ROW(F16)-1,8)),DATA,F16)</f>
        <v>0</v>
      </c>
      <c r="G16" s="87">
        <f ca="1">IF(AND(OP="11",RAMX=DEC2BIN(COLUMN(G16)-1,8),RAMY=DEC2BIN(ROW(G16)-1,8)),DATA,G16)</f>
        <v>0</v>
      </c>
      <c r="H16" s="87">
        <f ca="1">IF(AND(OP="11",RAMX=DEC2BIN(COLUMN(H16)-1,8),RAMY=DEC2BIN(ROW(H16)-1,8)),DATA,H16)</f>
        <v>0</v>
      </c>
      <c r="I16" s="87">
        <f ca="1">IF(AND(OP="11",RAMX=DEC2BIN(COLUMN(I16)-1,8),RAMY=DEC2BIN(ROW(I16)-1,8)),DATA,I16)</f>
        <v>0</v>
      </c>
      <c r="J16" s="87">
        <f ca="1">IF(AND(OP="11",RAMX=DEC2BIN(COLUMN(J16)-1,8),RAMY=DEC2BIN(ROW(J16)-1,8)),DATA,J16)</f>
        <v>0</v>
      </c>
      <c r="K16" s="87">
        <f ca="1">IF(AND(OP="11",RAMX=DEC2BIN(COLUMN(K16)-1,8),RAMY=DEC2BIN(ROW(K16)-1,8)),DATA,K16)</f>
        <v>0</v>
      </c>
      <c r="L16" s="87">
        <f ca="1">IF(AND(OP="11",RAMX=DEC2BIN(COLUMN(L16)-1,8),RAMY=DEC2BIN(ROW(L16)-1,8)),DATA,L16)</f>
        <v>0</v>
      </c>
      <c r="M16" s="87">
        <f ca="1">IF(AND(OP="11",RAMX=DEC2BIN(COLUMN(M16)-1,8),RAMY=DEC2BIN(ROW(M16)-1,8)),DATA,M16)</f>
        <v>0</v>
      </c>
      <c r="N16" s="87">
        <f ca="1">IF(AND(OP="11",RAMX=DEC2BIN(COLUMN(N16)-1,8),RAMY=DEC2BIN(ROW(N16)-1,8)),DATA,N16)</f>
        <v>0</v>
      </c>
      <c r="O16" s="87">
        <f ca="1">IF(AND(OP="11",RAMX=DEC2BIN(COLUMN(O16)-1,8),RAMY=DEC2BIN(ROW(O16)-1,8)),DATA,O16)</f>
        <v>0</v>
      </c>
      <c r="P16" s="87">
        <f ca="1">IF(AND(OP="11",RAMX=DEC2BIN(COLUMN(P16)-1,8),RAMY=DEC2BIN(ROW(P16)-1,8)),DATA,P16)</f>
        <v>0</v>
      </c>
      <c r="Q16" s="87">
        <f ca="1">IF(AND(OP="11",RAMX=DEC2BIN(COLUMN(Q16)-1,8),RAMY=DEC2BIN(ROW(Q16)-1,8)),DATA,Q16)</f>
        <v>0</v>
      </c>
      <c r="R16" s="87">
        <f ca="1">IF(AND(OP="11",RAMX=DEC2BIN(COLUMN(R16)-1,8),RAMY=DEC2BIN(ROW(R16)-1,8)),DATA,R16)</f>
        <v>0</v>
      </c>
      <c r="S16" s="87">
        <f ca="1">IF(AND(OP="11",RAMX=DEC2BIN(COLUMN(S16)-1,8),RAMY=DEC2BIN(ROW(S16)-1,8)),DATA,S16)</f>
        <v>0</v>
      </c>
      <c r="T16" s="87">
        <f ca="1">IF(AND(OP="11",RAMX=DEC2BIN(COLUMN(T16)-1,8),RAMY=DEC2BIN(ROW(T16)-1,8)),DATA,T16)</f>
        <v>0</v>
      </c>
      <c r="U16" s="87">
        <f ca="1">IF(AND(OP="11",RAMX=DEC2BIN(COLUMN(U16)-1,8),RAMY=DEC2BIN(ROW(U16)-1,8)),DATA,U16)</f>
        <v>0</v>
      </c>
      <c r="V16" s="87">
        <f ca="1">IF(AND(OP="11",RAMX=DEC2BIN(COLUMN(V16)-1,8),RAMY=DEC2BIN(ROW(V16)-1,8)),DATA,V16)</f>
        <v>0</v>
      </c>
      <c r="W16" s="87">
        <f ca="1">IF(AND(OP="11",RAMX=DEC2BIN(COLUMN(W16)-1,8),RAMY=DEC2BIN(ROW(W16)-1,8)),DATA,W16)</f>
        <v>0</v>
      </c>
      <c r="X16" s="87">
        <f ca="1">IF(AND(OP="11",RAMX=DEC2BIN(COLUMN(X16)-1,8),RAMY=DEC2BIN(ROW(X16)-1,8)),DATA,X16)</f>
        <v>0</v>
      </c>
      <c r="Y16" s="87">
        <f ca="1">IF(AND(OP="11",RAMX=DEC2BIN(COLUMN(Y16)-1,8),RAMY=DEC2BIN(ROW(Y16)-1,8)),DATA,Y16)</f>
        <v>0</v>
      </c>
      <c r="Z16" s="87">
        <f ca="1">IF(AND(OP="11",RAMX=DEC2BIN(COLUMN(Z16)-1,8),RAMY=DEC2BIN(ROW(Z16)-1,8)),DATA,Z16)</f>
        <v>0</v>
      </c>
      <c r="AA16" s="87">
        <f ca="1">IF(AND(OP="11",RAMX=DEC2BIN(COLUMN(AA16)-1,8),RAMY=DEC2BIN(ROW(AA16)-1,8)),DATA,AA16)</f>
        <v>0</v>
      </c>
      <c r="AB16" s="87">
        <f ca="1">IF(AND(OP="11",RAMX=DEC2BIN(COLUMN(AB16)-1,8),RAMY=DEC2BIN(ROW(AB16)-1,8)),DATA,AB16)</f>
        <v>0</v>
      </c>
      <c r="AC16" s="87">
        <f ca="1">IF(AND(OP="11",RAMX=DEC2BIN(COLUMN(AC16)-1,8),RAMY=DEC2BIN(ROW(AC16)-1,8)),DATA,AC16)</f>
        <v>0</v>
      </c>
      <c r="AD16" s="87">
        <f ca="1">IF(AND(OP="11",RAMX=DEC2BIN(COLUMN(AD16)-1,8),RAMY=DEC2BIN(ROW(AD16)-1,8)),DATA,AD16)</f>
        <v>0</v>
      </c>
      <c r="AE16" s="87">
        <f ca="1">IF(AND(OP="11",RAMX=DEC2BIN(COLUMN(AE16)-1,8),RAMY=DEC2BIN(ROW(AE16)-1,8)),DATA,AE16)</f>
        <v>0</v>
      </c>
      <c r="AF16" s="87">
        <f ca="1">IF(AND(OP="11",RAMX=DEC2BIN(COLUMN(AF16)-1,8),RAMY=DEC2BIN(ROW(AF16)-1,8)),DATA,AF16)</f>
        <v>0</v>
      </c>
      <c r="AG16" s="87">
        <f ca="1">IF(AND(OP="11",RAMX=DEC2BIN(COLUMN(AG16)-1,8),RAMY=DEC2BIN(ROW(AG16)-1,8)),DATA,AG16)</f>
        <v>0</v>
      </c>
      <c r="AH16" s="87">
        <f ca="1">IF(AND(OP="11",RAMX=DEC2BIN(COLUMN(AH16)-1,8),RAMY=DEC2BIN(ROW(AH16)-1,8)),DATA,AH16)</f>
        <v>0</v>
      </c>
      <c r="AI16" s="87">
        <f ca="1">IF(AND(OP="11",RAMX=DEC2BIN(COLUMN(AI16)-1,8),RAMY=DEC2BIN(ROW(AI16)-1,8)),DATA,AI16)</f>
        <v>0</v>
      </c>
      <c r="AJ16" s="87">
        <f ca="1">IF(AND(OP="11",RAMX=DEC2BIN(COLUMN(AJ16)-1,8),RAMY=DEC2BIN(ROW(AJ16)-1,8)),DATA,AJ16)</f>
        <v>0</v>
      </c>
      <c r="AK16" s="87">
        <f ca="1">IF(AND(OP="11",RAMX=DEC2BIN(COLUMN(AK16)-1,8),RAMY=DEC2BIN(ROW(AK16)-1,8)),DATA,AK16)</f>
        <v>0</v>
      </c>
      <c r="AL16" s="87">
        <f ca="1">IF(AND(OP="11",RAMX=DEC2BIN(COLUMN(AL16)-1,8),RAMY=DEC2BIN(ROW(AL16)-1,8)),DATA,AL16)</f>
        <v>0</v>
      </c>
      <c r="AM16" s="87">
        <f ca="1">IF(AND(OP="11",RAMX=DEC2BIN(COLUMN(AM16)-1,8),RAMY=DEC2BIN(ROW(AM16)-1,8)),DATA,AM16)</f>
        <v>0</v>
      </c>
      <c r="AN16" s="87">
        <f ca="1">IF(AND(OP="11",RAMX=DEC2BIN(COLUMN(AN16)-1,8),RAMY=DEC2BIN(ROW(AN16)-1,8)),DATA,AN16)</f>
        <v>0</v>
      </c>
      <c r="AO16" s="87">
        <f ca="1">IF(AND(OP="11",RAMX=DEC2BIN(COLUMN(AO16)-1,8),RAMY=DEC2BIN(ROW(AO16)-1,8)),DATA,AO16)</f>
        <v>0</v>
      </c>
      <c r="AP16" s="87">
        <f ca="1">IF(AND(OP="11",RAMX=DEC2BIN(COLUMN(AP16)-1,8),RAMY=DEC2BIN(ROW(AP16)-1,8)),DATA,AP16)</f>
        <v>0</v>
      </c>
      <c r="AQ16" s="87">
        <f ca="1">IF(AND(OP="11",RAMX=DEC2BIN(COLUMN(AQ16)-1,8),RAMY=DEC2BIN(ROW(AQ16)-1,8)),DATA,AQ16)</f>
        <v>0</v>
      </c>
      <c r="AR16" s="87">
        <f ca="1">IF(AND(OP="11",RAMX=DEC2BIN(COLUMN(AR16)-1,8),RAMY=DEC2BIN(ROW(AR16)-1,8)),DATA,AR16)</f>
        <v>0</v>
      </c>
      <c r="AS16" s="87">
        <f ca="1">IF(AND(OP="11",RAMX=DEC2BIN(COLUMN(AS16)-1,8),RAMY=DEC2BIN(ROW(AS16)-1,8)),DATA,AS16)</f>
        <v>0</v>
      </c>
      <c r="AT16" s="87">
        <f ca="1">IF(AND(OP="11",RAMX=DEC2BIN(COLUMN(AT16)-1,8),RAMY=DEC2BIN(ROW(AT16)-1,8)),DATA,AT16)</f>
        <v>0</v>
      </c>
      <c r="AU16" s="87">
        <f ca="1">IF(AND(OP="11",RAMX=DEC2BIN(COLUMN(AU16)-1,8),RAMY=DEC2BIN(ROW(AU16)-1,8)),DATA,AU16)</f>
        <v>0</v>
      </c>
      <c r="AV16" s="87">
        <f ca="1">IF(AND(OP="11",RAMX=DEC2BIN(COLUMN(AV16)-1,8),RAMY=DEC2BIN(ROW(AV16)-1,8)),DATA,AV16)</f>
        <v>0</v>
      </c>
      <c r="AW16" s="87">
        <f ca="1">IF(AND(OP="11",RAMX=DEC2BIN(COLUMN(AW16)-1,8),RAMY=DEC2BIN(ROW(AW16)-1,8)),DATA,AW16)</f>
        <v>0</v>
      </c>
      <c r="AX16" s="87">
        <f ca="1">IF(AND(OP="11",RAMX=DEC2BIN(COLUMN(AX16)-1,8),RAMY=DEC2BIN(ROW(AX16)-1,8)),DATA,AX16)</f>
        <v>0</v>
      </c>
      <c r="AY16" s="87">
        <f ca="1">IF(AND(OP="11",RAMX=DEC2BIN(COLUMN(AY16)-1,8),RAMY=DEC2BIN(ROW(AY16)-1,8)),DATA,AY16)</f>
        <v>0</v>
      </c>
      <c r="AZ16" s="87">
        <f ca="1">IF(AND(OP="11",RAMX=DEC2BIN(COLUMN(AZ16)-1,8),RAMY=DEC2BIN(ROW(AZ16)-1,8)),DATA,AZ16)</f>
        <v>0</v>
      </c>
      <c r="BA16" s="87">
        <f ca="1">IF(AND(OP="11",RAMX=DEC2BIN(COLUMN(BA16)-1,8),RAMY=DEC2BIN(ROW(BA16)-1,8)),DATA,BA16)</f>
        <v>0</v>
      </c>
      <c r="BB16" s="87">
        <f ca="1">IF(AND(OP="11",RAMX=DEC2BIN(COLUMN(BB16)-1,8),RAMY=DEC2BIN(ROW(BB16)-1,8)),DATA,BB16)</f>
        <v>0</v>
      </c>
      <c r="BC16" s="87">
        <f ca="1">IF(AND(OP="11",RAMX=DEC2BIN(COLUMN(BC16)-1,8),RAMY=DEC2BIN(ROW(BC16)-1,8)),DATA,BC16)</f>
        <v>0</v>
      </c>
      <c r="BD16" s="87">
        <f ca="1">IF(AND(OP="11",RAMX=DEC2BIN(COLUMN(BD16)-1,8),RAMY=DEC2BIN(ROW(BD16)-1,8)),DATA,BD16)</f>
        <v>0</v>
      </c>
      <c r="BE16" s="87">
        <f ca="1">IF(AND(OP="11",RAMX=DEC2BIN(COLUMN(BE16)-1,8),RAMY=DEC2BIN(ROW(BE16)-1,8)),DATA,BE16)</f>
        <v>0</v>
      </c>
      <c r="BF16" s="87">
        <f ca="1">IF(AND(OP="11",RAMX=DEC2BIN(COLUMN(BF16)-1,8),RAMY=DEC2BIN(ROW(BF16)-1,8)),DATA,BF16)</f>
        <v>0</v>
      </c>
      <c r="BG16" s="87">
        <f ca="1">IF(AND(OP="11",RAMX=DEC2BIN(COLUMN(BG16)-1,8),RAMY=DEC2BIN(ROW(BG16)-1,8)),DATA,BG16)</f>
        <v>0</v>
      </c>
      <c r="BH16" s="87">
        <f ca="1">IF(AND(OP="11",RAMX=DEC2BIN(COLUMN(BH16)-1,8),RAMY=DEC2BIN(ROW(BH16)-1,8)),DATA,BH16)</f>
        <v>0</v>
      </c>
      <c r="BI16" s="87">
        <f ca="1">IF(AND(OP="11",RAMX=DEC2BIN(COLUMN(BI16)-1,8),RAMY=DEC2BIN(ROW(BI16)-1,8)),DATA,BI16)</f>
        <v>0</v>
      </c>
      <c r="BJ16" s="87">
        <f ca="1">IF(AND(OP="11",RAMX=DEC2BIN(COLUMN(BJ16)-1,8),RAMY=DEC2BIN(ROW(BJ16)-1,8)),DATA,BJ16)</f>
        <v>0</v>
      </c>
      <c r="BK16" s="87">
        <f ca="1">IF(AND(OP="11",RAMX=DEC2BIN(COLUMN(BK16)-1,8),RAMY=DEC2BIN(ROW(BK16)-1,8)),DATA,BK16)</f>
        <v>0</v>
      </c>
      <c r="BL16" s="87">
        <f ca="1">IF(AND(OP="11",RAMX=DEC2BIN(COLUMN(BL16)-1,8),RAMY=DEC2BIN(ROW(BL16)-1,8)),DATA,BL16)</f>
        <v>0</v>
      </c>
    </row>
    <row r="17" spans="1:64" x14ac:dyDescent="0.25">
      <c r="A17" s="87">
        <f ca="1">IF(AND(OP="11",RAMX=DEC2BIN(COLUMN(A17)-1,8),RAMY=DEC2BIN(ROW(A17)-1,8)),DATA,A17)</f>
        <v>0</v>
      </c>
      <c r="B17" s="87">
        <f ca="1">IF(AND(OP="11",RAMX=DEC2BIN(COLUMN(B17)-1,8),RAMY=DEC2BIN(ROW(B17)-1,8)),DATA,B17)</f>
        <v>0</v>
      </c>
      <c r="C17" s="87">
        <f ca="1">IF(AND(OP="11",RAMX=DEC2BIN(COLUMN(C17)-1,8),RAMY=DEC2BIN(ROW(C17)-1,8)),DATA,C17)</f>
        <v>0</v>
      </c>
      <c r="D17" s="87">
        <f ca="1">IF(AND(OP="11",RAMX=DEC2BIN(COLUMN(D17)-1,8),RAMY=DEC2BIN(ROW(D17)-1,8)),DATA,D17)</f>
        <v>0</v>
      </c>
      <c r="E17" s="87">
        <f ca="1">IF(AND(OP="11",RAMX=DEC2BIN(COLUMN(E17)-1,8),RAMY=DEC2BIN(ROW(E17)-1,8)),DATA,E17)</f>
        <v>0</v>
      </c>
      <c r="F17" s="87">
        <f ca="1">IF(AND(OP="11",RAMX=DEC2BIN(COLUMN(F17)-1,8),RAMY=DEC2BIN(ROW(F17)-1,8)),DATA,F17)</f>
        <v>0</v>
      </c>
      <c r="G17" s="87">
        <f ca="1">IF(AND(OP="11",RAMX=DEC2BIN(COLUMN(G17)-1,8),RAMY=DEC2BIN(ROW(G17)-1,8)),DATA,G17)</f>
        <v>0</v>
      </c>
      <c r="H17" s="87">
        <f ca="1">IF(AND(OP="11",RAMX=DEC2BIN(COLUMN(H17)-1,8),RAMY=DEC2BIN(ROW(H17)-1,8)),DATA,H17)</f>
        <v>0</v>
      </c>
      <c r="I17" s="87">
        <f ca="1">IF(AND(OP="11",RAMX=DEC2BIN(COLUMN(I17)-1,8),RAMY=DEC2BIN(ROW(I17)-1,8)),DATA,I17)</f>
        <v>0</v>
      </c>
      <c r="J17" s="87">
        <f ca="1">IF(AND(OP="11",RAMX=DEC2BIN(COLUMN(J17)-1,8),RAMY=DEC2BIN(ROW(J17)-1,8)),DATA,J17)</f>
        <v>0</v>
      </c>
      <c r="K17" s="87">
        <f ca="1">IF(AND(OP="11",RAMX=DEC2BIN(COLUMN(K17)-1,8),RAMY=DEC2BIN(ROW(K17)-1,8)),DATA,K17)</f>
        <v>0</v>
      </c>
      <c r="L17" s="87">
        <f ca="1">IF(AND(OP="11",RAMX=DEC2BIN(COLUMN(L17)-1,8),RAMY=DEC2BIN(ROW(L17)-1,8)),DATA,L17)</f>
        <v>0</v>
      </c>
      <c r="M17" s="87">
        <f ca="1">IF(AND(OP="11",RAMX=DEC2BIN(COLUMN(M17)-1,8),RAMY=DEC2BIN(ROW(M17)-1,8)),DATA,M17)</f>
        <v>0</v>
      </c>
      <c r="N17" s="87">
        <f ca="1">IF(AND(OP="11",RAMX=DEC2BIN(COLUMN(N17)-1,8),RAMY=DEC2BIN(ROW(N17)-1,8)),DATA,N17)</f>
        <v>0</v>
      </c>
      <c r="O17" s="87">
        <f ca="1">IF(AND(OP="11",RAMX=DEC2BIN(COLUMN(O17)-1,8),RAMY=DEC2BIN(ROW(O17)-1,8)),DATA,O17)</f>
        <v>0</v>
      </c>
      <c r="P17" s="87">
        <f ca="1">IF(AND(OP="11",RAMX=DEC2BIN(COLUMN(P17)-1,8),RAMY=DEC2BIN(ROW(P17)-1,8)),DATA,P17)</f>
        <v>0</v>
      </c>
      <c r="Q17" s="87">
        <f ca="1">IF(AND(OP="11",RAMX=DEC2BIN(COLUMN(Q17)-1,8),RAMY=DEC2BIN(ROW(Q17)-1,8)),DATA,Q17)</f>
        <v>0</v>
      </c>
      <c r="R17" s="87">
        <f ca="1">IF(AND(OP="11",RAMX=DEC2BIN(COLUMN(R17)-1,8),RAMY=DEC2BIN(ROW(R17)-1,8)),DATA,R17)</f>
        <v>0</v>
      </c>
      <c r="S17" s="87">
        <f ca="1">IF(AND(OP="11",RAMX=DEC2BIN(COLUMN(S17)-1,8),RAMY=DEC2BIN(ROW(S17)-1,8)),DATA,S17)</f>
        <v>0</v>
      </c>
      <c r="T17" s="87">
        <f ca="1">IF(AND(OP="11",RAMX=DEC2BIN(COLUMN(T17)-1,8),RAMY=DEC2BIN(ROW(T17)-1,8)),DATA,T17)</f>
        <v>0</v>
      </c>
      <c r="U17" s="87">
        <f ca="1">IF(AND(OP="11",RAMX=DEC2BIN(COLUMN(U17)-1,8),RAMY=DEC2BIN(ROW(U17)-1,8)),DATA,U17)</f>
        <v>0</v>
      </c>
      <c r="V17" s="87">
        <f ca="1">IF(AND(OP="11",RAMX=DEC2BIN(COLUMN(V17)-1,8),RAMY=DEC2BIN(ROW(V17)-1,8)),DATA,V17)</f>
        <v>0</v>
      </c>
      <c r="W17" s="87">
        <f ca="1">IF(AND(OP="11",RAMX=DEC2BIN(COLUMN(W17)-1,8),RAMY=DEC2BIN(ROW(W17)-1,8)),DATA,W17)</f>
        <v>0</v>
      </c>
      <c r="X17" s="87">
        <f ca="1">IF(AND(OP="11",RAMX=DEC2BIN(COLUMN(X17)-1,8),RAMY=DEC2BIN(ROW(X17)-1,8)),DATA,X17)</f>
        <v>0</v>
      </c>
      <c r="Y17" s="87">
        <f ca="1">IF(AND(OP="11",RAMX=DEC2BIN(COLUMN(Y17)-1,8),RAMY=DEC2BIN(ROW(Y17)-1,8)),DATA,Y17)</f>
        <v>0</v>
      </c>
      <c r="Z17" s="87">
        <f ca="1">IF(AND(OP="11",RAMX=DEC2BIN(COLUMN(Z17)-1,8),RAMY=DEC2BIN(ROW(Z17)-1,8)),DATA,Z17)</f>
        <v>0</v>
      </c>
      <c r="AA17" s="87">
        <f ca="1">IF(AND(OP="11",RAMX=DEC2BIN(COLUMN(AA17)-1,8),RAMY=DEC2BIN(ROW(AA17)-1,8)),DATA,AA17)</f>
        <v>0</v>
      </c>
      <c r="AB17" s="87">
        <f ca="1">IF(AND(OP="11",RAMX=DEC2BIN(COLUMN(AB17)-1,8),RAMY=DEC2BIN(ROW(AB17)-1,8)),DATA,AB17)</f>
        <v>0</v>
      </c>
      <c r="AC17" s="87">
        <f ca="1">IF(AND(OP="11",RAMX=DEC2BIN(COLUMN(AC17)-1,8),RAMY=DEC2BIN(ROW(AC17)-1,8)),DATA,AC17)</f>
        <v>0</v>
      </c>
      <c r="AD17" s="87">
        <f ca="1">IF(AND(OP="11",RAMX=DEC2BIN(COLUMN(AD17)-1,8),RAMY=DEC2BIN(ROW(AD17)-1,8)),DATA,AD17)</f>
        <v>0</v>
      </c>
      <c r="AE17" s="87">
        <f ca="1">IF(AND(OP="11",RAMX=DEC2BIN(COLUMN(AE17)-1,8),RAMY=DEC2BIN(ROW(AE17)-1,8)),DATA,AE17)</f>
        <v>0</v>
      </c>
      <c r="AF17" s="87">
        <f ca="1">IF(AND(OP="11",RAMX=DEC2BIN(COLUMN(AF17)-1,8),RAMY=DEC2BIN(ROW(AF17)-1,8)),DATA,AF17)</f>
        <v>0</v>
      </c>
      <c r="AG17" s="87">
        <f ca="1">IF(AND(OP="11",RAMX=DEC2BIN(COLUMN(AG17)-1,8),RAMY=DEC2BIN(ROW(AG17)-1,8)),DATA,AG17)</f>
        <v>0</v>
      </c>
      <c r="AH17" s="87">
        <f ca="1">IF(AND(OP="11",RAMX=DEC2BIN(COLUMN(AH17)-1,8),RAMY=DEC2BIN(ROW(AH17)-1,8)),DATA,AH17)</f>
        <v>0</v>
      </c>
      <c r="AI17" s="87">
        <f ca="1">IF(AND(OP="11",RAMX=DEC2BIN(COLUMN(AI17)-1,8),RAMY=DEC2BIN(ROW(AI17)-1,8)),DATA,AI17)</f>
        <v>0</v>
      </c>
      <c r="AJ17" s="87">
        <f ca="1">IF(AND(OP="11",RAMX=DEC2BIN(COLUMN(AJ17)-1,8),RAMY=DEC2BIN(ROW(AJ17)-1,8)),DATA,AJ17)</f>
        <v>0</v>
      </c>
      <c r="AK17" s="87">
        <f ca="1">IF(AND(OP="11",RAMX=DEC2BIN(COLUMN(AK17)-1,8),RAMY=DEC2BIN(ROW(AK17)-1,8)),DATA,AK17)</f>
        <v>0</v>
      </c>
      <c r="AL17" s="87">
        <f ca="1">IF(AND(OP="11",RAMX=DEC2BIN(COLUMN(AL17)-1,8),RAMY=DEC2BIN(ROW(AL17)-1,8)),DATA,AL17)</f>
        <v>0</v>
      </c>
      <c r="AM17" s="87">
        <f ca="1">IF(AND(OP="11",RAMX=DEC2BIN(COLUMN(AM17)-1,8),RAMY=DEC2BIN(ROW(AM17)-1,8)),DATA,AM17)</f>
        <v>0</v>
      </c>
      <c r="AN17" s="87">
        <f ca="1">IF(AND(OP="11",RAMX=DEC2BIN(COLUMN(AN17)-1,8),RAMY=DEC2BIN(ROW(AN17)-1,8)),DATA,AN17)</f>
        <v>0</v>
      </c>
      <c r="AO17" s="87">
        <f ca="1">IF(AND(OP="11",RAMX=DEC2BIN(COLUMN(AO17)-1,8),RAMY=DEC2BIN(ROW(AO17)-1,8)),DATA,AO17)</f>
        <v>0</v>
      </c>
      <c r="AP17" s="87">
        <f ca="1">IF(AND(OP="11",RAMX=DEC2BIN(COLUMN(AP17)-1,8),RAMY=DEC2BIN(ROW(AP17)-1,8)),DATA,AP17)</f>
        <v>0</v>
      </c>
      <c r="AQ17" s="87">
        <f ca="1">IF(AND(OP="11",RAMX=DEC2BIN(COLUMN(AQ17)-1,8),RAMY=DEC2BIN(ROW(AQ17)-1,8)),DATA,AQ17)</f>
        <v>0</v>
      </c>
      <c r="AR17" s="87">
        <f ca="1">IF(AND(OP="11",RAMX=DEC2BIN(COLUMN(AR17)-1,8),RAMY=DEC2BIN(ROW(AR17)-1,8)),DATA,AR17)</f>
        <v>0</v>
      </c>
      <c r="AS17" s="87">
        <f ca="1">IF(AND(OP="11",RAMX=DEC2BIN(COLUMN(AS17)-1,8),RAMY=DEC2BIN(ROW(AS17)-1,8)),DATA,AS17)</f>
        <v>0</v>
      </c>
      <c r="AT17" s="87">
        <f ca="1">IF(AND(OP="11",RAMX=DEC2BIN(COLUMN(AT17)-1,8),RAMY=DEC2BIN(ROW(AT17)-1,8)),DATA,AT17)</f>
        <v>0</v>
      </c>
      <c r="AU17" s="87">
        <f ca="1">IF(AND(OP="11",RAMX=DEC2BIN(COLUMN(AU17)-1,8),RAMY=DEC2BIN(ROW(AU17)-1,8)),DATA,AU17)</f>
        <v>0</v>
      </c>
      <c r="AV17" s="87">
        <f ca="1">IF(AND(OP="11",RAMX=DEC2BIN(COLUMN(AV17)-1,8),RAMY=DEC2BIN(ROW(AV17)-1,8)),DATA,AV17)</f>
        <v>0</v>
      </c>
      <c r="AW17" s="87">
        <f ca="1">IF(AND(OP="11",RAMX=DEC2BIN(COLUMN(AW17)-1,8),RAMY=DEC2BIN(ROW(AW17)-1,8)),DATA,AW17)</f>
        <v>0</v>
      </c>
      <c r="AX17" s="87">
        <f ca="1">IF(AND(OP="11",RAMX=DEC2BIN(COLUMN(AX17)-1,8),RAMY=DEC2BIN(ROW(AX17)-1,8)),DATA,AX17)</f>
        <v>0</v>
      </c>
      <c r="AY17" s="87">
        <f ca="1">IF(AND(OP="11",RAMX=DEC2BIN(COLUMN(AY17)-1,8),RAMY=DEC2BIN(ROW(AY17)-1,8)),DATA,AY17)</f>
        <v>0</v>
      </c>
      <c r="AZ17" s="87">
        <f ca="1">IF(AND(OP="11",RAMX=DEC2BIN(COLUMN(AZ17)-1,8),RAMY=DEC2BIN(ROW(AZ17)-1,8)),DATA,AZ17)</f>
        <v>0</v>
      </c>
      <c r="BA17" s="87">
        <f ca="1">IF(AND(OP="11",RAMX=DEC2BIN(COLUMN(BA17)-1,8),RAMY=DEC2BIN(ROW(BA17)-1,8)),DATA,BA17)</f>
        <v>0</v>
      </c>
      <c r="BB17" s="87">
        <f ca="1">IF(AND(OP="11",RAMX=DEC2BIN(COLUMN(BB17)-1,8),RAMY=DEC2BIN(ROW(BB17)-1,8)),DATA,BB17)</f>
        <v>0</v>
      </c>
      <c r="BC17" s="87">
        <f ca="1">IF(AND(OP="11",RAMX=DEC2BIN(COLUMN(BC17)-1,8),RAMY=DEC2BIN(ROW(BC17)-1,8)),DATA,BC17)</f>
        <v>0</v>
      </c>
      <c r="BD17" s="87">
        <f ca="1">IF(AND(OP="11",RAMX=DEC2BIN(COLUMN(BD17)-1,8),RAMY=DEC2BIN(ROW(BD17)-1,8)),DATA,BD17)</f>
        <v>0</v>
      </c>
      <c r="BE17" s="87">
        <f ca="1">IF(AND(OP="11",RAMX=DEC2BIN(COLUMN(BE17)-1,8),RAMY=DEC2BIN(ROW(BE17)-1,8)),DATA,BE17)</f>
        <v>0</v>
      </c>
      <c r="BF17" s="87">
        <f ca="1">IF(AND(OP="11",RAMX=DEC2BIN(COLUMN(BF17)-1,8),RAMY=DEC2BIN(ROW(BF17)-1,8)),DATA,BF17)</f>
        <v>0</v>
      </c>
      <c r="BG17" s="87">
        <f ca="1">IF(AND(OP="11",RAMX=DEC2BIN(COLUMN(BG17)-1,8),RAMY=DEC2BIN(ROW(BG17)-1,8)),DATA,BG17)</f>
        <v>0</v>
      </c>
      <c r="BH17" s="87">
        <f ca="1">IF(AND(OP="11",RAMX=DEC2BIN(COLUMN(BH17)-1,8),RAMY=DEC2BIN(ROW(BH17)-1,8)),DATA,BH17)</f>
        <v>0</v>
      </c>
      <c r="BI17" s="87">
        <f ca="1">IF(AND(OP="11",RAMX=DEC2BIN(COLUMN(BI17)-1,8),RAMY=DEC2BIN(ROW(BI17)-1,8)),DATA,BI17)</f>
        <v>0</v>
      </c>
      <c r="BJ17" s="87">
        <f ca="1">IF(AND(OP="11",RAMX=DEC2BIN(COLUMN(BJ17)-1,8),RAMY=DEC2BIN(ROW(BJ17)-1,8)),DATA,BJ17)</f>
        <v>0</v>
      </c>
      <c r="BK17" s="87">
        <f ca="1">IF(AND(OP="11",RAMX=DEC2BIN(COLUMN(BK17)-1,8),RAMY=DEC2BIN(ROW(BK17)-1,8)),DATA,BK17)</f>
        <v>0</v>
      </c>
      <c r="BL17" s="87">
        <f ca="1">IF(AND(OP="11",RAMX=DEC2BIN(COLUMN(BL17)-1,8),RAMY=DEC2BIN(ROW(BL17)-1,8)),DATA,BL17)</f>
        <v>0</v>
      </c>
    </row>
    <row r="18" spans="1:64" x14ac:dyDescent="0.25">
      <c r="A18" s="87">
        <f ca="1">IF(AND(OP="11",RAMX=DEC2BIN(COLUMN(A18)-1,8),RAMY=DEC2BIN(ROW(A18)-1,8)),DATA,A18)</f>
        <v>0</v>
      </c>
      <c r="B18" s="87">
        <f ca="1">IF(AND(OP="11",RAMX=DEC2BIN(COLUMN(B18)-1,8),RAMY=DEC2BIN(ROW(B18)-1,8)),DATA,B18)</f>
        <v>0</v>
      </c>
      <c r="C18" s="87">
        <f ca="1">IF(AND(OP="11",RAMX=DEC2BIN(COLUMN(C18)-1,8),RAMY=DEC2BIN(ROW(C18)-1,8)),DATA,C18)</f>
        <v>0</v>
      </c>
      <c r="D18" s="87">
        <f ca="1">IF(AND(OP="11",RAMX=DEC2BIN(COLUMN(D18)-1,8),RAMY=DEC2BIN(ROW(D18)-1,8)),DATA,D18)</f>
        <v>0</v>
      </c>
      <c r="E18" s="87">
        <f ca="1">IF(AND(OP="11",RAMX=DEC2BIN(COLUMN(E18)-1,8),RAMY=DEC2BIN(ROW(E18)-1,8)),DATA,E18)</f>
        <v>0</v>
      </c>
      <c r="F18" s="87">
        <f ca="1">IF(AND(OP="11",RAMX=DEC2BIN(COLUMN(F18)-1,8),RAMY=DEC2BIN(ROW(F18)-1,8)),DATA,F18)</f>
        <v>0</v>
      </c>
      <c r="G18" s="87">
        <f ca="1">IF(AND(OP="11",RAMX=DEC2BIN(COLUMN(G18)-1,8),RAMY=DEC2BIN(ROW(G18)-1,8)),DATA,G18)</f>
        <v>0</v>
      </c>
      <c r="H18" s="87">
        <f ca="1">IF(AND(OP="11",RAMX=DEC2BIN(COLUMN(H18)-1,8),RAMY=DEC2BIN(ROW(H18)-1,8)),DATA,H18)</f>
        <v>0</v>
      </c>
      <c r="I18" s="87">
        <f ca="1">IF(AND(OP="11",RAMX=DEC2BIN(COLUMN(I18)-1,8),RAMY=DEC2BIN(ROW(I18)-1,8)),DATA,I18)</f>
        <v>0</v>
      </c>
      <c r="J18" s="87">
        <f ca="1">IF(AND(OP="11",RAMX=DEC2BIN(COLUMN(J18)-1,8),RAMY=DEC2BIN(ROW(J18)-1,8)),DATA,J18)</f>
        <v>0</v>
      </c>
      <c r="K18" s="87">
        <f ca="1">IF(AND(OP="11",RAMX=DEC2BIN(COLUMN(K18)-1,8),RAMY=DEC2BIN(ROW(K18)-1,8)),DATA,K18)</f>
        <v>0</v>
      </c>
      <c r="L18" s="87">
        <f ca="1">IF(AND(OP="11",RAMX=DEC2BIN(COLUMN(L18)-1,8),RAMY=DEC2BIN(ROW(L18)-1,8)),DATA,L18)</f>
        <v>0</v>
      </c>
      <c r="M18" s="87">
        <f ca="1">IF(AND(OP="11",RAMX=DEC2BIN(COLUMN(M18)-1,8),RAMY=DEC2BIN(ROW(M18)-1,8)),DATA,M18)</f>
        <v>0</v>
      </c>
      <c r="N18" s="87">
        <f ca="1">IF(AND(OP="11",RAMX=DEC2BIN(COLUMN(N18)-1,8),RAMY=DEC2BIN(ROW(N18)-1,8)),DATA,N18)</f>
        <v>0</v>
      </c>
      <c r="O18" s="87">
        <f ca="1">IF(AND(OP="11",RAMX=DEC2BIN(COLUMN(O18)-1,8),RAMY=DEC2BIN(ROW(O18)-1,8)),DATA,O18)</f>
        <v>0</v>
      </c>
      <c r="P18" s="87">
        <f ca="1">IF(AND(OP="11",RAMX=DEC2BIN(COLUMN(P18)-1,8),RAMY=DEC2BIN(ROW(P18)-1,8)),DATA,P18)</f>
        <v>0</v>
      </c>
      <c r="Q18" s="87">
        <f ca="1">IF(AND(OP="11",RAMX=DEC2BIN(COLUMN(Q18)-1,8),RAMY=DEC2BIN(ROW(Q18)-1,8)),DATA,Q18)</f>
        <v>0</v>
      </c>
      <c r="R18" s="87">
        <f ca="1">IF(AND(OP="11",RAMX=DEC2BIN(COLUMN(R18)-1,8),RAMY=DEC2BIN(ROW(R18)-1,8)),DATA,R18)</f>
        <v>0</v>
      </c>
      <c r="S18" s="87">
        <f ca="1">IF(AND(OP="11",RAMX=DEC2BIN(COLUMN(S18)-1,8),RAMY=DEC2BIN(ROW(S18)-1,8)),DATA,S18)</f>
        <v>0</v>
      </c>
      <c r="T18" s="87">
        <f ca="1">IF(AND(OP="11",RAMX=DEC2BIN(COLUMN(T18)-1,8),RAMY=DEC2BIN(ROW(T18)-1,8)),DATA,T18)</f>
        <v>0</v>
      </c>
      <c r="U18" s="87">
        <f ca="1">IF(AND(OP="11",RAMX=DEC2BIN(COLUMN(U18)-1,8),RAMY=DEC2BIN(ROW(U18)-1,8)),DATA,U18)</f>
        <v>0</v>
      </c>
      <c r="V18" s="87">
        <f ca="1">IF(AND(OP="11",RAMX=DEC2BIN(COLUMN(V18)-1,8),RAMY=DEC2BIN(ROW(V18)-1,8)),DATA,V18)</f>
        <v>0</v>
      </c>
      <c r="W18" s="87">
        <f ca="1">IF(AND(OP="11",RAMX=DEC2BIN(COLUMN(W18)-1,8),RAMY=DEC2BIN(ROW(W18)-1,8)),DATA,W18)</f>
        <v>0</v>
      </c>
      <c r="X18" s="87">
        <f ca="1">IF(AND(OP="11",RAMX=DEC2BIN(COLUMN(X18)-1,8),RAMY=DEC2BIN(ROW(X18)-1,8)),DATA,X18)</f>
        <v>0</v>
      </c>
      <c r="Y18" s="87">
        <f ca="1">IF(AND(OP="11",RAMX=DEC2BIN(COLUMN(Y18)-1,8),RAMY=DEC2BIN(ROW(Y18)-1,8)),DATA,Y18)</f>
        <v>0</v>
      </c>
      <c r="Z18" s="87">
        <f ca="1">IF(AND(OP="11",RAMX=DEC2BIN(COLUMN(Z18)-1,8),RAMY=DEC2BIN(ROW(Z18)-1,8)),DATA,Z18)</f>
        <v>0</v>
      </c>
      <c r="AA18" s="87">
        <f ca="1">IF(AND(OP="11",RAMX=DEC2BIN(COLUMN(AA18)-1,8),RAMY=DEC2BIN(ROW(AA18)-1,8)),DATA,AA18)</f>
        <v>0</v>
      </c>
      <c r="AB18" s="87">
        <f ca="1">IF(AND(OP="11",RAMX=DEC2BIN(COLUMN(AB18)-1,8),RAMY=DEC2BIN(ROW(AB18)-1,8)),DATA,AB18)</f>
        <v>0</v>
      </c>
      <c r="AC18" s="87">
        <f ca="1">IF(AND(OP="11",RAMX=DEC2BIN(COLUMN(AC18)-1,8),RAMY=DEC2BIN(ROW(AC18)-1,8)),DATA,AC18)</f>
        <v>0</v>
      </c>
      <c r="AD18" s="87">
        <f ca="1">IF(AND(OP="11",RAMX=DEC2BIN(COLUMN(AD18)-1,8),RAMY=DEC2BIN(ROW(AD18)-1,8)),DATA,AD18)</f>
        <v>0</v>
      </c>
      <c r="AE18" s="87">
        <f ca="1">IF(AND(OP="11",RAMX=DEC2BIN(COLUMN(AE18)-1,8),RAMY=DEC2BIN(ROW(AE18)-1,8)),DATA,AE18)</f>
        <v>0</v>
      </c>
      <c r="AF18" s="87">
        <f ca="1">IF(AND(OP="11",RAMX=DEC2BIN(COLUMN(AF18)-1,8),RAMY=DEC2BIN(ROW(AF18)-1,8)),DATA,AF18)</f>
        <v>0</v>
      </c>
      <c r="AG18" s="87">
        <f ca="1">IF(AND(OP="11",RAMX=DEC2BIN(COLUMN(AG18)-1,8),RAMY=DEC2BIN(ROW(AG18)-1,8)),DATA,AG18)</f>
        <v>0</v>
      </c>
      <c r="AH18" s="87">
        <f ca="1">IF(AND(OP="11",RAMX=DEC2BIN(COLUMN(AH18)-1,8),RAMY=DEC2BIN(ROW(AH18)-1,8)),DATA,AH18)</f>
        <v>0</v>
      </c>
      <c r="AI18" s="87">
        <f ca="1">IF(AND(OP="11",RAMX=DEC2BIN(COLUMN(AI18)-1,8),RAMY=DEC2BIN(ROW(AI18)-1,8)),DATA,AI18)</f>
        <v>0</v>
      </c>
      <c r="AJ18" s="87">
        <f ca="1">IF(AND(OP="11",RAMX=DEC2BIN(COLUMN(AJ18)-1,8),RAMY=DEC2BIN(ROW(AJ18)-1,8)),DATA,AJ18)</f>
        <v>0</v>
      </c>
      <c r="AK18" s="87">
        <f ca="1">IF(AND(OP="11",RAMX=DEC2BIN(COLUMN(AK18)-1,8),RAMY=DEC2BIN(ROW(AK18)-1,8)),DATA,AK18)</f>
        <v>0</v>
      </c>
      <c r="AL18" s="87">
        <f ca="1">IF(AND(OP="11",RAMX=DEC2BIN(COLUMN(AL18)-1,8),RAMY=DEC2BIN(ROW(AL18)-1,8)),DATA,AL18)</f>
        <v>0</v>
      </c>
      <c r="AM18" s="87">
        <f ca="1">IF(AND(OP="11",RAMX=DEC2BIN(COLUMN(AM18)-1,8),RAMY=DEC2BIN(ROW(AM18)-1,8)),DATA,AM18)</f>
        <v>0</v>
      </c>
      <c r="AN18" s="87">
        <f ca="1">IF(AND(OP="11",RAMX=DEC2BIN(COLUMN(AN18)-1,8),RAMY=DEC2BIN(ROW(AN18)-1,8)),DATA,AN18)</f>
        <v>0</v>
      </c>
      <c r="AO18" s="87">
        <f ca="1">IF(AND(OP="11",RAMX=DEC2BIN(COLUMN(AO18)-1,8),RAMY=DEC2BIN(ROW(AO18)-1,8)),DATA,AO18)</f>
        <v>0</v>
      </c>
      <c r="AP18" s="87">
        <f ca="1">IF(AND(OP="11",RAMX=DEC2BIN(COLUMN(AP18)-1,8),RAMY=DEC2BIN(ROW(AP18)-1,8)),DATA,AP18)</f>
        <v>0</v>
      </c>
      <c r="AQ18" s="87">
        <f ca="1">IF(AND(OP="11",RAMX=DEC2BIN(COLUMN(AQ18)-1,8),RAMY=DEC2BIN(ROW(AQ18)-1,8)),DATA,AQ18)</f>
        <v>0</v>
      </c>
      <c r="AR18" s="87">
        <f ca="1">IF(AND(OP="11",RAMX=DEC2BIN(COLUMN(AR18)-1,8),RAMY=DEC2BIN(ROW(AR18)-1,8)),DATA,AR18)</f>
        <v>0</v>
      </c>
      <c r="AS18" s="87">
        <f ca="1">IF(AND(OP="11",RAMX=DEC2BIN(COLUMN(AS18)-1,8),RAMY=DEC2BIN(ROW(AS18)-1,8)),DATA,AS18)</f>
        <v>0</v>
      </c>
      <c r="AT18" s="87">
        <f ca="1">IF(AND(OP="11",RAMX=DEC2BIN(COLUMN(AT18)-1,8),RAMY=DEC2BIN(ROW(AT18)-1,8)),DATA,AT18)</f>
        <v>0</v>
      </c>
      <c r="AU18" s="87">
        <f ca="1">IF(AND(OP="11",RAMX=DEC2BIN(COLUMN(AU18)-1,8),RAMY=DEC2BIN(ROW(AU18)-1,8)),DATA,AU18)</f>
        <v>0</v>
      </c>
      <c r="AV18" s="87">
        <f ca="1">IF(AND(OP="11",RAMX=DEC2BIN(COLUMN(AV18)-1,8),RAMY=DEC2BIN(ROW(AV18)-1,8)),DATA,AV18)</f>
        <v>0</v>
      </c>
      <c r="AW18" s="87">
        <f ca="1">IF(AND(OP="11",RAMX=DEC2BIN(COLUMN(AW18)-1,8),RAMY=DEC2BIN(ROW(AW18)-1,8)),DATA,AW18)</f>
        <v>0</v>
      </c>
      <c r="AX18" s="87">
        <f ca="1">IF(AND(OP="11",RAMX=DEC2BIN(COLUMN(AX18)-1,8),RAMY=DEC2BIN(ROW(AX18)-1,8)),DATA,AX18)</f>
        <v>0</v>
      </c>
      <c r="AY18" s="87">
        <f ca="1">IF(AND(OP="11",RAMX=DEC2BIN(COLUMN(AY18)-1,8),RAMY=DEC2BIN(ROW(AY18)-1,8)),DATA,AY18)</f>
        <v>0</v>
      </c>
      <c r="AZ18" s="87">
        <f ca="1">IF(AND(OP="11",RAMX=DEC2BIN(COLUMN(AZ18)-1,8),RAMY=DEC2BIN(ROW(AZ18)-1,8)),DATA,AZ18)</f>
        <v>0</v>
      </c>
      <c r="BA18" s="87">
        <f ca="1">IF(AND(OP="11",RAMX=DEC2BIN(COLUMN(BA18)-1,8),RAMY=DEC2BIN(ROW(BA18)-1,8)),DATA,BA18)</f>
        <v>0</v>
      </c>
      <c r="BB18" s="87">
        <f ca="1">IF(AND(OP="11",RAMX=DEC2BIN(COLUMN(BB18)-1,8),RAMY=DEC2BIN(ROW(BB18)-1,8)),DATA,BB18)</f>
        <v>0</v>
      </c>
      <c r="BC18" s="87">
        <f ca="1">IF(AND(OP="11",RAMX=DEC2BIN(COLUMN(BC18)-1,8),RAMY=DEC2BIN(ROW(BC18)-1,8)),DATA,BC18)</f>
        <v>0</v>
      </c>
      <c r="BD18" s="87">
        <f ca="1">IF(AND(OP="11",RAMX=DEC2BIN(COLUMN(BD18)-1,8),RAMY=DEC2BIN(ROW(BD18)-1,8)),DATA,BD18)</f>
        <v>0</v>
      </c>
      <c r="BE18" s="87">
        <f ca="1">IF(AND(OP="11",RAMX=DEC2BIN(COLUMN(BE18)-1,8),RAMY=DEC2BIN(ROW(BE18)-1,8)),DATA,BE18)</f>
        <v>0</v>
      </c>
      <c r="BF18" s="87">
        <f ca="1">IF(AND(OP="11",RAMX=DEC2BIN(COLUMN(BF18)-1,8),RAMY=DEC2BIN(ROW(BF18)-1,8)),DATA,BF18)</f>
        <v>0</v>
      </c>
      <c r="BG18" s="87">
        <f ca="1">IF(AND(OP="11",RAMX=DEC2BIN(COLUMN(BG18)-1,8),RAMY=DEC2BIN(ROW(BG18)-1,8)),DATA,BG18)</f>
        <v>0</v>
      </c>
      <c r="BH18" s="87">
        <f ca="1">IF(AND(OP="11",RAMX=DEC2BIN(COLUMN(BH18)-1,8),RAMY=DEC2BIN(ROW(BH18)-1,8)),DATA,BH18)</f>
        <v>0</v>
      </c>
      <c r="BI18" s="87">
        <f ca="1">IF(AND(OP="11",RAMX=DEC2BIN(COLUMN(BI18)-1,8),RAMY=DEC2BIN(ROW(BI18)-1,8)),DATA,BI18)</f>
        <v>0</v>
      </c>
      <c r="BJ18" s="87">
        <f ca="1">IF(AND(OP="11",RAMX=DEC2BIN(COLUMN(BJ18)-1,8),RAMY=DEC2BIN(ROW(BJ18)-1,8)),DATA,BJ18)</f>
        <v>0</v>
      </c>
      <c r="BK18" s="87">
        <f ca="1">IF(AND(OP="11",RAMX=DEC2BIN(COLUMN(BK18)-1,8),RAMY=DEC2BIN(ROW(BK18)-1,8)),DATA,BK18)</f>
        <v>0</v>
      </c>
      <c r="BL18" s="87">
        <f ca="1">IF(AND(OP="11",RAMX=DEC2BIN(COLUMN(BL18)-1,8),RAMY=DEC2BIN(ROW(BL18)-1,8)),DATA,BL18)</f>
        <v>0</v>
      </c>
    </row>
    <row r="19" spans="1:64" x14ac:dyDescent="0.25">
      <c r="A19" s="87">
        <f ca="1">IF(AND(OP="11",RAMX=DEC2BIN(COLUMN(A19)-1,8),RAMY=DEC2BIN(ROW(A19)-1,8)),DATA,A19)</f>
        <v>0</v>
      </c>
      <c r="B19" s="87">
        <f ca="1">IF(AND(OP="11",RAMX=DEC2BIN(COLUMN(B19)-1,8),RAMY=DEC2BIN(ROW(B19)-1,8)),DATA,B19)</f>
        <v>0</v>
      </c>
      <c r="C19" s="87">
        <f ca="1">IF(AND(OP="11",RAMX=DEC2BIN(COLUMN(C19)-1,8),RAMY=DEC2BIN(ROW(C19)-1,8)),DATA,C19)</f>
        <v>0</v>
      </c>
      <c r="D19" s="87">
        <f ca="1">IF(AND(OP="11",RAMX=DEC2BIN(COLUMN(D19)-1,8),RAMY=DEC2BIN(ROW(D19)-1,8)),DATA,D19)</f>
        <v>0</v>
      </c>
      <c r="E19" s="87">
        <f ca="1">IF(AND(OP="11",RAMX=DEC2BIN(COLUMN(E19)-1,8),RAMY=DEC2BIN(ROW(E19)-1,8)),DATA,E19)</f>
        <v>0</v>
      </c>
      <c r="F19" s="87">
        <f ca="1">IF(AND(OP="11",RAMX=DEC2BIN(COLUMN(F19)-1,8),RAMY=DEC2BIN(ROW(F19)-1,8)),DATA,F19)</f>
        <v>0</v>
      </c>
      <c r="G19" s="87">
        <f ca="1">IF(AND(OP="11",RAMX=DEC2BIN(COLUMN(G19)-1,8),RAMY=DEC2BIN(ROW(G19)-1,8)),DATA,G19)</f>
        <v>0</v>
      </c>
      <c r="H19" s="87">
        <f ca="1">IF(AND(OP="11",RAMX=DEC2BIN(COLUMN(H19)-1,8),RAMY=DEC2BIN(ROW(H19)-1,8)),DATA,H19)</f>
        <v>0</v>
      </c>
      <c r="I19" s="87">
        <f ca="1">IF(AND(OP="11",RAMX=DEC2BIN(COLUMN(I19)-1,8),RAMY=DEC2BIN(ROW(I19)-1,8)),DATA,I19)</f>
        <v>0</v>
      </c>
      <c r="J19" s="87">
        <f ca="1">IF(AND(OP="11",RAMX=DEC2BIN(COLUMN(J19)-1,8),RAMY=DEC2BIN(ROW(J19)-1,8)),DATA,J19)</f>
        <v>0</v>
      </c>
      <c r="K19" s="87">
        <f ca="1">IF(AND(OP="11",RAMX=DEC2BIN(COLUMN(K19)-1,8),RAMY=DEC2BIN(ROW(K19)-1,8)),DATA,K19)</f>
        <v>0</v>
      </c>
      <c r="L19" s="87">
        <f ca="1">IF(AND(OP="11",RAMX=DEC2BIN(COLUMN(L19)-1,8),RAMY=DEC2BIN(ROW(L19)-1,8)),DATA,L19)</f>
        <v>0</v>
      </c>
      <c r="M19" s="87">
        <f ca="1">IF(AND(OP="11",RAMX=DEC2BIN(COLUMN(M19)-1,8),RAMY=DEC2BIN(ROW(M19)-1,8)),DATA,M19)</f>
        <v>0</v>
      </c>
      <c r="N19" s="87">
        <f ca="1">IF(AND(OP="11",RAMX=DEC2BIN(COLUMN(N19)-1,8),RAMY=DEC2BIN(ROW(N19)-1,8)),DATA,N19)</f>
        <v>0</v>
      </c>
      <c r="O19" s="87">
        <f ca="1">IF(AND(OP="11",RAMX=DEC2BIN(COLUMN(O19)-1,8),RAMY=DEC2BIN(ROW(O19)-1,8)),DATA,O19)</f>
        <v>0</v>
      </c>
      <c r="P19" s="87">
        <f ca="1">IF(AND(OP="11",RAMX=DEC2BIN(COLUMN(P19)-1,8),RAMY=DEC2BIN(ROW(P19)-1,8)),DATA,P19)</f>
        <v>0</v>
      </c>
      <c r="Q19" s="87">
        <f ca="1">IF(AND(OP="11",RAMX=DEC2BIN(COLUMN(Q19)-1,8),RAMY=DEC2BIN(ROW(Q19)-1,8)),DATA,Q19)</f>
        <v>0</v>
      </c>
      <c r="R19" s="87">
        <f ca="1">IF(AND(OP="11",RAMX=DEC2BIN(COLUMN(R19)-1,8),RAMY=DEC2BIN(ROW(R19)-1,8)),DATA,R19)</f>
        <v>0</v>
      </c>
      <c r="S19" s="87">
        <f ca="1">IF(AND(OP="11",RAMX=DEC2BIN(COLUMN(S19)-1,8),RAMY=DEC2BIN(ROW(S19)-1,8)),DATA,S19)</f>
        <v>0</v>
      </c>
      <c r="T19" s="87">
        <f ca="1">IF(AND(OP="11",RAMX=DEC2BIN(COLUMN(T19)-1,8),RAMY=DEC2BIN(ROW(T19)-1,8)),DATA,T19)</f>
        <v>0</v>
      </c>
      <c r="U19" s="87">
        <f ca="1">IF(AND(OP="11",RAMX=DEC2BIN(COLUMN(U19)-1,8),RAMY=DEC2BIN(ROW(U19)-1,8)),DATA,U19)</f>
        <v>0</v>
      </c>
      <c r="V19" s="87">
        <f ca="1">IF(AND(OP="11",RAMX=DEC2BIN(COLUMN(V19)-1,8),RAMY=DEC2BIN(ROW(V19)-1,8)),DATA,V19)</f>
        <v>0</v>
      </c>
      <c r="W19" s="87">
        <f ca="1">IF(AND(OP="11",RAMX=DEC2BIN(COLUMN(W19)-1,8),RAMY=DEC2BIN(ROW(W19)-1,8)),DATA,W19)</f>
        <v>0</v>
      </c>
      <c r="X19" s="87">
        <f ca="1">IF(AND(OP="11",RAMX=DEC2BIN(COLUMN(X19)-1,8),RAMY=DEC2BIN(ROW(X19)-1,8)),DATA,X19)</f>
        <v>0</v>
      </c>
      <c r="Y19" s="87">
        <f ca="1">IF(AND(OP="11",RAMX=DEC2BIN(COLUMN(Y19)-1,8),RAMY=DEC2BIN(ROW(Y19)-1,8)),DATA,Y19)</f>
        <v>0</v>
      </c>
      <c r="Z19" s="87">
        <f ca="1">IF(AND(OP="11",RAMX=DEC2BIN(COLUMN(Z19)-1,8),RAMY=DEC2BIN(ROW(Z19)-1,8)),DATA,Z19)</f>
        <v>0</v>
      </c>
      <c r="AA19" s="87">
        <f ca="1">IF(AND(OP="11",RAMX=DEC2BIN(COLUMN(AA19)-1,8),RAMY=DEC2BIN(ROW(AA19)-1,8)),DATA,AA19)</f>
        <v>0</v>
      </c>
      <c r="AB19" s="87">
        <f ca="1">IF(AND(OP="11",RAMX=DEC2BIN(COLUMN(AB19)-1,8),RAMY=DEC2BIN(ROW(AB19)-1,8)),DATA,AB19)</f>
        <v>0</v>
      </c>
      <c r="AC19" s="87">
        <f ca="1">IF(AND(OP="11",RAMX=DEC2BIN(COLUMN(AC19)-1,8),RAMY=DEC2BIN(ROW(AC19)-1,8)),DATA,AC19)</f>
        <v>0</v>
      </c>
      <c r="AD19" s="87">
        <f ca="1">IF(AND(OP="11",RAMX=DEC2BIN(COLUMN(AD19)-1,8),RAMY=DEC2BIN(ROW(AD19)-1,8)),DATA,AD19)</f>
        <v>0</v>
      </c>
      <c r="AE19" s="87">
        <f ca="1">IF(AND(OP="11",RAMX=DEC2BIN(COLUMN(AE19)-1,8),RAMY=DEC2BIN(ROW(AE19)-1,8)),DATA,AE19)</f>
        <v>0</v>
      </c>
      <c r="AF19" s="87">
        <f ca="1">IF(AND(OP="11",RAMX=DEC2BIN(COLUMN(AF19)-1,8),RAMY=DEC2BIN(ROW(AF19)-1,8)),DATA,AF19)</f>
        <v>0</v>
      </c>
      <c r="AG19" s="87">
        <f ca="1">IF(AND(OP="11",RAMX=DEC2BIN(COLUMN(AG19)-1,8),RAMY=DEC2BIN(ROW(AG19)-1,8)),DATA,AG19)</f>
        <v>0</v>
      </c>
      <c r="AH19" s="87">
        <f ca="1">IF(AND(OP="11",RAMX=DEC2BIN(COLUMN(AH19)-1,8),RAMY=DEC2BIN(ROW(AH19)-1,8)),DATA,AH19)</f>
        <v>0</v>
      </c>
      <c r="AI19" s="87">
        <f ca="1">IF(AND(OP="11",RAMX=DEC2BIN(COLUMN(AI19)-1,8),RAMY=DEC2BIN(ROW(AI19)-1,8)),DATA,AI19)</f>
        <v>0</v>
      </c>
      <c r="AJ19" s="87">
        <f ca="1">IF(AND(OP="11",RAMX=DEC2BIN(COLUMN(AJ19)-1,8),RAMY=DEC2BIN(ROW(AJ19)-1,8)),DATA,AJ19)</f>
        <v>0</v>
      </c>
      <c r="AK19" s="87">
        <f ca="1">IF(AND(OP="11",RAMX=DEC2BIN(COLUMN(AK19)-1,8),RAMY=DEC2BIN(ROW(AK19)-1,8)),DATA,AK19)</f>
        <v>0</v>
      </c>
      <c r="AL19" s="87">
        <f ca="1">IF(AND(OP="11",RAMX=DEC2BIN(COLUMN(AL19)-1,8),RAMY=DEC2BIN(ROW(AL19)-1,8)),DATA,AL19)</f>
        <v>0</v>
      </c>
      <c r="AM19" s="87">
        <f ca="1">IF(AND(OP="11",RAMX=DEC2BIN(COLUMN(AM19)-1,8),RAMY=DEC2BIN(ROW(AM19)-1,8)),DATA,AM19)</f>
        <v>0</v>
      </c>
      <c r="AN19" s="87">
        <f ca="1">IF(AND(OP="11",RAMX=DEC2BIN(COLUMN(AN19)-1,8),RAMY=DEC2BIN(ROW(AN19)-1,8)),DATA,AN19)</f>
        <v>0</v>
      </c>
      <c r="AO19" s="87">
        <f ca="1">IF(AND(OP="11",RAMX=DEC2BIN(COLUMN(AO19)-1,8),RAMY=DEC2BIN(ROW(AO19)-1,8)),DATA,AO19)</f>
        <v>0</v>
      </c>
      <c r="AP19" s="87">
        <f ca="1">IF(AND(OP="11",RAMX=DEC2BIN(COLUMN(AP19)-1,8),RAMY=DEC2BIN(ROW(AP19)-1,8)),DATA,AP19)</f>
        <v>0</v>
      </c>
      <c r="AQ19" s="87">
        <f ca="1">IF(AND(OP="11",RAMX=DEC2BIN(COLUMN(AQ19)-1,8),RAMY=DEC2BIN(ROW(AQ19)-1,8)),DATA,AQ19)</f>
        <v>0</v>
      </c>
      <c r="AR19" s="87">
        <f ca="1">IF(AND(OP="11",RAMX=DEC2BIN(COLUMN(AR19)-1,8),RAMY=DEC2BIN(ROW(AR19)-1,8)),DATA,AR19)</f>
        <v>0</v>
      </c>
      <c r="AS19" s="87">
        <f ca="1">IF(AND(OP="11",RAMX=DEC2BIN(COLUMN(AS19)-1,8),RAMY=DEC2BIN(ROW(AS19)-1,8)),DATA,AS19)</f>
        <v>0</v>
      </c>
      <c r="AT19" s="87">
        <f ca="1">IF(AND(OP="11",RAMX=DEC2BIN(COLUMN(AT19)-1,8),RAMY=DEC2BIN(ROW(AT19)-1,8)),DATA,AT19)</f>
        <v>0</v>
      </c>
      <c r="AU19" s="87">
        <f ca="1">IF(AND(OP="11",RAMX=DEC2BIN(COLUMN(AU19)-1,8),RAMY=DEC2BIN(ROW(AU19)-1,8)),DATA,AU19)</f>
        <v>0</v>
      </c>
      <c r="AV19" s="87">
        <f ca="1">IF(AND(OP="11",RAMX=DEC2BIN(COLUMN(AV19)-1,8),RAMY=DEC2BIN(ROW(AV19)-1,8)),DATA,AV19)</f>
        <v>0</v>
      </c>
      <c r="AW19" s="87">
        <f ca="1">IF(AND(OP="11",RAMX=DEC2BIN(COLUMN(AW19)-1,8),RAMY=DEC2BIN(ROW(AW19)-1,8)),DATA,AW19)</f>
        <v>0</v>
      </c>
      <c r="AX19" s="87">
        <f ca="1">IF(AND(OP="11",RAMX=DEC2BIN(COLUMN(AX19)-1,8),RAMY=DEC2BIN(ROW(AX19)-1,8)),DATA,AX19)</f>
        <v>0</v>
      </c>
      <c r="AY19" s="87">
        <f ca="1">IF(AND(OP="11",RAMX=DEC2BIN(COLUMN(AY19)-1,8),RAMY=DEC2BIN(ROW(AY19)-1,8)),DATA,AY19)</f>
        <v>0</v>
      </c>
      <c r="AZ19" s="87">
        <f ca="1">IF(AND(OP="11",RAMX=DEC2BIN(COLUMN(AZ19)-1,8),RAMY=DEC2BIN(ROW(AZ19)-1,8)),DATA,AZ19)</f>
        <v>0</v>
      </c>
      <c r="BA19" s="87">
        <f ca="1">IF(AND(OP="11",RAMX=DEC2BIN(COLUMN(BA19)-1,8),RAMY=DEC2BIN(ROW(BA19)-1,8)),DATA,BA19)</f>
        <v>0</v>
      </c>
      <c r="BB19" s="87">
        <f ca="1">IF(AND(OP="11",RAMX=DEC2BIN(COLUMN(BB19)-1,8),RAMY=DEC2BIN(ROW(BB19)-1,8)),DATA,BB19)</f>
        <v>0</v>
      </c>
      <c r="BC19" s="87">
        <f ca="1">IF(AND(OP="11",RAMX=DEC2BIN(COLUMN(BC19)-1,8),RAMY=DEC2BIN(ROW(BC19)-1,8)),DATA,BC19)</f>
        <v>0</v>
      </c>
      <c r="BD19" s="87">
        <f ca="1">IF(AND(OP="11",RAMX=DEC2BIN(COLUMN(BD19)-1,8),RAMY=DEC2BIN(ROW(BD19)-1,8)),DATA,BD19)</f>
        <v>0</v>
      </c>
      <c r="BE19" s="87">
        <f ca="1">IF(AND(OP="11",RAMX=DEC2BIN(COLUMN(BE19)-1,8),RAMY=DEC2BIN(ROW(BE19)-1,8)),DATA,BE19)</f>
        <v>0</v>
      </c>
      <c r="BF19" s="87">
        <f ca="1">IF(AND(OP="11",RAMX=DEC2BIN(COLUMN(BF19)-1,8),RAMY=DEC2BIN(ROW(BF19)-1,8)),DATA,BF19)</f>
        <v>0</v>
      </c>
      <c r="BG19" s="87">
        <f ca="1">IF(AND(OP="11",RAMX=DEC2BIN(COLUMN(BG19)-1,8),RAMY=DEC2BIN(ROW(BG19)-1,8)),DATA,BG19)</f>
        <v>0</v>
      </c>
      <c r="BH19" s="87">
        <f ca="1">IF(AND(OP="11",RAMX=DEC2BIN(COLUMN(BH19)-1,8),RAMY=DEC2BIN(ROW(BH19)-1,8)),DATA,BH19)</f>
        <v>0</v>
      </c>
      <c r="BI19" s="87">
        <f ca="1">IF(AND(OP="11",RAMX=DEC2BIN(COLUMN(BI19)-1,8),RAMY=DEC2BIN(ROW(BI19)-1,8)),DATA,BI19)</f>
        <v>0</v>
      </c>
      <c r="BJ19" s="87">
        <f ca="1">IF(AND(OP="11",RAMX=DEC2BIN(COLUMN(BJ19)-1,8),RAMY=DEC2BIN(ROW(BJ19)-1,8)),DATA,BJ19)</f>
        <v>0</v>
      </c>
      <c r="BK19" s="87">
        <f ca="1">IF(AND(OP="11",RAMX=DEC2BIN(COLUMN(BK19)-1,8),RAMY=DEC2BIN(ROW(BK19)-1,8)),DATA,BK19)</f>
        <v>0</v>
      </c>
      <c r="BL19" s="87">
        <f ca="1">IF(AND(OP="11",RAMX=DEC2BIN(COLUMN(BL19)-1,8),RAMY=DEC2BIN(ROW(BL19)-1,8)),DATA,BL19)</f>
        <v>0</v>
      </c>
    </row>
    <row r="20" spans="1:64" x14ac:dyDescent="0.25">
      <c r="A20" s="87">
        <f ca="1">IF(AND(OP="11",RAMX=DEC2BIN(COLUMN(A20)-1,8),RAMY=DEC2BIN(ROW(A20)-1,8)),DATA,A20)</f>
        <v>0</v>
      </c>
      <c r="B20" s="87">
        <f ca="1">IF(AND(OP="11",RAMX=DEC2BIN(COLUMN(B20)-1,8),RAMY=DEC2BIN(ROW(B20)-1,8)),DATA,B20)</f>
        <v>0</v>
      </c>
      <c r="C20" s="87">
        <f ca="1">IF(AND(OP="11",RAMX=DEC2BIN(COLUMN(C20)-1,8),RAMY=DEC2BIN(ROW(C20)-1,8)),DATA,C20)</f>
        <v>0</v>
      </c>
      <c r="D20" s="87">
        <f ca="1">IF(AND(OP="11",RAMX=DEC2BIN(COLUMN(D20)-1,8),RAMY=DEC2BIN(ROW(D20)-1,8)),DATA,D20)</f>
        <v>0</v>
      </c>
      <c r="E20" s="87">
        <f ca="1">IF(AND(OP="11",RAMX=DEC2BIN(COLUMN(E20)-1,8),RAMY=DEC2BIN(ROW(E20)-1,8)),DATA,E20)</f>
        <v>0</v>
      </c>
      <c r="F20" s="87">
        <f ca="1">IF(AND(OP="11",RAMX=DEC2BIN(COLUMN(F20)-1,8),RAMY=DEC2BIN(ROW(F20)-1,8)),DATA,F20)</f>
        <v>0</v>
      </c>
      <c r="G20" s="87">
        <f ca="1">IF(AND(OP="11",RAMX=DEC2BIN(COLUMN(G20)-1,8),RAMY=DEC2BIN(ROW(G20)-1,8)),DATA,G20)</f>
        <v>0</v>
      </c>
      <c r="H20" s="87">
        <f ca="1">IF(AND(OP="11",RAMX=DEC2BIN(COLUMN(H20)-1,8),RAMY=DEC2BIN(ROW(H20)-1,8)),DATA,H20)</f>
        <v>0</v>
      </c>
      <c r="I20" s="87">
        <f ca="1">IF(AND(OP="11",RAMX=DEC2BIN(COLUMN(I20)-1,8),RAMY=DEC2BIN(ROW(I20)-1,8)),DATA,I20)</f>
        <v>0</v>
      </c>
      <c r="J20" s="87">
        <f ca="1">IF(AND(OP="11",RAMX=DEC2BIN(COLUMN(J20)-1,8),RAMY=DEC2BIN(ROW(J20)-1,8)),DATA,J20)</f>
        <v>0</v>
      </c>
      <c r="K20" s="87">
        <f ca="1">IF(AND(OP="11",RAMX=DEC2BIN(COLUMN(K20)-1,8),RAMY=DEC2BIN(ROW(K20)-1,8)),DATA,K20)</f>
        <v>0</v>
      </c>
      <c r="L20" s="87">
        <f ca="1">IF(AND(OP="11",RAMX=DEC2BIN(COLUMN(L20)-1,8),RAMY=DEC2BIN(ROW(L20)-1,8)),DATA,L20)</f>
        <v>0</v>
      </c>
      <c r="M20" s="87">
        <f ca="1">IF(AND(OP="11",RAMX=DEC2BIN(COLUMN(M20)-1,8),RAMY=DEC2BIN(ROW(M20)-1,8)),DATA,M20)</f>
        <v>0</v>
      </c>
      <c r="N20" s="87">
        <f ca="1">IF(AND(OP="11",RAMX=DEC2BIN(COLUMN(N20)-1,8),RAMY=DEC2BIN(ROW(N20)-1,8)),DATA,N20)</f>
        <v>0</v>
      </c>
      <c r="O20" s="87">
        <f ca="1">IF(AND(OP="11",RAMX=DEC2BIN(COLUMN(O20)-1,8),RAMY=DEC2BIN(ROW(O20)-1,8)),DATA,O20)</f>
        <v>0</v>
      </c>
      <c r="P20" s="87">
        <f ca="1">IF(AND(OP="11",RAMX=DEC2BIN(COLUMN(P20)-1,8),RAMY=DEC2BIN(ROW(P20)-1,8)),DATA,P20)</f>
        <v>0</v>
      </c>
      <c r="Q20" s="87">
        <f ca="1">IF(AND(OP="11",RAMX=DEC2BIN(COLUMN(Q20)-1,8),RAMY=DEC2BIN(ROW(Q20)-1,8)),DATA,Q20)</f>
        <v>0</v>
      </c>
      <c r="R20" s="87">
        <f ca="1">IF(AND(OP="11",RAMX=DEC2BIN(COLUMN(R20)-1,8),RAMY=DEC2BIN(ROW(R20)-1,8)),DATA,R20)</f>
        <v>0</v>
      </c>
      <c r="S20" s="87">
        <f ca="1">IF(AND(OP="11",RAMX=DEC2BIN(COLUMN(S20)-1,8),RAMY=DEC2BIN(ROW(S20)-1,8)),DATA,S20)</f>
        <v>0</v>
      </c>
      <c r="T20" s="87">
        <f ca="1">IF(AND(OP="11",RAMX=DEC2BIN(COLUMN(T20)-1,8),RAMY=DEC2BIN(ROW(T20)-1,8)),DATA,T20)</f>
        <v>0</v>
      </c>
      <c r="U20" s="87">
        <f ca="1">IF(AND(OP="11",RAMX=DEC2BIN(COLUMN(U20)-1,8),RAMY=DEC2BIN(ROW(U20)-1,8)),DATA,U20)</f>
        <v>0</v>
      </c>
      <c r="V20" s="87">
        <f ca="1">IF(AND(OP="11",RAMX=DEC2BIN(COLUMN(V20)-1,8),RAMY=DEC2BIN(ROW(V20)-1,8)),DATA,V20)</f>
        <v>0</v>
      </c>
      <c r="W20" s="87">
        <f ca="1">IF(AND(OP="11",RAMX=DEC2BIN(COLUMN(W20)-1,8),RAMY=DEC2BIN(ROW(W20)-1,8)),DATA,W20)</f>
        <v>0</v>
      </c>
      <c r="X20" s="87">
        <f ca="1">IF(AND(OP="11",RAMX=DEC2BIN(COLUMN(X20)-1,8),RAMY=DEC2BIN(ROW(X20)-1,8)),DATA,X20)</f>
        <v>0</v>
      </c>
      <c r="Y20" s="87">
        <f ca="1">IF(AND(OP="11",RAMX=DEC2BIN(COLUMN(Y20)-1,8),RAMY=DEC2BIN(ROW(Y20)-1,8)),DATA,Y20)</f>
        <v>0</v>
      </c>
      <c r="Z20" s="87">
        <f ca="1">IF(AND(OP="11",RAMX=DEC2BIN(COLUMN(Z20)-1,8),RAMY=DEC2BIN(ROW(Z20)-1,8)),DATA,Z20)</f>
        <v>0</v>
      </c>
      <c r="AA20" s="87">
        <f ca="1">IF(AND(OP="11",RAMX=DEC2BIN(COLUMN(AA20)-1,8),RAMY=DEC2BIN(ROW(AA20)-1,8)),DATA,AA20)</f>
        <v>0</v>
      </c>
      <c r="AB20" s="87">
        <f ca="1">IF(AND(OP="11",RAMX=DEC2BIN(COLUMN(AB20)-1,8),RAMY=DEC2BIN(ROW(AB20)-1,8)),DATA,AB20)</f>
        <v>0</v>
      </c>
      <c r="AC20" s="87">
        <f ca="1">IF(AND(OP="11",RAMX=DEC2BIN(COLUMN(AC20)-1,8),RAMY=DEC2BIN(ROW(AC20)-1,8)),DATA,AC20)</f>
        <v>0</v>
      </c>
      <c r="AD20" s="87">
        <f ca="1">IF(AND(OP="11",RAMX=DEC2BIN(COLUMN(AD20)-1,8),RAMY=DEC2BIN(ROW(AD20)-1,8)),DATA,AD20)</f>
        <v>0</v>
      </c>
      <c r="AE20" s="87">
        <f ca="1">IF(AND(OP="11",RAMX=DEC2BIN(COLUMN(AE20)-1,8),RAMY=DEC2BIN(ROW(AE20)-1,8)),DATA,AE20)</f>
        <v>0</v>
      </c>
      <c r="AF20" s="87">
        <f ca="1">IF(AND(OP="11",RAMX=DEC2BIN(COLUMN(AF20)-1,8),RAMY=DEC2BIN(ROW(AF20)-1,8)),DATA,AF20)</f>
        <v>0</v>
      </c>
      <c r="AG20" s="87">
        <f ca="1">IF(AND(OP="11",RAMX=DEC2BIN(COLUMN(AG20)-1,8),RAMY=DEC2BIN(ROW(AG20)-1,8)),DATA,AG20)</f>
        <v>0</v>
      </c>
      <c r="AH20" s="87">
        <f ca="1">IF(AND(OP="11",RAMX=DEC2BIN(COLUMN(AH20)-1,8),RAMY=DEC2BIN(ROW(AH20)-1,8)),DATA,AH20)</f>
        <v>0</v>
      </c>
      <c r="AI20" s="87">
        <f ca="1">IF(AND(OP="11",RAMX=DEC2BIN(COLUMN(AI20)-1,8),RAMY=DEC2BIN(ROW(AI20)-1,8)),DATA,AI20)</f>
        <v>0</v>
      </c>
      <c r="AJ20" s="87">
        <f ca="1">IF(AND(OP="11",RAMX=DEC2BIN(COLUMN(AJ20)-1,8),RAMY=DEC2BIN(ROW(AJ20)-1,8)),DATA,AJ20)</f>
        <v>0</v>
      </c>
      <c r="AK20" s="87">
        <f ca="1">IF(AND(OP="11",RAMX=DEC2BIN(COLUMN(AK20)-1,8),RAMY=DEC2BIN(ROW(AK20)-1,8)),DATA,AK20)</f>
        <v>0</v>
      </c>
      <c r="AL20" s="87">
        <f ca="1">IF(AND(OP="11",RAMX=DEC2BIN(COLUMN(AL20)-1,8),RAMY=DEC2BIN(ROW(AL20)-1,8)),DATA,AL20)</f>
        <v>0</v>
      </c>
      <c r="AM20" s="87">
        <f ca="1">IF(AND(OP="11",RAMX=DEC2BIN(COLUMN(AM20)-1,8),RAMY=DEC2BIN(ROW(AM20)-1,8)),DATA,AM20)</f>
        <v>0</v>
      </c>
      <c r="AN20" s="87">
        <f ca="1">IF(AND(OP="11",RAMX=DEC2BIN(COLUMN(AN20)-1,8),RAMY=DEC2BIN(ROW(AN20)-1,8)),DATA,AN20)</f>
        <v>0</v>
      </c>
      <c r="AO20" s="87">
        <f ca="1">IF(AND(OP="11",RAMX=DEC2BIN(COLUMN(AO20)-1,8),RAMY=DEC2BIN(ROW(AO20)-1,8)),DATA,AO20)</f>
        <v>0</v>
      </c>
      <c r="AP20" s="87">
        <f ca="1">IF(AND(OP="11",RAMX=DEC2BIN(COLUMN(AP20)-1,8),RAMY=DEC2BIN(ROW(AP20)-1,8)),DATA,AP20)</f>
        <v>0</v>
      </c>
      <c r="AQ20" s="87">
        <f ca="1">IF(AND(OP="11",RAMX=DEC2BIN(COLUMN(AQ20)-1,8),RAMY=DEC2BIN(ROW(AQ20)-1,8)),DATA,AQ20)</f>
        <v>0</v>
      </c>
      <c r="AR20" s="87">
        <f ca="1">IF(AND(OP="11",RAMX=DEC2BIN(COLUMN(AR20)-1,8),RAMY=DEC2BIN(ROW(AR20)-1,8)),DATA,AR20)</f>
        <v>0</v>
      </c>
      <c r="AS20" s="87">
        <f ca="1">IF(AND(OP="11",RAMX=DEC2BIN(COLUMN(AS20)-1,8),RAMY=DEC2BIN(ROW(AS20)-1,8)),DATA,AS20)</f>
        <v>0</v>
      </c>
      <c r="AT20" s="87">
        <f ca="1">IF(AND(OP="11",RAMX=DEC2BIN(COLUMN(AT20)-1,8),RAMY=DEC2BIN(ROW(AT20)-1,8)),DATA,AT20)</f>
        <v>0</v>
      </c>
      <c r="AU20" s="87">
        <f ca="1">IF(AND(OP="11",RAMX=DEC2BIN(COLUMN(AU20)-1,8),RAMY=DEC2BIN(ROW(AU20)-1,8)),DATA,AU20)</f>
        <v>0</v>
      </c>
      <c r="AV20" s="87">
        <f ca="1">IF(AND(OP="11",RAMX=DEC2BIN(COLUMN(AV20)-1,8),RAMY=DEC2BIN(ROW(AV20)-1,8)),DATA,AV20)</f>
        <v>0</v>
      </c>
      <c r="AW20" s="87">
        <f ca="1">IF(AND(OP="11",RAMX=DEC2BIN(COLUMN(AW20)-1,8),RAMY=DEC2BIN(ROW(AW20)-1,8)),DATA,AW20)</f>
        <v>0</v>
      </c>
      <c r="AX20" s="87">
        <f ca="1">IF(AND(OP="11",RAMX=DEC2BIN(COLUMN(AX20)-1,8),RAMY=DEC2BIN(ROW(AX20)-1,8)),DATA,AX20)</f>
        <v>0</v>
      </c>
      <c r="AY20" s="87">
        <f ca="1">IF(AND(OP="11",RAMX=DEC2BIN(COLUMN(AY20)-1,8),RAMY=DEC2BIN(ROW(AY20)-1,8)),DATA,AY20)</f>
        <v>0</v>
      </c>
      <c r="AZ20" s="87">
        <f ca="1">IF(AND(OP="11",RAMX=DEC2BIN(COLUMN(AZ20)-1,8),RAMY=DEC2BIN(ROW(AZ20)-1,8)),DATA,AZ20)</f>
        <v>0</v>
      </c>
      <c r="BA20" s="87">
        <f ca="1">IF(AND(OP="11",RAMX=DEC2BIN(COLUMN(BA20)-1,8),RAMY=DEC2BIN(ROW(BA20)-1,8)),DATA,BA20)</f>
        <v>0</v>
      </c>
      <c r="BB20" s="87">
        <f ca="1">IF(AND(OP="11",RAMX=DEC2BIN(COLUMN(BB20)-1,8),RAMY=DEC2BIN(ROW(BB20)-1,8)),DATA,BB20)</f>
        <v>0</v>
      </c>
      <c r="BC20" s="87">
        <f ca="1">IF(AND(OP="11",RAMX=DEC2BIN(COLUMN(BC20)-1,8),RAMY=DEC2BIN(ROW(BC20)-1,8)),DATA,BC20)</f>
        <v>0</v>
      </c>
      <c r="BD20" s="87">
        <f ca="1">IF(AND(OP="11",RAMX=DEC2BIN(COLUMN(BD20)-1,8),RAMY=DEC2BIN(ROW(BD20)-1,8)),DATA,BD20)</f>
        <v>0</v>
      </c>
      <c r="BE20" s="87">
        <f ca="1">IF(AND(OP="11",RAMX=DEC2BIN(COLUMN(BE20)-1,8),RAMY=DEC2BIN(ROW(BE20)-1,8)),DATA,BE20)</f>
        <v>0</v>
      </c>
      <c r="BF20" s="87">
        <f ca="1">IF(AND(OP="11",RAMX=DEC2BIN(COLUMN(BF20)-1,8),RAMY=DEC2BIN(ROW(BF20)-1,8)),DATA,BF20)</f>
        <v>0</v>
      </c>
      <c r="BG20" s="87">
        <f ca="1">IF(AND(OP="11",RAMX=DEC2BIN(COLUMN(BG20)-1,8),RAMY=DEC2BIN(ROW(BG20)-1,8)),DATA,BG20)</f>
        <v>0</v>
      </c>
      <c r="BH20" s="87">
        <f ca="1">IF(AND(OP="11",RAMX=DEC2BIN(COLUMN(BH20)-1,8),RAMY=DEC2BIN(ROW(BH20)-1,8)),DATA,BH20)</f>
        <v>0</v>
      </c>
      <c r="BI20" s="87">
        <f ca="1">IF(AND(OP="11",RAMX=DEC2BIN(COLUMN(BI20)-1,8),RAMY=DEC2BIN(ROW(BI20)-1,8)),DATA,BI20)</f>
        <v>0</v>
      </c>
      <c r="BJ20" s="87">
        <f ca="1">IF(AND(OP="11",RAMX=DEC2BIN(COLUMN(BJ20)-1,8),RAMY=DEC2BIN(ROW(BJ20)-1,8)),DATA,BJ20)</f>
        <v>0</v>
      </c>
      <c r="BK20" s="87">
        <f ca="1">IF(AND(OP="11",RAMX=DEC2BIN(COLUMN(BK20)-1,8),RAMY=DEC2BIN(ROW(BK20)-1,8)),DATA,BK20)</f>
        <v>0</v>
      </c>
      <c r="BL20" s="87">
        <f ca="1">IF(AND(OP="11",RAMX=DEC2BIN(COLUMN(BL20)-1,8),RAMY=DEC2BIN(ROW(BL20)-1,8)),DATA,BL20)</f>
        <v>0</v>
      </c>
    </row>
    <row r="21" spans="1:64" x14ac:dyDescent="0.25">
      <c r="A21" s="87">
        <f ca="1">IF(AND(OP="11",RAMX=DEC2BIN(COLUMN(A21)-1,8),RAMY=DEC2BIN(ROW(A21)-1,8)),DATA,A21)</f>
        <v>0</v>
      </c>
      <c r="B21" s="87">
        <f ca="1">IF(AND(OP="11",RAMX=DEC2BIN(COLUMN(B21)-1,8),RAMY=DEC2BIN(ROW(B21)-1,8)),DATA,B21)</f>
        <v>0</v>
      </c>
      <c r="C21" s="87">
        <f ca="1">IF(AND(OP="11",RAMX=DEC2BIN(COLUMN(C21)-1,8),RAMY=DEC2BIN(ROW(C21)-1,8)),DATA,C21)</f>
        <v>0</v>
      </c>
      <c r="D21" s="87">
        <f ca="1">IF(AND(OP="11",RAMX=DEC2BIN(COLUMN(D21)-1,8),RAMY=DEC2BIN(ROW(D21)-1,8)),DATA,D21)</f>
        <v>0</v>
      </c>
      <c r="E21" s="87">
        <f ca="1">IF(AND(OP="11",RAMX=DEC2BIN(COLUMN(E21)-1,8),RAMY=DEC2BIN(ROW(E21)-1,8)),DATA,E21)</f>
        <v>0</v>
      </c>
      <c r="F21" s="87">
        <f ca="1">IF(AND(OP="11",RAMX=DEC2BIN(COLUMN(F21)-1,8),RAMY=DEC2BIN(ROW(F21)-1,8)),DATA,F21)</f>
        <v>0</v>
      </c>
      <c r="G21" s="87">
        <f ca="1">IF(AND(OP="11",RAMX=DEC2BIN(COLUMN(G21)-1,8),RAMY=DEC2BIN(ROW(G21)-1,8)),DATA,G21)</f>
        <v>0</v>
      </c>
      <c r="H21" s="87">
        <f ca="1">IF(AND(OP="11",RAMX=DEC2BIN(COLUMN(H21)-1,8),RAMY=DEC2BIN(ROW(H21)-1,8)),DATA,H21)</f>
        <v>0</v>
      </c>
      <c r="I21" s="87">
        <f ca="1">IF(AND(OP="11",RAMX=DEC2BIN(COLUMN(I21)-1,8),RAMY=DEC2BIN(ROW(I21)-1,8)),DATA,I21)</f>
        <v>0</v>
      </c>
      <c r="J21" s="87">
        <f ca="1">IF(AND(OP="11",RAMX=DEC2BIN(COLUMN(J21)-1,8),RAMY=DEC2BIN(ROW(J21)-1,8)),DATA,J21)</f>
        <v>0</v>
      </c>
      <c r="K21" s="87">
        <f ca="1">IF(AND(OP="11",RAMX=DEC2BIN(COLUMN(K21)-1,8),RAMY=DEC2BIN(ROW(K21)-1,8)),DATA,K21)</f>
        <v>0</v>
      </c>
      <c r="L21" s="87">
        <f ca="1">IF(AND(OP="11",RAMX=DEC2BIN(COLUMN(L21)-1,8),RAMY=DEC2BIN(ROW(L21)-1,8)),DATA,L21)</f>
        <v>0</v>
      </c>
      <c r="M21" s="87">
        <f ca="1">IF(AND(OP="11",RAMX=DEC2BIN(COLUMN(M21)-1,8),RAMY=DEC2BIN(ROW(M21)-1,8)),DATA,M21)</f>
        <v>0</v>
      </c>
      <c r="N21" s="87">
        <f ca="1">IF(AND(OP="11",RAMX=DEC2BIN(COLUMN(N21)-1,8),RAMY=DEC2BIN(ROW(N21)-1,8)),DATA,N21)</f>
        <v>0</v>
      </c>
      <c r="O21" s="87">
        <f ca="1">IF(AND(OP="11",RAMX=DEC2BIN(COLUMN(O21)-1,8),RAMY=DEC2BIN(ROW(O21)-1,8)),DATA,O21)</f>
        <v>0</v>
      </c>
      <c r="P21" s="87">
        <f ca="1">IF(AND(OP="11",RAMX=DEC2BIN(COLUMN(P21)-1,8),RAMY=DEC2BIN(ROW(P21)-1,8)),DATA,P21)</f>
        <v>0</v>
      </c>
      <c r="Q21" s="87">
        <f ca="1">IF(AND(OP="11",RAMX=DEC2BIN(COLUMN(Q21)-1,8),RAMY=DEC2BIN(ROW(Q21)-1,8)),DATA,Q21)</f>
        <v>0</v>
      </c>
      <c r="R21" s="87">
        <f ca="1">IF(AND(OP="11",RAMX=DEC2BIN(COLUMN(R21)-1,8),RAMY=DEC2BIN(ROW(R21)-1,8)),DATA,R21)</f>
        <v>0</v>
      </c>
      <c r="S21" s="87">
        <f ca="1">IF(AND(OP="11",RAMX=DEC2BIN(COLUMN(S21)-1,8),RAMY=DEC2BIN(ROW(S21)-1,8)),DATA,S21)</f>
        <v>0</v>
      </c>
      <c r="T21" s="87">
        <f ca="1">IF(AND(OP="11",RAMX=DEC2BIN(COLUMN(T21)-1,8),RAMY=DEC2BIN(ROW(T21)-1,8)),DATA,T21)</f>
        <v>0</v>
      </c>
      <c r="U21" s="87">
        <f ca="1">IF(AND(OP="11",RAMX=DEC2BIN(COLUMN(U21)-1,8),RAMY=DEC2BIN(ROW(U21)-1,8)),DATA,U21)</f>
        <v>0</v>
      </c>
      <c r="V21" s="87">
        <f ca="1">IF(AND(OP="11",RAMX=DEC2BIN(COLUMN(V21)-1,8),RAMY=DEC2BIN(ROW(V21)-1,8)),DATA,V21)</f>
        <v>0</v>
      </c>
      <c r="W21" s="87">
        <f ca="1">IF(AND(OP="11",RAMX=DEC2BIN(COLUMN(W21)-1,8),RAMY=DEC2BIN(ROW(W21)-1,8)),DATA,W21)</f>
        <v>0</v>
      </c>
      <c r="X21" s="87">
        <f ca="1">IF(AND(OP="11",RAMX=DEC2BIN(COLUMN(X21)-1,8),RAMY=DEC2BIN(ROW(X21)-1,8)),DATA,X21)</f>
        <v>0</v>
      </c>
      <c r="Y21" s="87">
        <f ca="1">IF(AND(OP="11",RAMX=DEC2BIN(COLUMN(Y21)-1,8),RAMY=DEC2BIN(ROW(Y21)-1,8)),DATA,Y21)</f>
        <v>0</v>
      </c>
      <c r="Z21" s="87">
        <f ca="1">IF(AND(OP="11",RAMX=DEC2BIN(COLUMN(Z21)-1,8),RAMY=DEC2BIN(ROW(Z21)-1,8)),DATA,Z21)</f>
        <v>0</v>
      </c>
      <c r="AA21" s="87">
        <f ca="1">IF(AND(OP="11",RAMX=DEC2BIN(COLUMN(AA21)-1,8),RAMY=DEC2BIN(ROW(AA21)-1,8)),DATA,AA21)</f>
        <v>0</v>
      </c>
      <c r="AB21" s="87">
        <f ca="1">IF(AND(OP="11",RAMX=DEC2BIN(COLUMN(AB21)-1,8),RAMY=DEC2BIN(ROW(AB21)-1,8)),DATA,AB21)</f>
        <v>0</v>
      </c>
      <c r="AC21" s="87">
        <f ca="1">IF(AND(OP="11",RAMX=DEC2BIN(COLUMN(AC21)-1,8),RAMY=DEC2BIN(ROW(AC21)-1,8)),DATA,AC21)</f>
        <v>0</v>
      </c>
      <c r="AD21" s="87">
        <f ca="1">IF(AND(OP="11",RAMX=DEC2BIN(COLUMN(AD21)-1,8),RAMY=DEC2BIN(ROW(AD21)-1,8)),DATA,AD21)</f>
        <v>0</v>
      </c>
      <c r="AE21" s="87">
        <f ca="1">IF(AND(OP="11",RAMX=DEC2BIN(COLUMN(AE21)-1,8),RAMY=DEC2BIN(ROW(AE21)-1,8)),DATA,AE21)</f>
        <v>0</v>
      </c>
      <c r="AF21" s="87">
        <f ca="1">IF(AND(OP="11",RAMX=DEC2BIN(COLUMN(AF21)-1,8),RAMY=DEC2BIN(ROW(AF21)-1,8)),DATA,AF21)</f>
        <v>0</v>
      </c>
      <c r="AG21" s="87">
        <f ca="1">IF(AND(OP="11",RAMX=DEC2BIN(COLUMN(AG21)-1,8),RAMY=DEC2BIN(ROW(AG21)-1,8)),DATA,AG21)</f>
        <v>0</v>
      </c>
      <c r="AH21" s="87">
        <f ca="1">IF(AND(OP="11",RAMX=DEC2BIN(COLUMN(AH21)-1,8),RAMY=DEC2BIN(ROW(AH21)-1,8)),DATA,AH21)</f>
        <v>0</v>
      </c>
      <c r="AI21" s="87">
        <f ca="1">IF(AND(OP="11",RAMX=DEC2BIN(COLUMN(AI21)-1,8),RAMY=DEC2BIN(ROW(AI21)-1,8)),DATA,AI21)</f>
        <v>0</v>
      </c>
      <c r="AJ21" s="87">
        <f ca="1">IF(AND(OP="11",RAMX=DEC2BIN(COLUMN(AJ21)-1,8),RAMY=DEC2BIN(ROW(AJ21)-1,8)),DATA,AJ21)</f>
        <v>0</v>
      </c>
      <c r="AK21" s="87">
        <f ca="1">IF(AND(OP="11",RAMX=DEC2BIN(COLUMN(AK21)-1,8),RAMY=DEC2BIN(ROW(AK21)-1,8)),DATA,AK21)</f>
        <v>0</v>
      </c>
      <c r="AL21" s="87">
        <f ca="1">IF(AND(OP="11",RAMX=DEC2BIN(COLUMN(AL21)-1,8),RAMY=DEC2BIN(ROW(AL21)-1,8)),DATA,AL21)</f>
        <v>0</v>
      </c>
      <c r="AM21" s="87">
        <f ca="1">IF(AND(OP="11",RAMX=DEC2BIN(COLUMN(AM21)-1,8),RAMY=DEC2BIN(ROW(AM21)-1,8)),DATA,AM21)</f>
        <v>0</v>
      </c>
      <c r="AN21" s="87">
        <f ca="1">IF(AND(OP="11",RAMX=DEC2BIN(COLUMN(AN21)-1,8),RAMY=DEC2BIN(ROW(AN21)-1,8)),DATA,AN21)</f>
        <v>0</v>
      </c>
      <c r="AO21" s="87">
        <f ca="1">IF(AND(OP="11",RAMX=DEC2BIN(COLUMN(AO21)-1,8),RAMY=DEC2BIN(ROW(AO21)-1,8)),DATA,AO21)</f>
        <v>0</v>
      </c>
      <c r="AP21" s="87">
        <f ca="1">IF(AND(OP="11",RAMX=DEC2BIN(COLUMN(AP21)-1,8),RAMY=DEC2BIN(ROW(AP21)-1,8)),DATA,AP21)</f>
        <v>0</v>
      </c>
      <c r="AQ21" s="87">
        <f ca="1">IF(AND(OP="11",RAMX=DEC2BIN(COLUMN(AQ21)-1,8),RAMY=DEC2BIN(ROW(AQ21)-1,8)),DATA,AQ21)</f>
        <v>0</v>
      </c>
      <c r="AR21" s="87">
        <f ca="1">IF(AND(OP="11",RAMX=DEC2BIN(COLUMN(AR21)-1,8),RAMY=DEC2BIN(ROW(AR21)-1,8)),DATA,AR21)</f>
        <v>0</v>
      </c>
      <c r="AS21" s="87">
        <f ca="1">IF(AND(OP="11",RAMX=DEC2BIN(COLUMN(AS21)-1,8),RAMY=DEC2BIN(ROW(AS21)-1,8)),DATA,AS21)</f>
        <v>0</v>
      </c>
      <c r="AT21" s="87">
        <f ca="1">IF(AND(OP="11",RAMX=DEC2BIN(COLUMN(AT21)-1,8),RAMY=DEC2BIN(ROW(AT21)-1,8)),DATA,AT21)</f>
        <v>0</v>
      </c>
      <c r="AU21" s="87">
        <f ca="1">IF(AND(OP="11",RAMX=DEC2BIN(COLUMN(AU21)-1,8),RAMY=DEC2BIN(ROW(AU21)-1,8)),DATA,AU21)</f>
        <v>0</v>
      </c>
      <c r="AV21" s="87">
        <f ca="1">IF(AND(OP="11",RAMX=DEC2BIN(COLUMN(AV21)-1,8),RAMY=DEC2BIN(ROW(AV21)-1,8)),DATA,AV21)</f>
        <v>0</v>
      </c>
      <c r="AW21" s="87">
        <f ca="1">IF(AND(OP="11",RAMX=DEC2BIN(COLUMN(AW21)-1,8),RAMY=DEC2BIN(ROW(AW21)-1,8)),DATA,AW21)</f>
        <v>0</v>
      </c>
      <c r="AX21" s="87">
        <f ca="1">IF(AND(OP="11",RAMX=DEC2BIN(COLUMN(AX21)-1,8),RAMY=DEC2BIN(ROW(AX21)-1,8)),DATA,AX21)</f>
        <v>0</v>
      </c>
      <c r="AY21" s="87">
        <f ca="1">IF(AND(OP="11",RAMX=DEC2BIN(COLUMN(AY21)-1,8),RAMY=DEC2BIN(ROW(AY21)-1,8)),DATA,AY21)</f>
        <v>0</v>
      </c>
      <c r="AZ21" s="87">
        <f ca="1">IF(AND(OP="11",RAMX=DEC2BIN(COLUMN(AZ21)-1,8),RAMY=DEC2BIN(ROW(AZ21)-1,8)),DATA,AZ21)</f>
        <v>0</v>
      </c>
      <c r="BA21" s="87">
        <f ca="1">IF(AND(OP="11",RAMX=DEC2BIN(COLUMN(BA21)-1,8),RAMY=DEC2BIN(ROW(BA21)-1,8)),DATA,BA21)</f>
        <v>0</v>
      </c>
      <c r="BB21" s="87">
        <f ca="1">IF(AND(OP="11",RAMX=DEC2BIN(COLUMN(BB21)-1,8),RAMY=DEC2BIN(ROW(BB21)-1,8)),DATA,BB21)</f>
        <v>0</v>
      </c>
      <c r="BC21" s="87">
        <f ca="1">IF(AND(OP="11",RAMX=DEC2BIN(COLUMN(BC21)-1,8),RAMY=DEC2BIN(ROW(BC21)-1,8)),DATA,BC21)</f>
        <v>0</v>
      </c>
      <c r="BD21" s="87">
        <f ca="1">IF(AND(OP="11",RAMX=DEC2BIN(COLUMN(BD21)-1,8),RAMY=DEC2BIN(ROW(BD21)-1,8)),DATA,BD21)</f>
        <v>0</v>
      </c>
      <c r="BE21" s="87">
        <f ca="1">IF(AND(OP="11",RAMX=DEC2BIN(COLUMN(BE21)-1,8),RAMY=DEC2BIN(ROW(BE21)-1,8)),DATA,BE21)</f>
        <v>0</v>
      </c>
      <c r="BF21" s="87">
        <f ca="1">IF(AND(OP="11",RAMX=DEC2BIN(COLUMN(BF21)-1,8),RAMY=DEC2BIN(ROW(BF21)-1,8)),DATA,BF21)</f>
        <v>0</v>
      </c>
      <c r="BG21" s="87">
        <f ca="1">IF(AND(OP="11",RAMX=DEC2BIN(COLUMN(BG21)-1,8),RAMY=DEC2BIN(ROW(BG21)-1,8)),DATA,BG21)</f>
        <v>0</v>
      </c>
      <c r="BH21" s="87">
        <f ca="1">IF(AND(OP="11",RAMX=DEC2BIN(COLUMN(BH21)-1,8),RAMY=DEC2BIN(ROW(BH21)-1,8)),DATA,BH21)</f>
        <v>0</v>
      </c>
      <c r="BI21" s="87">
        <f ca="1">IF(AND(OP="11",RAMX=DEC2BIN(COLUMN(BI21)-1,8),RAMY=DEC2BIN(ROW(BI21)-1,8)),DATA,BI21)</f>
        <v>0</v>
      </c>
      <c r="BJ21" s="87">
        <f ca="1">IF(AND(OP="11",RAMX=DEC2BIN(COLUMN(BJ21)-1,8),RAMY=DEC2BIN(ROW(BJ21)-1,8)),DATA,BJ21)</f>
        <v>0</v>
      </c>
      <c r="BK21" s="87">
        <f ca="1">IF(AND(OP="11",RAMX=DEC2BIN(COLUMN(BK21)-1,8),RAMY=DEC2BIN(ROW(BK21)-1,8)),DATA,BK21)</f>
        <v>0</v>
      </c>
      <c r="BL21" s="87">
        <f ca="1">IF(AND(OP="11",RAMX=DEC2BIN(COLUMN(BL21)-1,8),RAMY=DEC2BIN(ROW(BL21)-1,8)),DATA,BL21)</f>
        <v>0</v>
      </c>
    </row>
    <row r="22" spans="1:64" x14ac:dyDescent="0.25">
      <c r="A22" s="87">
        <f ca="1">IF(AND(OP="11",RAMX=DEC2BIN(COLUMN(A22)-1,8),RAMY=DEC2BIN(ROW(A22)-1,8)),DATA,A22)</f>
        <v>0</v>
      </c>
      <c r="B22" s="87">
        <f ca="1">IF(AND(OP="11",RAMX=DEC2BIN(COLUMN(B22)-1,8),RAMY=DEC2BIN(ROW(B22)-1,8)),DATA,B22)</f>
        <v>0</v>
      </c>
      <c r="C22" s="87">
        <f ca="1">IF(AND(OP="11",RAMX=DEC2BIN(COLUMN(C22)-1,8),RAMY=DEC2BIN(ROW(C22)-1,8)),DATA,C22)</f>
        <v>0</v>
      </c>
      <c r="D22" s="87">
        <f ca="1">IF(AND(OP="11",RAMX=DEC2BIN(COLUMN(D22)-1,8),RAMY=DEC2BIN(ROW(D22)-1,8)),DATA,D22)</f>
        <v>0</v>
      </c>
      <c r="E22" s="87">
        <f ca="1">IF(AND(OP="11",RAMX=DEC2BIN(COLUMN(E22)-1,8),RAMY=DEC2BIN(ROW(E22)-1,8)),DATA,E22)</f>
        <v>0</v>
      </c>
      <c r="F22" s="87">
        <f ca="1">IF(AND(OP="11",RAMX=DEC2BIN(COLUMN(F22)-1,8),RAMY=DEC2BIN(ROW(F22)-1,8)),DATA,F22)</f>
        <v>0</v>
      </c>
      <c r="G22" s="87">
        <f ca="1">IF(AND(OP="11",RAMX=DEC2BIN(COLUMN(G22)-1,8),RAMY=DEC2BIN(ROW(G22)-1,8)),DATA,G22)</f>
        <v>0</v>
      </c>
      <c r="H22" s="87">
        <f ca="1">IF(AND(OP="11",RAMX=DEC2BIN(COLUMN(H22)-1,8),RAMY=DEC2BIN(ROW(H22)-1,8)),DATA,H22)</f>
        <v>0</v>
      </c>
      <c r="I22" s="87">
        <f ca="1">IF(AND(OP="11",RAMX=DEC2BIN(COLUMN(I22)-1,8),RAMY=DEC2BIN(ROW(I22)-1,8)),DATA,I22)</f>
        <v>0</v>
      </c>
      <c r="J22" s="87">
        <f ca="1">IF(AND(OP="11",RAMX=DEC2BIN(COLUMN(J22)-1,8),RAMY=DEC2BIN(ROW(J22)-1,8)),DATA,J22)</f>
        <v>0</v>
      </c>
      <c r="K22" s="87">
        <f ca="1">IF(AND(OP="11",RAMX=DEC2BIN(COLUMN(K22)-1,8),RAMY=DEC2BIN(ROW(K22)-1,8)),DATA,K22)</f>
        <v>0</v>
      </c>
      <c r="L22" s="87">
        <f ca="1">IF(AND(OP="11",RAMX=DEC2BIN(COLUMN(L22)-1,8),RAMY=DEC2BIN(ROW(L22)-1,8)),DATA,L22)</f>
        <v>0</v>
      </c>
      <c r="M22" s="87">
        <f ca="1">IF(AND(OP="11",RAMX=DEC2BIN(COLUMN(M22)-1,8),RAMY=DEC2BIN(ROW(M22)-1,8)),DATA,M22)</f>
        <v>0</v>
      </c>
      <c r="N22" s="87">
        <f ca="1">IF(AND(OP="11",RAMX=DEC2BIN(COLUMN(N22)-1,8),RAMY=DEC2BIN(ROW(N22)-1,8)),DATA,N22)</f>
        <v>0</v>
      </c>
      <c r="O22" s="87">
        <f ca="1">IF(AND(OP="11",RAMX=DEC2BIN(COLUMN(O22)-1,8),RAMY=DEC2BIN(ROW(O22)-1,8)),DATA,O22)</f>
        <v>0</v>
      </c>
      <c r="P22" s="87">
        <f ca="1">IF(AND(OP="11",RAMX=DEC2BIN(COLUMN(P22)-1,8),RAMY=DEC2BIN(ROW(P22)-1,8)),DATA,P22)</f>
        <v>0</v>
      </c>
      <c r="Q22" s="87">
        <f ca="1">IF(AND(OP="11",RAMX=DEC2BIN(COLUMN(Q22)-1,8),RAMY=DEC2BIN(ROW(Q22)-1,8)),DATA,Q22)</f>
        <v>0</v>
      </c>
      <c r="R22" s="87">
        <f ca="1">IF(AND(OP="11",RAMX=DEC2BIN(COLUMN(R22)-1,8),RAMY=DEC2BIN(ROW(R22)-1,8)),DATA,R22)</f>
        <v>0</v>
      </c>
      <c r="S22" s="87">
        <f ca="1">IF(AND(OP="11",RAMX=DEC2BIN(COLUMN(S22)-1,8),RAMY=DEC2BIN(ROW(S22)-1,8)),DATA,S22)</f>
        <v>0</v>
      </c>
      <c r="T22" s="87">
        <f ca="1">IF(AND(OP="11",RAMX=DEC2BIN(COLUMN(T22)-1,8),RAMY=DEC2BIN(ROW(T22)-1,8)),DATA,T22)</f>
        <v>0</v>
      </c>
      <c r="U22" s="87">
        <f ca="1">IF(AND(OP="11",RAMX=DEC2BIN(COLUMN(U22)-1,8),RAMY=DEC2BIN(ROW(U22)-1,8)),DATA,U22)</f>
        <v>0</v>
      </c>
      <c r="V22" s="87">
        <f ca="1">IF(AND(OP="11",RAMX=DEC2BIN(COLUMN(V22)-1,8),RAMY=DEC2BIN(ROW(V22)-1,8)),DATA,V22)</f>
        <v>0</v>
      </c>
      <c r="W22" s="87">
        <f ca="1">IF(AND(OP="11",RAMX=DEC2BIN(COLUMN(W22)-1,8),RAMY=DEC2BIN(ROW(W22)-1,8)),DATA,W22)</f>
        <v>0</v>
      </c>
      <c r="X22" s="87">
        <f ca="1">IF(AND(OP="11",RAMX=DEC2BIN(COLUMN(X22)-1,8),RAMY=DEC2BIN(ROW(X22)-1,8)),DATA,X22)</f>
        <v>0</v>
      </c>
      <c r="Y22" s="87">
        <f ca="1">IF(AND(OP="11",RAMX=DEC2BIN(COLUMN(Y22)-1,8),RAMY=DEC2BIN(ROW(Y22)-1,8)),DATA,Y22)</f>
        <v>0</v>
      </c>
      <c r="Z22" s="87">
        <f ca="1">IF(AND(OP="11",RAMX=DEC2BIN(COLUMN(Z22)-1,8),RAMY=DEC2BIN(ROW(Z22)-1,8)),DATA,Z22)</f>
        <v>0</v>
      </c>
      <c r="AA22" s="87">
        <f ca="1">IF(AND(OP="11",RAMX=DEC2BIN(COLUMN(AA22)-1,8),RAMY=DEC2BIN(ROW(AA22)-1,8)),DATA,AA22)</f>
        <v>0</v>
      </c>
      <c r="AB22" s="87">
        <f ca="1">IF(AND(OP="11",RAMX=DEC2BIN(COLUMN(AB22)-1,8),RAMY=DEC2BIN(ROW(AB22)-1,8)),DATA,AB22)</f>
        <v>0</v>
      </c>
      <c r="AC22" s="87">
        <f ca="1">IF(AND(OP="11",RAMX=DEC2BIN(COLUMN(AC22)-1,8),RAMY=DEC2BIN(ROW(AC22)-1,8)),DATA,AC22)</f>
        <v>0</v>
      </c>
      <c r="AD22" s="87">
        <f ca="1">IF(AND(OP="11",RAMX=DEC2BIN(COLUMN(AD22)-1,8),RAMY=DEC2BIN(ROW(AD22)-1,8)),DATA,AD22)</f>
        <v>0</v>
      </c>
      <c r="AE22" s="87">
        <f ca="1">IF(AND(OP="11",RAMX=DEC2BIN(COLUMN(AE22)-1,8),RAMY=DEC2BIN(ROW(AE22)-1,8)),DATA,AE22)</f>
        <v>0</v>
      </c>
      <c r="AF22" s="87">
        <f ca="1">IF(AND(OP="11",RAMX=DEC2BIN(COLUMN(AF22)-1,8),RAMY=DEC2BIN(ROW(AF22)-1,8)),DATA,AF22)</f>
        <v>0</v>
      </c>
      <c r="AG22" s="87">
        <f ca="1">IF(AND(OP="11",RAMX=DEC2BIN(COLUMN(AG22)-1,8),RAMY=DEC2BIN(ROW(AG22)-1,8)),DATA,AG22)</f>
        <v>0</v>
      </c>
      <c r="AH22" s="87">
        <f ca="1">IF(AND(OP="11",RAMX=DEC2BIN(COLUMN(AH22)-1,8),RAMY=DEC2BIN(ROW(AH22)-1,8)),DATA,AH22)</f>
        <v>0</v>
      </c>
      <c r="AI22" s="87">
        <f ca="1">IF(AND(OP="11",RAMX=DEC2BIN(COLUMN(AI22)-1,8),RAMY=DEC2BIN(ROW(AI22)-1,8)),DATA,AI22)</f>
        <v>0</v>
      </c>
      <c r="AJ22" s="87">
        <f ca="1">IF(AND(OP="11",RAMX=DEC2BIN(COLUMN(AJ22)-1,8),RAMY=DEC2BIN(ROW(AJ22)-1,8)),DATA,AJ22)</f>
        <v>0</v>
      </c>
      <c r="AK22" s="87">
        <f ca="1">IF(AND(OP="11",RAMX=DEC2BIN(COLUMN(AK22)-1,8),RAMY=DEC2BIN(ROW(AK22)-1,8)),DATA,AK22)</f>
        <v>0</v>
      </c>
      <c r="AL22" s="87">
        <f ca="1">IF(AND(OP="11",RAMX=DEC2BIN(COLUMN(AL22)-1,8),RAMY=DEC2BIN(ROW(AL22)-1,8)),DATA,AL22)</f>
        <v>0</v>
      </c>
      <c r="AM22" s="87">
        <f ca="1">IF(AND(OP="11",RAMX=DEC2BIN(COLUMN(AM22)-1,8),RAMY=DEC2BIN(ROW(AM22)-1,8)),DATA,AM22)</f>
        <v>0</v>
      </c>
      <c r="AN22" s="87">
        <f ca="1">IF(AND(OP="11",RAMX=DEC2BIN(COLUMN(AN22)-1,8),RAMY=DEC2BIN(ROW(AN22)-1,8)),DATA,AN22)</f>
        <v>0</v>
      </c>
      <c r="AO22" s="87">
        <f ca="1">IF(AND(OP="11",RAMX=DEC2BIN(COLUMN(AO22)-1,8),RAMY=DEC2BIN(ROW(AO22)-1,8)),DATA,AO22)</f>
        <v>0</v>
      </c>
      <c r="AP22" s="87">
        <f ca="1">IF(AND(OP="11",RAMX=DEC2BIN(COLUMN(AP22)-1,8),RAMY=DEC2BIN(ROW(AP22)-1,8)),DATA,AP22)</f>
        <v>0</v>
      </c>
      <c r="AQ22" s="87">
        <f ca="1">IF(AND(OP="11",RAMX=DEC2BIN(COLUMN(AQ22)-1,8),RAMY=DEC2BIN(ROW(AQ22)-1,8)),DATA,AQ22)</f>
        <v>0</v>
      </c>
      <c r="AR22" s="87">
        <f ca="1">IF(AND(OP="11",RAMX=DEC2BIN(COLUMN(AR22)-1,8),RAMY=DEC2BIN(ROW(AR22)-1,8)),DATA,AR22)</f>
        <v>0</v>
      </c>
      <c r="AS22" s="87">
        <f ca="1">IF(AND(OP="11",RAMX=DEC2BIN(COLUMN(AS22)-1,8),RAMY=DEC2BIN(ROW(AS22)-1,8)),DATA,AS22)</f>
        <v>0</v>
      </c>
      <c r="AT22" s="87">
        <f ca="1">IF(AND(OP="11",RAMX=DEC2BIN(COLUMN(AT22)-1,8),RAMY=DEC2BIN(ROW(AT22)-1,8)),DATA,AT22)</f>
        <v>0</v>
      </c>
      <c r="AU22" s="87">
        <f ca="1">IF(AND(OP="11",RAMX=DEC2BIN(COLUMN(AU22)-1,8),RAMY=DEC2BIN(ROW(AU22)-1,8)),DATA,AU22)</f>
        <v>0</v>
      </c>
      <c r="AV22" s="87">
        <f ca="1">IF(AND(OP="11",RAMX=DEC2BIN(COLUMN(AV22)-1,8),RAMY=DEC2BIN(ROW(AV22)-1,8)),DATA,AV22)</f>
        <v>0</v>
      </c>
      <c r="AW22" s="87">
        <f ca="1">IF(AND(OP="11",RAMX=DEC2BIN(COLUMN(AW22)-1,8),RAMY=DEC2BIN(ROW(AW22)-1,8)),DATA,AW22)</f>
        <v>0</v>
      </c>
      <c r="AX22" s="87">
        <f ca="1">IF(AND(OP="11",RAMX=DEC2BIN(COLUMN(AX22)-1,8),RAMY=DEC2BIN(ROW(AX22)-1,8)),DATA,AX22)</f>
        <v>0</v>
      </c>
      <c r="AY22" s="87">
        <f ca="1">IF(AND(OP="11",RAMX=DEC2BIN(COLUMN(AY22)-1,8),RAMY=DEC2BIN(ROW(AY22)-1,8)),DATA,AY22)</f>
        <v>0</v>
      </c>
      <c r="AZ22" s="87">
        <f ca="1">IF(AND(OP="11",RAMX=DEC2BIN(COLUMN(AZ22)-1,8),RAMY=DEC2BIN(ROW(AZ22)-1,8)),DATA,AZ22)</f>
        <v>0</v>
      </c>
      <c r="BA22" s="87">
        <f ca="1">IF(AND(OP="11",RAMX=DEC2BIN(COLUMN(BA22)-1,8),RAMY=DEC2BIN(ROW(BA22)-1,8)),DATA,BA22)</f>
        <v>0</v>
      </c>
      <c r="BB22" s="87">
        <f ca="1">IF(AND(OP="11",RAMX=DEC2BIN(COLUMN(BB22)-1,8),RAMY=DEC2BIN(ROW(BB22)-1,8)),DATA,BB22)</f>
        <v>0</v>
      </c>
      <c r="BC22" s="87">
        <f ca="1">IF(AND(OP="11",RAMX=DEC2BIN(COLUMN(BC22)-1,8),RAMY=DEC2BIN(ROW(BC22)-1,8)),DATA,BC22)</f>
        <v>0</v>
      </c>
      <c r="BD22" s="87">
        <f ca="1">IF(AND(OP="11",RAMX=DEC2BIN(COLUMN(BD22)-1,8),RAMY=DEC2BIN(ROW(BD22)-1,8)),DATA,BD22)</f>
        <v>0</v>
      </c>
      <c r="BE22" s="87">
        <f ca="1">IF(AND(OP="11",RAMX=DEC2BIN(COLUMN(BE22)-1,8),RAMY=DEC2BIN(ROW(BE22)-1,8)),DATA,BE22)</f>
        <v>0</v>
      </c>
      <c r="BF22" s="87">
        <f ca="1">IF(AND(OP="11",RAMX=DEC2BIN(COLUMN(BF22)-1,8),RAMY=DEC2BIN(ROW(BF22)-1,8)),DATA,BF22)</f>
        <v>0</v>
      </c>
      <c r="BG22" s="87">
        <f ca="1">IF(AND(OP="11",RAMX=DEC2BIN(COLUMN(BG22)-1,8),RAMY=DEC2BIN(ROW(BG22)-1,8)),DATA,BG22)</f>
        <v>0</v>
      </c>
      <c r="BH22" s="87">
        <f ca="1">IF(AND(OP="11",RAMX=DEC2BIN(COLUMN(BH22)-1,8),RAMY=DEC2BIN(ROW(BH22)-1,8)),DATA,BH22)</f>
        <v>0</v>
      </c>
      <c r="BI22" s="87">
        <f ca="1">IF(AND(OP="11",RAMX=DEC2BIN(COLUMN(BI22)-1,8),RAMY=DEC2BIN(ROW(BI22)-1,8)),DATA,BI22)</f>
        <v>0</v>
      </c>
      <c r="BJ22" s="87">
        <f ca="1">IF(AND(OP="11",RAMX=DEC2BIN(COLUMN(BJ22)-1,8),RAMY=DEC2BIN(ROW(BJ22)-1,8)),DATA,BJ22)</f>
        <v>0</v>
      </c>
      <c r="BK22" s="87">
        <f ca="1">IF(AND(OP="11",RAMX=DEC2BIN(COLUMN(BK22)-1,8),RAMY=DEC2BIN(ROW(BK22)-1,8)),DATA,BK22)</f>
        <v>0</v>
      </c>
      <c r="BL22" s="87">
        <f ca="1">IF(AND(OP="11",RAMX=DEC2BIN(COLUMN(BL22)-1,8),RAMY=DEC2BIN(ROW(BL22)-1,8)),DATA,BL22)</f>
        <v>0</v>
      </c>
    </row>
    <row r="23" spans="1:64" x14ac:dyDescent="0.25">
      <c r="A23" s="87">
        <f ca="1">IF(AND(OP="11",RAMX=DEC2BIN(COLUMN(A23)-1,8),RAMY=DEC2BIN(ROW(A23)-1,8)),DATA,A23)</f>
        <v>0</v>
      </c>
      <c r="B23" s="87">
        <f ca="1">IF(AND(OP="11",RAMX=DEC2BIN(COLUMN(B23)-1,8),RAMY=DEC2BIN(ROW(B23)-1,8)),DATA,B23)</f>
        <v>0</v>
      </c>
      <c r="C23" s="87">
        <f ca="1">IF(AND(OP="11",RAMX=DEC2BIN(COLUMN(C23)-1,8),RAMY=DEC2BIN(ROW(C23)-1,8)),DATA,C23)</f>
        <v>0</v>
      </c>
      <c r="D23" s="87">
        <f ca="1">IF(AND(OP="11",RAMX=DEC2BIN(COLUMN(D23)-1,8),RAMY=DEC2BIN(ROW(D23)-1,8)),DATA,D23)</f>
        <v>0</v>
      </c>
      <c r="E23" s="87">
        <f ca="1">IF(AND(OP="11",RAMX=DEC2BIN(COLUMN(E23)-1,8),RAMY=DEC2BIN(ROW(E23)-1,8)),DATA,E23)</f>
        <v>0</v>
      </c>
      <c r="F23" s="87">
        <f ca="1">IF(AND(OP="11",RAMX=DEC2BIN(COLUMN(F23)-1,8),RAMY=DEC2BIN(ROW(F23)-1,8)),DATA,F23)</f>
        <v>0</v>
      </c>
      <c r="G23" s="87">
        <f ca="1">IF(AND(OP="11",RAMX=DEC2BIN(COLUMN(G23)-1,8),RAMY=DEC2BIN(ROW(G23)-1,8)),DATA,G23)</f>
        <v>0</v>
      </c>
      <c r="H23" s="87">
        <f ca="1">IF(AND(OP="11",RAMX=DEC2BIN(COLUMN(H23)-1,8),RAMY=DEC2BIN(ROW(H23)-1,8)),DATA,H23)</f>
        <v>0</v>
      </c>
      <c r="I23" s="87">
        <f ca="1">IF(AND(OP="11",RAMX=DEC2BIN(COLUMN(I23)-1,8),RAMY=DEC2BIN(ROW(I23)-1,8)),DATA,I23)</f>
        <v>0</v>
      </c>
      <c r="J23" s="87">
        <f ca="1">IF(AND(OP="11",RAMX=DEC2BIN(COLUMN(J23)-1,8),RAMY=DEC2BIN(ROW(J23)-1,8)),DATA,J23)</f>
        <v>0</v>
      </c>
      <c r="K23" s="87">
        <f ca="1">IF(AND(OP="11",RAMX=DEC2BIN(COLUMN(K23)-1,8),RAMY=DEC2BIN(ROW(K23)-1,8)),DATA,K23)</f>
        <v>0</v>
      </c>
      <c r="L23" s="87">
        <f ca="1">IF(AND(OP="11",RAMX=DEC2BIN(COLUMN(L23)-1,8),RAMY=DEC2BIN(ROW(L23)-1,8)),DATA,L23)</f>
        <v>0</v>
      </c>
      <c r="M23" s="87">
        <f ca="1">IF(AND(OP="11",RAMX=DEC2BIN(COLUMN(M23)-1,8),RAMY=DEC2BIN(ROW(M23)-1,8)),DATA,M23)</f>
        <v>0</v>
      </c>
      <c r="N23" s="87">
        <f ca="1">IF(AND(OP="11",RAMX=DEC2BIN(COLUMN(N23)-1,8),RAMY=DEC2BIN(ROW(N23)-1,8)),DATA,N23)</f>
        <v>0</v>
      </c>
      <c r="O23" s="87">
        <f ca="1">IF(AND(OP="11",RAMX=DEC2BIN(COLUMN(O23)-1,8),RAMY=DEC2BIN(ROW(O23)-1,8)),DATA,O23)</f>
        <v>0</v>
      </c>
      <c r="P23" s="87">
        <f ca="1">IF(AND(OP="11",RAMX=DEC2BIN(COLUMN(P23)-1,8),RAMY=DEC2BIN(ROW(P23)-1,8)),DATA,P23)</f>
        <v>0</v>
      </c>
      <c r="Q23" s="87">
        <f ca="1">IF(AND(OP="11",RAMX=DEC2BIN(COLUMN(Q23)-1,8),RAMY=DEC2BIN(ROW(Q23)-1,8)),DATA,Q23)</f>
        <v>0</v>
      </c>
      <c r="R23" s="87">
        <f ca="1">IF(AND(OP="11",RAMX=DEC2BIN(COLUMN(R23)-1,8),RAMY=DEC2BIN(ROW(R23)-1,8)),DATA,R23)</f>
        <v>0</v>
      </c>
      <c r="S23" s="87">
        <f ca="1">IF(AND(OP="11",RAMX=DEC2BIN(COLUMN(S23)-1,8),RAMY=DEC2BIN(ROW(S23)-1,8)),DATA,S23)</f>
        <v>0</v>
      </c>
      <c r="T23" s="87">
        <f ca="1">IF(AND(OP="11",RAMX=DEC2BIN(COLUMN(T23)-1,8),RAMY=DEC2BIN(ROW(T23)-1,8)),DATA,T23)</f>
        <v>0</v>
      </c>
      <c r="U23" s="87">
        <f ca="1">IF(AND(OP="11",RAMX=DEC2BIN(COLUMN(U23)-1,8),RAMY=DEC2BIN(ROW(U23)-1,8)),DATA,U23)</f>
        <v>0</v>
      </c>
      <c r="V23" s="87">
        <f ca="1">IF(AND(OP="11",RAMX=DEC2BIN(COLUMN(V23)-1,8),RAMY=DEC2BIN(ROW(V23)-1,8)),DATA,V23)</f>
        <v>0</v>
      </c>
      <c r="W23" s="87">
        <f ca="1">IF(AND(OP="11",RAMX=DEC2BIN(COLUMN(W23)-1,8),RAMY=DEC2BIN(ROW(W23)-1,8)),DATA,W23)</f>
        <v>0</v>
      </c>
      <c r="X23" s="87">
        <f ca="1">IF(AND(OP="11",RAMX=DEC2BIN(COLUMN(X23)-1,8),RAMY=DEC2BIN(ROW(X23)-1,8)),DATA,X23)</f>
        <v>0</v>
      </c>
      <c r="Y23" s="87">
        <f ca="1">IF(AND(OP="11",RAMX=DEC2BIN(COLUMN(Y23)-1,8),RAMY=DEC2BIN(ROW(Y23)-1,8)),DATA,Y23)</f>
        <v>0</v>
      </c>
      <c r="Z23" s="87">
        <f ca="1">IF(AND(OP="11",RAMX=DEC2BIN(COLUMN(Z23)-1,8),RAMY=DEC2BIN(ROW(Z23)-1,8)),DATA,Z23)</f>
        <v>0</v>
      </c>
      <c r="AA23" s="87">
        <f ca="1">IF(AND(OP="11",RAMX=DEC2BIN(COLUMN(AA23)-1,8),RAMY=DEC2BIN(ROW(AA23)-1,8)),DATA,AA23)</f>
        <v>0</v>
      </c>
      <c r="AB23" s="87">
        <f ca="1">IF(AND(OP="11",RAMX=DEC2BIN(COLUMN(AB23)-1,8),RAMY=DEC2BIN(ROW(AB23)-1,8)),DATA,AB23)</f>
        <v>0</v>
      </c>
      <c r="AC23" s="87">
        <f ca="1">IF(AND(OP="11",RAMX=DEC2BIN(COLUMN(AC23)-1,8),RAMY=DEC2BIN(ROW(AC23)-1,8)),DATA,AC23)</f>
        <v>0</v>
      </c>
      <c r="AD23" s="87">
        <f ca="1">IF(AND(OP="11",RAMX=DEC2BIN(COLUMN(AD23)-1,8),RAMY=DEC2BIN(ROW(AD23)-1,8)),DATA,AD23)</f>
        <v>0</v>
      </c>
      <c r="AE23" s="87">
        <f ca="1">IF(AND(OP="11",RAMX=DEC2BIN(COLUMN(AE23)-1,8),RAMY=DEC2BIN(ROW(AE23)-1,8)),DATA,AE23)</f>
        <v>0</v>
      </c>
      <c r="AF23" s="87">
        <f ca="1">IF(AND(OP="11",RAMX=DEC2BIN(COLUMN(AF23)-1,8),RAMY=DEC2BIN(ROW(AF23)-1,8)),DATA,AF23)</f>
        <v>0</v>
      </c>
      <c r="AG23" s="87">
        <f ca="1">IF(AND(OP="11",RAMX=DEC2BIN(COLUMN(AG23)-1,8),RAMY=DEC2BIN(ROW(AG23)-1,8)),DATA,AG23)</f>
        <v>0</v>
      </c>
      <c r="AH23" s="87">
        <f ca="1">IF(AND(OP="11",RAMX=DEC2BIN(COLUMN(AH23)-1,8),RAMY=DEC2BIN(ROW(AH23)-1,8)),DATA,AH23)</f>
        <v>0</v>
      </c>
      <c r="AI23" s="87">
        <f ca="1">IF(AND(OP="11",RAMX=DEC2BIN(COLUMN(AI23)-1,8),RAMY=DEC2BIN(ROW(AI23)-1,8)),DATA,AI23)</f>
        <v>0</v>
      </c>
      <c r="AJ23" s="87">
        <f ca="1">IF(AND(OP="11",RAMX=DEC2BIN(COLUMN(AJ23)-1,8),RAMY=DEC2BIN(ROW(AJ23)-1,8)),DATA,AJ23)</f>
        <v>0</v>
      </c>
      <c r="AK23" s="87">
        <f ca="1">IF(AND(OP="11",RAMX=DEC2BIN(COLUMN(AK23)-1,8),RAMY=DEC2BIN(ROW(AK23)-1,8)),DATA,AK23)</f>
        <v>0</v>
      </c>
      <c r="AL23" s="87">
        <f ca="1">IF(AND(OP="11",RAMX=DEC2BIN(COLUMN(AL23)-1,8),RAMY=DEC2BIN(ROW(AL23)-1,8)),DATA,AL23)</f>
        <v>0</v>
      </c>
      <c r="AM23" s="87">
        <f ca="1">IF(AND(OP="11",RAMX=DEC2BIN(COLUMN(AM23)-1,8),RAMY=DEC2BIN(ROW(AM23)-1,8)),DATA,AM23)</f>
        <v>0</v>
      </c>
      <c r="AN23" s="87">
        <f ca="1">IF(AND(OP="11",RAMX=DEC2BIN(COLUMN(AN23)-1,8),RAMY=DEC2BIN(ROW(AN23)-1,8)),DATA,AN23)</f>
        <v>0</v>
      </c>
      <c r="AO23" s="87">
        <f ca="1">IF(AND(OP="11",RAMX=DEC2BIN(COLUMN(AO23)-1,8),RAMY=DEC2BIN(ROW(AO23)-1,8)),DATA,AO23)</f>
        <v>0</v>
      </c>
      <c r="AP23" s="87">
        <f ca="1">IF(AND(OP="11",RAMX=DEC2BIN(COLUMN(AP23)-1,8),RAMY=DEC2BIN(ROW(AP23)-1,8)),DATA,AP23)</f>
        <v>0</v>
      </c>
      <c r="AQ23" s="87">
        <f ca="1">IF(AND(OP="11",RAMX=DEC2BIN(COLUMN(AQ23)-1,8),RAMY=DEC2BIN(ROW(AQ23)-1,8)),DATA,AQ23)</f>
        <v>0</v>
      </c>
      <c r="AR23" s="87">
        <f ca="1">IF(AND(OP="11",RAMX=DEC2BIN(COLUMN(AR23)-1,8),RAMY=DEC2BIN(ROW(AR23)-1,8)),DATA,AR23)</f>
        <v>0</v>
      </c>
      <c r="AS23" s="87">
        <f ca="1">IF(AND(OP="11",RAMX=DEC2BIN(COLUMN(AS23)-1,8),RAMY=DEC2BIN(ROW(AS23)-1,8)),DATA,AS23)</f>
        <v>0</v>
      </c>
      <c r="AT23" s="87">
        <f ca="1">IF(AND(OP="11",RAMX=DEC2BIN(COLUMN(AT23)-1,8),RAMY=DEC2BIN(ROW(AT23)-1,8)),DATA,AT23)</f>
        <v>0</v>
      </c>
      <c r="AU23" s="87">
        <f ca="1">IF(AND(OP="11",RAMX=DEC2BIN(COLUMN(AU23)-1,8),RAMY=DEC2BIN(ROW(AU23)-1,8)),DATA,AU23)</f>
        <v>0</v>
      </c>
      <c r="AV23" s="87">
        <f ca="1">IF(AND(OP="11",RAMX=DEC2BIN(COLUMN(AV23)-1,8),RAMY=DEC2BIN(ROW(AV23)-1,8)),DATA,AV23)</f>
        <v>0</v>
      </c>
      <c r="AW23" s="87">
        <f ca="1">IF(AND(OP="11",RAMX=DEC2BIN(COLUMN(AW23)-1,8),RAMY=DEC2BIN(ROW(AW23)-1,8)),DATA,AW23)</f>
        <v>0</v>
      </c>
      <c r="AX23" s="87">
        <f ca="1">IF(AND(OP="11",RAMX=DEC2BIN(COLUMN(AX23)-1,8),RAMY=DEC2BIN(ROW(AX23)-1,8)),DATA,AX23)</f>
        <v>0</v>
      </c>
      <c r="AY23" s="87">
        <f ca="1">IF(AND(OP="11",RAMX=DEC2BIN(COLUMN(AY23)-1,8),RAMY=DEC2BIN(ROW(AY23)-1,8)),DATA,AY23)</f>
        <v>0</v>
      </c>
      <c r="AZ23" s="87">
        <f ca="1">IF(AND(OP="11",RAMX=DEC2BIN(COLUMN(AZ23)-1,8),RAMY=DEC2BIN(ROW(AZ23)-1,8)),DATA,AZ23)</f>
        <v>0</v>
      </c>
      <c r="BA23" s="87">
        <f ca="1">IF(AND(OP="11",RAMX=DEC2BIN(COLUMN(BA23)-1,8),RAMY=DEC2BIN(ROW(BA23)-1,8)),DATA,BA23)</f>
        <v>0</v>
      </c>
      <c r="BB23" s="87">
        <f ca="1">IF(AND(OP="11",RAMX=DEC2BIN(COLUMN(BB23)-1,8),RAMY=DEC2BIN(ROW(BB23)-1,8)),DATA,BB23)</f>
        <v>0</v>
      </c>
      <c r="BC23" s="87">
        <f ca="1">IF(AND(OP="11",RAMX=DEC2BIN(COLUMN(BC23)-1,8),RAMY=DEC2BIN(ROW(BC23)-1,8)),DATA,BC23)</f>
        <v>0</v>
      </c>
      <c r="BD23" s="87">
        <f ca="1">IF(AND(OP="11",RAMX=DEC2BIN(COLUMN(BD23)-1,8),RAMY=DEC2BIN(ROW(BD23)-1,8)),DATA,BD23)</f>
        <v>0</v>
      </c>
      <c r="BE23" s="87">
        <f ca="1">IF(AND(OP="11",RAMX=DEC2BIN(COLUMN(BE23)-1,8),RAMY=DEC2BIN(ROW(BE23)-1,8)),DATA,BE23)</f>
        <v>0</v>
      </c>
      <c r="BF23" s="87">
        <f ca="1">IF(AND(OP="11",RAMX=DEC2BIN(COLUMN(BF23)-1,8),RAMY=DEC2BIN(ROW(BF23)-1,8)),DATA,BF23)</f>
        <v>0</v>
      </c>
      <c r="BG23" s="87">
        <f ca="1">IF(AND(OP="11",RAMX=DEC2BIN(COLUMN(BG23)-1,8),RAMY=DEC2BIN(ROW(BG23)-1,8)),DATA,BG23)</f>
        <v>0</v>
      </c>
      <c r="BH23" s="87">
        <f ca="1">IF(AND(OP="11",RAMX=DEC2BIN(COLUMN(BH23)-1,8),RAMY=DEC2BIN(ROW(BH23)-1,8)),DATA,BH23)</f>
        <v>0</v>
      </c>
      <c r="BI23" s="87">
        <f ca="1">IF(AND(OP="11",RAMX=DEC2BIN(COLUMN(BI23)-1,8),RAMY=DEC2BIN(ROW(BI23)-1,8)),DATA,BI23)</f>
        <v>0</v>
      </c>
      <c r="BJ23" s="87">
        <f ca="1">IF(AND(OP="11",RAMX=DEC2BIN(COLUMN(BJ23)-1,8),RAMY=DEC2BIN(ROW(BJ23)-1,8)),DATA,BJ23)</f>
        <v>0</v>
      </c>
      <c r="BK23" s="87">
        <f ca="1">IF(AND(OP="11",RAMX=DEC2BIN(COLUMN(BK23)-1,8),RAMY=DEC2BIN(ROW(BK23)-1,8)),DATA,BK23)</f>
        <v>0</v>
      </c>
      <c r="BL23" s="87">
        <f ca="1">IF(AND(OP="11",RAMX=DEC2BIN(COLUMN(BL23)-1,8),RAMY=DEC2BIN(ROW(BL23)-1,8)),DATA,BL23)</f>
        <v>0</v>
      </c>
    </row>
    <row r="24" spans="1:64" x14ac:dyDescent="0.25">
      <c r="A24" s="87">
        <f ca="1">IF(AND(OP="11",RAMX=DEC2BIN(COLUMN(A24)-1,8),RAMY=DEC2BIN(ROW(A24)-1,8)),DATA,A24)</f>
        <v>0</v>
      </c>
      <c r="B24" s="87">
        <f ca="1">IF(AND(OP="11",RAMX=DEC2BIN(COLUMN(B24)-1,8),RAMY=DEC2BIN(ROW(B24)-1,8)),DATA,B24)</f>
        <v>0</v>
      </c>
      <c r="C24" s="87">
        <f ca="1">IF(AND(OP="11",RAMX=DEC2BIN(COLUMN(C24)-1,8),RAMY=DEC2BIN(ROW(C24)-1,8)),DATA,C24)</f>
        <v>0</v>
      </c>
      <c r="D24" s="87">
        <f ca="1">IF(AND(OP="11",RAMX=DEC2BIN(COLUMN(D24)-1,8),RAMY=DEC2BIN(ROW(D24)-1,8)),DATA,D24)</f>
        <v>0</v>
      </c>
      <c r="E24" s="87">
        <f ca="1">IF(AND(OP="11",RAMX=DEC2BIN(COLUMN(E24)-1,8),RAMY=DEC2BIN(ROW(E24)-1,8)),DATA,E24)</f>
        <v>0</v>
      </c>
      <c r="F24" s="87">
        <f ca="1">IF(AND(OP="11",RAMX=DEC2BIN(COLUMN(F24)-1,8),RAMY=DEC2BIN(ROW(F24)-1,8)),DATA,F24)</f>
        <v>0</v>
      </c>
      <c r="G24" s="87">
        <f ca="1">IF(AND(OP="11",RAMX=DEC2BIN(COLUMN(G24)-1,8),RAMY=DEC2BIN(ROW(G24)-1,8)),DATA,G24)</f>
        <v>0</v>
      </c>
      <c r="H24" s="87">
        <f ca="1">IF(AND(OP="11",RAMX=DEC2BIN(COLUMN(H24)-1,8),RAMY=DEC2BIN(ROW(H24)-1,8)),DATA,H24)</f>
        <v>0</v>
      </c>
      <c r="I24" s="87">
        <f ca="1">IF(AND(OP="11",RAMX=DEC2BIN(COLUMN(I24)-1,8),RAMY=DEC2BIN(ROW(I24)-1,8)),DATA,I24)</f>
        <v>0</v>
      </c>
      <c r="J24" s="87">
        <f ca="1">IF(AND(OP="11",RAMX=DEC2BIN(COLUMN(J24)-1,8),RAMY=DEC2BIN(ROW(J24)-1,8)),DATA,J24)</f>
        <v>0</v>
      </c>
      <c r="K24" s="87">
        <f ca="1">IF(AND(OP="11",RAMX=DEC2BIN(COLUMN(K24)-1,8),RAMY=DEC2BIN(ROW(K24)-1,8)),DATA,K24)</f>
        <v>0</v>
      </c>
      <c r="L24" s="87">
        <f ca="1">IF(AND(OP="11",RAMX=DEC2BIN(COLUMN(L24)-1,8),RAMY=DEC2BIN(ROW(L24)-1,8)),DATA,L24)</f>
        <v>0</v>
      </c>
      <c r="M24" s="87">
        <f ca="1">IF(AND(OP="11",RAMX=DEC2BIN(COLUMN(M24)-1,8),RAMY=DEC2BIN(ROW(M24)-1,8)),DATA,M24)</f>
        <v>0</v>
      </c>
      <c r="N24" s="87">
        <f ca="1">IF(AND(OP="11",RAMX=DEC2BIN(COLUMN(N24)-1,8),RAMY=DEC2BIN(ROW(N24)-1,8)),DATA,N24)</f>
        <v>0</v>
      </c>
      <c r="O24" s="87">
        <f ca="1">IF(AND(OP="11",RAMX=DEC2BIN(COLUMN(O24)-1,8),RAMY=DEC2BIN(ROW(O24)-1,8)),DATA,O24)</f>
        <v>0</v>
      </c>
      <c r="P24" s="87">
        <f ca="1">IF(AND(OP="11",RAMX=DEC2BIN(COLUMN(P24)-1,8),RAMY=DEC2BIN(ROW(P24)-1,8)),DATA,P24)</f>
        <v>0</v>
      </c>
      <c r="Q24" s="87">
        <f ca="1">IF(AND(OP="11",RAMX=DEC2BIN(COLUMN(Q24)-1,8),RAMY=DEC2BIN(ROW(Q24)-1,8)),DATA,Q24)</f>
        <v>0</v>
      </c>
      <c r="R24" s="87">
        <f ca="1">IF(AND(OP="11",RAMX=DEC2BIN(COLUMN(R24)-1,8),RAMY=DEC2BIN(ROW(R24)-1,8)),DATA,R24)</f>
        <v>0</v>
      </c>
      <c r="S24" s="87">
        <f ca="1">IF(AND(OP="11",RAMX=DEC2BIN(COLUMN(S24)-1,8),RAMY=DEC2BIN(ROW(S24)-1,8)),DATA,S24)</f>
        <v>0</v>
      </c>
      <c r="T24" s="87">
        <f ca="1">IF(AND(OP="11",RAMX=DEC2BIN(COLUMN(T24)-1,8),RAMY=DEC2BIN(ROW(T24)-1,8)),DATA,T24)</f>
        <v>0</v>
      </c>
      <c r="U24" s="87">
        <f ca="1">IF(AND(OP="11",RAMX=DEC2BIN(COLUMN(U24)-1,8),RAMY=DEC2BIN(ROW(U24)-1,8)),DATA,U24)</f>
        <v>0</v>
      </c>
      <c r="V24" s="87">
        <f ca="1">IF(AND(OP="11",RAMX=DEC2BIN(COLUMN(V24)-1,8),RAMY=DEC2BIN(ROW(V24)-1,8)),DATA,V24)</f>
        <v>0</v>
      </c>
      <c r="W24" s="87">
        <f ca="1">IF(AND(OP="11",RAMX=DEC2BIN(COLUMN(W24)-1,8),RAMY=DEC2BIN(ROW(W24)-1,8)),DATA,W24)</f>
        <v>0</v>
      </c>
      <c r="X24" s="87">
        <f ca="1">IF(AND(OP="11",RAMX=DEC2BIN(COLUMN(X24)-1,8),RAMY=DEC2BIN(ROW(X24)-1,8)),DATA,X24)</f>
        <v>0</v>
      </c>
      <c r="Y24" s="87">
        <f ca="1">IF(AND(OP="11",RAMX=DEC2BIN(COLUMN(Y24)-1,8),RAMY=DEC2BIN(ROW(Y24)-1,8)),DATA,Y24)</f>
        <v>0</v>
      </c>
      <c r="Z24" s="87">
        <f ca="1">IF(AND(OP="11",RAMX=DEC2BIN(COLUMN(Z24)-1,8),RAMY=DEC2BIN(ROW(Z24)-1,8)),DATA,Z24)</f>
        <v>0</v>
      </c>
      <c r="AA24" s="87">
        <f ca="1">IF(AND(OP="11",RAMX=DEC2BIN(COLUMN(AA24)-1,8),RAMY=DEC2BIN(ROW(AA24)-1,8)),DATA,AA24)</f>
        <v>0</v>
      </c>
      <c r="AB24" s="87">
        <f ca="1">IF(AND(OP="11",RAMX=DEC2BIN(COLUMN(AB24)-1,8),RAMY=DEC2BIN(ROW(AB24)-1,8)),DATA,AB24)</f>
        <v>0</v>
      </c>
      <c r="AC24" s="87">
        <f ca="1">IF(AND(OP="11",RAMX=DEC2BIN(COLUMN(AC24)-1,8),RAMY=DEC2BIN(ROW(AC24)-1,8)),DATA,AC24)</f>
        <v>0</v>
      </c>
      <c r="AD24" s="87">
        <f ca="1">IF(AND(OP="11",RAMX=DEC2BIN(COLUMN(AD24)-1,8),RAMY=DEC2BIN(ROW(AD24)-1,8)),DATA,AD24)</f>
        <v>0</v>
      </c>
      <c r="AE24" s="87">
        <f ca="1">IF(AND(OP="11",RAMX=DEC2BIN(COLUMN(AE24)-1,8),RAMY=DEC2BIN(ROW(AE24)-1,8)),DATA,AE24)</f>
        <v>0</v>
      </c>
      <c r="AF24" s="87">
        <f ca="1">IF(AND(OP="11",RAMX=DEC2BIN(COLUMN(AF24)-1,8),RAMY=DEC2BIN(ROW(AF24)-1,8)),DATA,AF24)</f>
        <v>0</v>
      </c>
      <c r="AG24" s="87">
        <f ca="1">IF(AND(OP="11",RAMX=DEC2BIN(COLUMN(AG24)-1,8),RAMY=DEC2BIN(ROW(AG24)-1,8)),DATA,AG24)</f>
        <v>0</v>
      </c>
      <c r="AH24" s="87">
        <f ca="1">IF(AND(OP="11",RAMX=DEC2BIN(COLUMN(AH24)-1,8),RAMY=DEC2BIN(ROW(AH24)-1,8)),DATA,AH24)</f>
        <v>0</v>
      </c>
      <c r="AI24" s="87">
        <f ca="1">IF(AND(OP="11",RAMX=DEC2BIN(COLUMN(AI24)-1,8),RAMY=DEC2BIN(ROW(AI24)-1,8)),DATA,AI24)</f>
        <v>0</v>
      </c>
      <c r="AJ24" s="87">
        <f ca="1">IF(AND(OP="11",RAMX=DEC2BIN(COLUMN(AJ24)-1,8),RAMY=DEC2BIN(ROW(AJ24)-1,8)),DATA,AJ24)</f>
        <v>0</v>
      </c>
      <c r="AK24" s="87">
        <f ca="1">IF(AND(OP="11",RAMX=DEC2BIN(COLUMN(AK24)-1,8),RAMY=DEC2BIN(ROW(AK24)-1,8)),DATA,AK24)</f>
        <v>0</v>
      </c>
      <c r="AL24" s="87">
        <f ca="1">IF(AND(OP="11",RAMX=DEC2BIN(COLUMN(AL24)-1,8),RAMY=DEC2BIN(ROW(AL24)-1,8)),DATA,AL24)</f>
        <v>0</v>
      </c>
      <c r="AM24" s="87">
        <f ca="1">IF(AND(OP="11",RAMX=DEC2BIN(COLUMN(AM24)-1,8),RAMY=DEC2BIN(ROW(AM24)-1,8)),DATA,AM24)</f>
        <v>0</v>
      </c>
      <c r="AN24" s="87">
        <f ca="1">IF(AND(OP="11",RAMX=DEC2BIN(COLUMN(AN24)-1,8),RAMY=DEC2BIN(ROW(AN24)-1,8)),DATA,AN24)</f>
        <v>0</v>
      </c>
      <c r="AO24" s="87">
        <f ca="1">IF(AND(OP="11",RAMX=DEC2BIN(COLUMN(AO24)-1,8),RAMY=DEC2BIN(ROW(AO24)-1,8)),DATA,AO24)</f>
        <v>0</v>
      </c>
      <c r="AP24" s="87">
        <f ca="1">IF(AND(OP="11",RAMX=DEC2BIN(COLUMN(AP24)-1,8),RAMY=DEC2BIN(ROW(AP24)-1,8)),DATA,AP24)</f>
        <v>0</v>
      </c>
      <c r="AQ24" s="87">
        <f ca="1">IF(AND(OP="11",RAMX=DEC2BIN(COLUMN(AQ24)-1,8),RAMY=DEC2BIN(ROW(AQ24)-1,8)),DATA,AQ24)</f>
        <v>0</v>
      </c>
      <c r="AR24" s="87">
        <f ca="1">IF(AND(OP="11",RAMX=DEC2BIN(COLUMN(AR24)-1,8),RAMY=DEC2BIN(ROW(AR24)-1,8)),DATA,AR24)</f>
        <v>0</v>
      </c>
      <c r="AS24" s="87">
        <f ca="1">IF(AND(OP="11",RAMX=DEC2BIN(COLUMN(AS24)-1,8),RAMY=DEC2BIN(ROW(AS24)-1,8)),DATA,AS24)</f>
        <v>0</v>
      </c>
      <c r="AT24" s="87">
        <f ca="1">IF(AND(OP="11",RAMX=DEC2BIN(COLUMN(AT24)-1,8),RAMY=DEC2BIN(ROW(AT24)-1,8)),DATA,AT24)</f>
        <v>0</v>
      </c>
      <c r="AU24" s="87">
        <f ca="1">IF(AND(OP="11",RAMX=DEC2BIN(COLUMN(AU24)-1,8),RAMY=DEC2BIN(ROW(AU24)-1,8)),DATA,AU24)</f>
        <v>0</v>
      </c>
      <c r="AV24" s="87">
        <f ca="1">IF(AND(OP="11",RAMX=DEC2BIN(COLUMN(AV24)-1,8),RAMY=DEC2BIN(ROW(AV24)-1,8)),DATA,AV24)</f>
        <v>0</v>
      </c>
      <c r="AW24" s="87">
        <f ca="1">IF(AND(OP="11",RAMX=DEC2BIN(COLUMN(AW24)-1,8),RAMY=DEC2BIN(ROW(AW24)-1,8)),DATA,AW24)</f>
        <v>0</v>
      </c>
      <c r="AX24" s="87">
        <f ca="1">IF(AND(OP="11",RAMX=DEC2BIN(COLUMN(AX24)-1,8),RAMY=DEC2BIN(ROW(AX24)-1,8)),DATA,AX24)</f>
        <v>0</v>
      </c>
      <c r="AY24" s="87">
        <f ca="1">IF(AND(OP="11",RAMX=DEC2BIN(COLUMN(AY24)-1,8),RAMY=DEC2BIN(ROW(AY24)-1,8)),DATA,AY24)</f>
        <v>0</v>
      </c>
      <c r="AZ24" s="87">
        <f ca="1">IF(AND(OP="11",RAMX=DEC2BIN(COLUMN(AZ24)-1,8),RAMY=DEC2BIN(ROW(AZ24)-1,8)),DATA,AZ24)</f>
        <v>0</v>
      </c>
      <c r="BA24" s="87">
        <f ca="1">IF(AND(OP="11",RAMX=DEC2BIN(COLUMN(BA24)-1,8),RAMY=DEC2BIN(ROW(BA24)-1,8)),DATA,BA24)</f>
        <v>0</v>
      </c>
      <c r="BB24" s="87">
        <f ca="1">IF(AND(OP="11",RAMX=DEC2BIN(COLUMN(BB24)-1,8),RAMY=DEC2BIN(ROW(BB24)-1,8)),DATA,BB24)</f>
        <v>0</v>
      </c>
      <c r="BC24" s="87">
        <f ca="1">IF(AND(OP="11",RAMX=DEC2BIN(COLUMN(BC24)-1,8),RAMY=DEC2BIN(ROW(BC24)-1,8)),DATA,BC24)</f>
        <v>0</v>
      </c>
      <c r="BD24" s="87">
        <f ca="1">IF(AND(OP="11",RAMX=DEC2BIN(COLUMN(BD24)-1,8),RAMY=DEC2BIN(ROW(BD24)-1,8)),DATA,BD24)</f>
        <v>0</v>
      </c>
      <c r="BE24" s="87">
        <f ca="1">IF(AND(OP="11",RAMX=DEC2BIN(COLUMN(BE24)-1,8),RAMY=DEC2BIN(ROW(BE24)-1,8)),DATA,BE24)</f>
        <v>0</v>
      </c>
      <c r="BF24" s="87">
        <f ca="1">IF(AND(OP="11",RAMX=DEC2BIN(COLUMN(BF24)-1,8),RAMY=DEC2BIN(ROW(BF24)-1,8)),DATA,BF24)</f>
        <v>0</v>
      </c>
      <c r="BG24" s="87">
        <f ca="1">IF(AND(OP="11",RAMX=DEC2BIN(COLUMN(BG24)-1,8),RAMY=DEC2BIN(ROW(BG24)-1,8)),DATA,BG24)</f>
        <v>0</v>
      </c>
      <c r="BH24" s="87">
        <f ca="1">IF(AND(OP="11",RAMX=DEC2BIN(COLUMN(BH24)-1,8),RAMY=DEC2BIN(ROW(BH24)-1,8)),DATA,BH24)</f>
        <v>0</v>
      </c>
      <c r="BI24" s="87">
        <f ca="1">IF(AND(OP="11",RAMX=DEC2BIN(COLUMN(BI24)-1,8),RAMY=DEC2BIN(ROW(BI24)-1,8)),DATA,BI24)</f>
        <v>0</v>
      </c>
      <c r="BJ24" s="87">
        <f ca="1">IF(AND(OP="11",RAMX=DEC2BIN(COLUMN(BJ24)-1,8),RAMY=DEC2BIN(ROW(BJ24)-1,8)),DATA,BJ24)</f>
        <v>0</v>
      </c>
      <c r="BK24" s="87">
        <f ca="1">IF(AND(OP="11",RAMX=DEC2BIN(COLUMN(BK24)-1,8),RAMY=DEC2BIN(ROW(BK24)-1,8)),DATA,BK24)</f>
        <v>0</v>
      </c>
      <c r="BL24" s="87">
        <f ca="1">IF(AND(OP="11",RAMX=DEC2BIN(COLUMN(BL24)-1,8),RAMY=DEC2BIN(ROW(BL24)-1,8)),DATA,BL24)</f>
        <v>0</v>
      </c>
    </row>
    <row r="25" spans="1:64" x14ac:dyDescent="0.25">
      <c r="A25" s="87">
        <f ca="1">IF(AND(OP="11",RAMX=DEC2BIN(COLUMN(A25)-1,8),RAMY=DEC2BIN(ROW(A25)-1,8)),DATA,A25)</f>
        <v>0</v>
      </c>
      <c r="B25" s="87">
        <f ca="1">IF(AND(OP="11",RAMX=DEC2BIN(COLUMN(B25)-1,8),RAMY=DEC2BIN(ROW(B25)-1,8)),DATA,B25)</f>
        <v>0</v>
      </c>
      <c r="C25" s="87">
        <f ca="1">IF(AND(OP="11",RAMX=DEC2BIN(COLUMN(C25)-1,8),RAMY=DEC2BIN(ROW(C25)-1,8)),DATA,C25)</f>
        <v>0</v>
      </c>
      <c r="D25" s="87">
        <f ca="1">IF(AND(OP="11",RAMX=DEC2BIN(COLUMN(D25)-1,8),RAMY=DEC2BIN(ROW(D25)-1,8)),DATA,D25)</f>
        <v>0</v>
      </c>
      <c r="E25" s="87">
        <f ca="1">IF(AND(OP="11",RAMX=DEC2BIN(COLUMN(E25)-1,8),RAMY=DEC2BIN(ROW(E25)-1,8)),DATA,E25)</f>
        <v>0</v>
      </c>
      <c r="F25" s="87">
        <f ca="1">IF(AND(OP="11",RAMX=DEC2BIN(COLUMN(F25)-1,8),RAMY=DEC2BIN(ROW(F25)-1,8)),DATA,F25)</f>
        <v>0</v>
      </c>
      <c r="G25" s="87">
        <f ca="1">IF(AND(OP="11",RAMX=DEC2BIN(COLUMN(G25)-1,8),RAMY=DEC2BIN(ROW(G25)-1,8)),DATA,G25)</f>
        <v>0</v>
      </c>
      <c r="H25" s="87">
        <f ca="1">IF(AND(OP="11",RAMX=DEC2BIN(COLUMN(H25)-1,8),RAMY=DEC2BIN(ROW(H25)-1,8)),DATA,H25)</f>
        <v>0</v>
      </c>
      <c r="I25" s="87">
        <f ca="1">IF(AND(OP="11",RAMX=DEC2BIN(COLUMN(I25)-1,8),RAMY=DEC2BIN(ROW(I25)-1,8)),DATA,I25)</f>
        <v>0</v>
      </c>
      <c r="J25" s="87">
        <f ca="1">IF(AND(OP="11",RAMX=DEC2BIN(COLUMN(J25)-1,8),RAMY=DEC2BIN(ROW(J25)-1,8)),DATA,J25)</f>
        <v>0</v>
      </c>
      <c r="K25" s="87">
        <f ca="1">IF(AND(OP="11",RAMX=DEC2BIN(COLUMN(K25)-1,8),RAMY=DEC2BIN(ROW(K25)-1,8)),DATA,K25)</f>
        <v>0</v>
      </c>
      <c r="L25" s="87">
        <f ca="1">IF(AND(OP="11",RAMX=DEC2BIN(COLUMN(L25)-1,8),RAMY=DEC2BIN(ROW(L25)-1,8)),DATA,L25)</f>
        <v>0</v>
      </c>
      <c r="M25" s="87">
        <f ca="1">IF(AND(OP="11",RAMX=DEC2BIN(COLUMN(M25)-1,8),RAMY=DEC2BIN(ROW(M25)-1,8)),DATA,M25)</f>
        <v>0</v>
      </c>
      <c r="N25" s="87">
        <f ca="1">IF(AND(OP="11",RAMX=DEC2BIN(COLUMN(N25)-1,8),RAMY=DEC2BIN(ROW(N25)-1,8)),DATA,N25)</f>
        <v>0</v>
      </c>
      <c r="O25" s="87">
        <f ca="1">IF(AND(OP="11",RAMX=DEC2BIN(COLUMN(O25)-1,8),RAMY=DEC2BIN(ROW(O25)-1,8)),DATA,O25)</f>
        <v>0</v>
      </c>
      <c r="P25" s="87">
        <f ca="1">IF(AND(OP="11",RAMX=DEC2BIN(COLUMN(P25)-1,8),RAMY=DEC2BIN(ROW(P25)-1,8)),DATA,P25)</f>
        <v>0</v>
      </c>
      <c r="Q25" s="87">
        <f ca="1">IF(AND(OP="11",RAMX=DEC2BIN(COLUMN(Q25)-1,8),RAMY=DEC2BIN(ROW(Q25)-1,8)),DATA,Q25)</f>
        <v>0</v>
      </c>
      <c r="R25" s="87">
        <f ca="1">IF(AND(OP="11",RAMX=DEC2BIN(COLUMN(R25)-1,8),RAMY=DEC2BIN(ROW(R25)-1,8)),DATA,R25)</f>
        <v>0</v>
      </c>
      <c r="S25" s="87">
        <f ca="1">IF(AND(OP="11",RAMX=DEC2BIN(COLUMN(S25)-1,8),RAMY=DEC2BIN(ROW(S25)-1,8)),DATA,S25)</f>
        <v>0</v>
      </c>
      <c r="T25" s="87">
        <f ca="1">IF(AND(OP="11",RAMX=DEC2BIN(COLUMN(T25)-1,8),RAMY=DEC2BIN(ROW(T25)-1,8)),DATA,T25)</f>
        <v>0</v>
      </c>
      <c r="U25" s="87">
        <f ca="1">IF(AND(OP="11",RAMX=DEC2BIN(COLUMN(U25)-1,8),RAMY=DEC2BIN(ROW(U25)-1,8)),DATA,U25)</f>
        <v>0</v>
      </c>
      <c r="V25" s="87">
        <f ca="1">IF(AND(OP="11",RAMX=DEC2BIN(COLUMN(V25)-1,8),RAMY=DEC2BIN(ROW(V25)-1,8)),DATA,V25)</f>
        <v>0</v>
      </c>
      <c r="W25" s="87">
        <f ca="1">IF(AND(OP="11",RAMX=DEC2BIN(COLUMN(W25)-1,8),RAMY=DEC2BIN(ROW(W25)-1,8)),DATA,W25)</f>
        <v>0</v>
      </c>
      <c r="X25" s="87">
        <f ca="1">IF(AND(OP="11",RAMX=DEC2BIN(COLUMN(X25)-1,8),RAMY=DEC2BIN(ROW(X25)-1,8)),DATA,X25)</f>
        <v>0</v>
      </c>
      <c r="Y25" s="87">
        <f ca="1">IF(AND(OP="11",RAMX=DEC2BIN(COLUMN(Y25)-1,8),RAMY=DEC2BIN(ROW(Y25)-1,8)),DATA,Y25)</f>
        <v>0</v>
      </c>
      <c r="Z25" s="87">
        <f ca="1">IF(AND(OP="11",RAMX=DEC2BIN(COLUMN(Z25)-1,8),RAMY=DEC2BIN(ROW(Z25)-1,8)),DATA,Z25)</f>
        <v>0</v>
      </c>
      <c r="AA25" s="87">
        <f ca="1">IF(AND(OP="11",RAMX=DEC2BIN(COLUMN(AA25)-1,8),RAMY=DEC2BIN(ROW(AA25)-1,8)),DATA,AA25)</f>
        <v>0</v>
      </c>
      <c r="AB25" s="87">
        <f ca="1">IF(AND(OP="11",RAMX=DEC2BIN(COLUMN(AB25)-1,8),RAMY=DEC2BIN(ROW(AB25)-1,8)),DATA,AB25)</f>
        <v>0</v>
      </c>
      <c r="AC25" s="87">
        <f ca="1">IF(AND(OP="11",RAMX=DEC2BIN(COLUMN(AC25)-1,8),RAMY=DEC2BIN(ROW(AC25)-1,8)),DATA,AC25)</f>
        <v>0</v>
      </c>
      <c r="AD25" s="87">
        <f ca="1">IF(AND(OP="11",RAMX=DEC2BIN(COLUMN(AD25)-1,8),RAMY=DEC2BIN(ROW(AD25)-1,8)),DATA,AD25)</f>
        <v>0</v>
      </c>
      <c r="AE25" s="87">
        <f ca="1">IF(AND(OP="11",RAMX=DEC2BIN(COLUMN(AE25)-1,8),RAMY=DEC2BIN(ROW(AE25)-1,8)),DATA,AE25)</f>
        <v>0</v>
      </c>
      <c r="AF25" s="87">
        <f ca="1">IF(AND(OP="11",RAMX=DEC2BIN(COLUMN(AF25)-1,8),RAMY=DEC2BIN(ROW(AF25)-1,8)),DATA,AF25)</f>
        <v>0</v>
      </c>
      <c r="AG25" s="87">
        <f ca="1">IF(AND(OP="11",RAMX=DEC2BIN(COLUMN(AG25)-1,8),RAMY=DEC2BIN(ROW(AG25)-1,8)),DATA,AG25)</f>
        <v>0</v>
      </c>
      <c r="AH25" s="87">
        <f ca="1">IF(AND(OP="11",RAMX=DEC2BIN(COLUMN(AH25)-1,8),RAMY=DEC2BIN(ROW(AH25)-1,8)),DATA,AH25)</f>
        <v>0</v>
      </c>
      <c r="AI25" s="87">
        <f ca="1">IF(AND(OP="11",RAMX=DEC2BIN(COLUMN(AI25)-1,8),RAMY=DEC2BIN(ROW(AI25)-1,8)),DATA,AI25)</f>
        <v>0</v>
      </c>
      <c r="AJ25" s="87">
        <f ca="1">IF(AND(OP="11",RAMX=DEC2BIN(COLUMN(AJ25)-1,8),RAMY=DEC2BIN(ROW(AJ25)-1,8)),DATA,AJ25)</f>
        <v>0</v>
      </c>
      <c r="AK25" s="87">
        <f ca="1">IF(AND(OP="11",RAMX=DEC2BIN(COLUMN(AK25)-1,8),RAMY=DEC2BIN(ROW(AK25)-1,8)),DATA,AK25)</f>
        <v>0</v>
      </c>
      <c r="AL25" s="87">
        <f ca="1">IF(AND(OP="11",RAMX=DEC2BIN(COLUMN(AL25)-1,8),RAMY=DEC2BIN(ROW(AL25)-1,8)),DATA,AL25)</f>
        <v>0</v>
      </c>
      <c r="AM25" s="87">
        <f ca="1">IF(AND(OP="11",RAMX=DEC2BIN(COLUMN(AM25)-1,8),RAMY=DEC2BIN(ROW(AM25)-1,8)),DATA,AM25)</f>
        <v>0</v>
      </c>
      <c r="AN25" s="87">
        <f ca="1">IF(AND(OP="11",RAMX=DEC2BIN(COLUMN(AN25)-1,8),RAMY=DEC2BIN(ROW(AN25)-1,8)),DATA,AN25)</f>
        <v>0</v>
      </c>
      <c r="AO25" s="87">
        <f ca="1">IF(AND(OP="11",RAMX=DEC2BIN(COLUMN(AO25)-1,8),RAMY=DEC2BIN(ROW(AO25)-1,8)),DATA,AO25)</f>
        <v>0</v>
      </c>
      <c r="AP25" s="87">
        <f ca="1">IF(AND(OP="11",RAMX=DEC2BIN(COLUMN(AP25)-1,8),RAMY=DEC2BIN(ROW(AP25)-1,8)),DATA,AP25)</f>
        <v>0</v>
      </c>
      <c r="AQ25" s="87">
        <f ca="1">IF(AND(OP="11",RAMX=DEC2BIN(COLUMN(AQ25)-1,8),RAMY=DEC2BIN(ROW(AQ25)-1,8)),DATA,AQ25)</f>
        <v>0</v>
      </c>
      <c r="AR25" s="87">
        <f ca="1">IF(AND(OP="11",RAMX=DEC2BIN(COLUMN(AR25)-1,8),RAMY=DEC2BIN(ROW(AR25)-1,8)),DATA,AR25)</f>
        <v>0</v>
      </c>
      <c r="AS25" s="87">
        <f ca="1">IF(AND(OP="11",RAMX=DEC2BIN(COLUMN(AS25)-1,8),RAMY=DEC2BIN(ROW(AS25)-1,8)),DATA,AS25)</f>
        <v>0</v>
      </c>
      <c r="AT25" s="87">
        <f ca="1">IF(AND(OP="11",RAMX=DEC2BIN(COLUMN(AT25)-1,8),RAMY=DEC2BIN(ROW(AT25)-1,8)),DATA,AT25)</f>
        <v>0</v>
      </c>
      <c r="AU25" s="87">
        <f ca="1">IF(AND(OP="11",RAMX=DEC2BIN(COLUMN(AU25)-1,8),RAMY=DEC2BIN(ROW(AU25)-1,8)),DATA,AU25)</f>
        <v>0</v>
      </c>
      <c r="AV25" s="87">
        <f ca="1">IF(AND(OP="11",RAMX=DEC2BIN(COLUMN(AV25)-1,8),RAMY=DEC2BIN(ROW(AV25)-1,8)),DATA,AV25)</f>
        <v>0</v>
      </c>
      <c r="AW25" s="87">
        <f ca="1">IF(AND(OP="11",RAMX=DEC2BIN(COLUMN(AW25)-1,8),RAMY=DEC2BIN(ROW(AW25)-1,8)),DATA,AW25)</f>
        <v>0</v>
      </c>
      <c r="AX25" s="87">
        <f ca="1">IF(AND(OP="11",RAMX=DEC2BIN(COLUMN(AX25)-1,8),RAMY=DEC2BIN(ROW(AX25)-1,8)),DATA,AX25)</f>
        <v>0</v>
      </c>
      <c r="AY25" s="87">
        <f ca="1">IF(AND(OP="11",RAMX=DEC2BIN(COLUMN(AY25)-1,8),RAMY=DEC2BIN(ROW(AY25)-1,8)),DATA,AY25)</f>
        <v>0</v>
      </c>
      <c r="AZ25" s="87">
        <f ca="1">IF(AND(OP="11",RAMX=DEC2BIN(COLUMN(AZ25)-1,8),RAMY=DEC2BIN(ROW(AZ25)-1,8)),DATA,AZ25)</f>
        <v>0</v>
      </c>
      <c r="BA25" s="87">
        <f ca="1">IF(AND(OP="11",RAMX=DEC2BIN(COLUMN(BA25)-1,8),RAMY=DEC2BIN(ROW(BA25)-1,8)),DATA,BA25)</f>
        <v>0</v>
      </c>
      <c r="BB25" s="87">
        <f ca="1">IF(AND(OP="11",RAMX=DEC2BIN(COLUMN(BB25)-1,8),RAMY=DEC2BIN(ROW(BB25)-1,8)),DATA,BB25)</f>
        <v>0</v>
      </c>
      <c r="BC25" s="87">
        <f ca="1">IF(AND(OP="11",RAMX=DEC2BIN(COLUMN(BC25)-1,8),RAMY=DEC2BIN(ROW(BC25)-1,8)),DATA,BC25)</f>
        <v>0</v>
      </c>
      <c r="BD25" s="87">
        <f ca="1">IF(AND(OP="11",RAMX=DEC2BIN(COLUMN(BD25)-1,8),RAMY=DEC2BIN(ROW(BD25)-1,8)),DATA,BD25)</f>
        <v>0</v>
      </c>
      <c r="BE25" s="87">
        <f ca="1">IF(AND(OP="11",RAMX=DEC2BIN(COLUMN(BE25)-1,8),RAMY=DEC2BIN(ROW(BE25)-1,8)),DATA,BE25)</f>
        <v>0</v>
      </c>
      <c r="BF25" s="87">
        <f ca="1">IF(AND(OP="11",RAMX=DEC2BIN(COLUMN(BF25)-1,8),RAMY=DEC2BIN(ROW(BF25)-1,8)),DATA,BF25)</f>
        <v>0</v>
      </c>
      <c r="BG25" s="87">
        <f ca="1">IF(AND(OP="11",RAMX=DEC2BIN(COLUMN(BG25)-1,8),RAMY=DEC2BIN(ROW(BG25)-1,8)),DATA,BG25)</f>
        <v>0</v>
      </c>
      <c r="BH25" s="87">
        <f ca="1">IF(AND(OP="11",RAMX=DEC2BIN(COLUMN(BH25)-1,8),RAMY=DEC2BIN(ROW(BH25)-1,8)),DATA,BH25)</f>
        <v>0</v>
      </c>
      <c r="BI25" s="87">
        <f ca="1">IF(AND(OP="11",RAMX=DEC2BIN(COLUMN(BI25)-1,8),RAMY=DEC2BIN(ROW(BI25)-1,8)),DATA,BI25)</f>
        <v>0</v>
      </c>
      <c r="BJ25" s="87">
        <f ca="1">IF(AND(OP="11",RAMX=DEC2BIN(COLUMN(BJ25)-1,8),RAMY=DEC2BIN(ROW(BJ25)-1,8)),DATA,BJ25)</f>
        <v>0</v>
      </c>
      <c r="BK25" s="87">
        <f ca="1">IF(AND(OP="11",RAMX=DEC2BIN(COLUMN(BK25)-1,8),RAMY=DEC2BIN(ROW(BK25)-1,8)),DATA,BK25)</f>
        <v>0</v>
      </c>
      <c r="BL25" s="87">
        <f ca="1">IF(AND(OP="11",RAMX=DEC2BIN(COLUMN(BL25)-1,8),RAMY=DEC2BIN(ROW(BL25)-1,8)),DATA,BL25)</f>
        <v>0</v>
      </c>
    </row>
    <row r="26" spans="1:64" x14ac:dyDescent="0.25">
      <c r="A26" s="87">
        <f ca="1">IF(AND(OP="11",RAMX=DEC2BIN(COLUMN(A26)-1,8),RAMY=DEC2BIN(ROW(A26)-1,8)),DATA,A26)</f>
        <v>0</v>
      </c>
      <c r="B26" s="87">
        <f ca="1">IF(AND(OP="11",RAMX=DEC2BIN(COLUMN(B26)-1,8),RAMY=DEC2BIN(ROW(B26)-1,8)),DATA,B26)</f>
        <v>0</v>
      </c>
      <c r="C26" s="87">
        <f ca="1">IF(AND(OP="11",RAMX=DEC2BIN(COLUMN(C26)-1,8),RAMY=DEC2BIN(ROW(C26)-1,8)),DATA,C26)</f>
        <v>0</v>
      </c>
      <c r="D26" s="87">
        <f ca="1">IF(AND(OP="11",RAMX=DEC2BIN(COLUMN(D26)-1,8),RAMY=DEC2BIN(ROW(D26)-1,8)),DATA,D26)</f>
        <v>0</v>
      </c>
      <c r="E26" s="87">
        <f ca="1">IF(AND(OP="11",RAMX=DEC2BIN(COLUMN(E26)-1,8),RAMY=DEC2BIN(ROW(E26)-1,8)),DATA,E26)</f>
        <v>0</v>
      </c>
      <c r="F26" s="87">
        <f ca="1">IF(AND(OP="11",RAMX=DEC2BIN(COLUMN(F26)-1,8),RAMY=DEC2BIN(ROW(F26)-1,8)),DATA,F26)</f>
        <v>0</v>
      </c>
      <c r="G26" s="87">
        <f ca="1">IF(AND(OP="11",RAMX=DEC2BIN(COLUMN(G26)-1,8),RAMY=DEC2BIN(ROW(G26)-1,8)),DATA,G26)</f>
        <v>0</v>
      </c>
      <c r="H26" s="87">
        <f ca="1">IF(AND(OP="11",RAMX=DEC2BIN(COLUMN(H26)-1,8),RAMY=DEC2BIN(ROW(H26)-1,8)),DATA,H26)</f>
        <v>0</v>
      </c>
      <c r="I26" s="87">
        <f ca="1">IF(AND(OP="11",RAMX=DEC2BIN(COLUMN(I26)-1,8),RAMY=DEC2BIN(ROW(I26)-1,8)),DATA,I26)</f>
        <v>0</v>
      </c>
      <c r="J26" s="87">
        <f ca="1">IF(AND(OP="11",RAMX=DEC2BIN(COLUMN(J26)-1,8),RAMY=DEC2BIN(ROW(J26)-1,8)),DATA,J26)</f>
        <v>0</v>
      </c>
      <c r="K26" s="87">
        <f ca="1">IF(AND(OP="11",RAMX=DEC2BIN(COLUMN(K26)-1,8),RAMY=DEC2BIN(ROW(K26)-1,8)),DATA,K26)</f>
        <v>0</v>
      </c>
      <c r="L26" s="87">
        <f ca="1">IF(AND(OP="11",RAMX=DEC2BIN(COLUMN(L26)-1,8),RAMY=DEC2BIN(ROW(L26)-1,8)),DATA,L26)</f>
        <v>0</v>
      </c>
      <c r="M26" s="87">
        <f ca="1">IF(AND(OP="11",RAMX=DEC2BIN(COLUMN(M26)-1,8),RAMY=DEC2BIN(ROW(M26)-1,8)),DATA,M26)</f>
        <v>0</v>
      </c>
      <c r="N26" s="87">
        <f ca="1">IF(AND(OP="11",RAMX=DEC2BIN(COLUMN(N26)-1,8),RAMY=DEC2BIN(ROW(N26)-1,8)),DATA,N26)</f>
        <v>0</v>
      </c>
      <c r="O26" s="87">
        <f ca="1">IF(AND(OP="11",RAMX=DEC2BIN(COLUMN(O26)-1,8),RAMY=DEC2BIN(ROW(O26)-1,8)),DATA,O26)</f>
        <v>0</v>
      </c>
      <c r="P26" s="87">
        <f ca="1">IF(AND(OP="11",RAMX=DEC2BIN(COLUMN(P26)-1,8),RAMY=DEC2BIN(ROW(P26)-1,8)),DATA,P26)</f>
        <v>0</v>
      </c>
      <c r="Q26" s="87">
        <f ca="1">IF(AND(OP="11",RAMX=DEC2BIN(COLUMN(Q26)-1,8),RAMY=DEC2BIN(ROW(Q26)-1,8)),DATA,Q26)</f>
        <v>0</v>
      </c>
      <c r="R26" s="87">
        <f ca="1">IF(AND(OP="11",RAMX=DEC2BIN(COLUMN(R26)-1,8),RAMY=DEC2BIN(ROW(R26)-1,8)),DATA,R26)</f>
        <v>0</v>
      </c>
      <c r="S26" s="87">
        <f ca="1">IF(AND(OP="11",RAMX=DEC2BIN(COLUMN(S26)-1,8),RAMY=DEC2BIN(ROW(S26)-1,8)),DATA,S26)</f>
        <v>0</v>
      </c>
      <c r="T26" s="87">
        <f ca="1">IF(AND(OP="11",RAMX=DEC2BIN(COLUMN(T26)-1,8),RAMY=DEC2BIN(ROW(T26)-1,8)),DATA,T26)</f>
        <v>0</v>
      </c>
      <c r="U26" s="87">
        <f ca="1">IF(AND(OP="11",RAMX=DEC2BIN(COLUMN(U26)-1,8),RAMY=DEC2BIN(ROW(U26)-1,8)),DATA,U26)</f>
        <v>0</v>
      </c>
      <c r="V26" s="87">
        <f ca="1">IF(AND(OP="11",RAMX=DEC2BIN(COLUMN(V26)-1,8),RAMY=DEC2BIN(ROW(V26)-1,8)),DATA,V26)</f>
        <v>0</v>
      </c>
      <c r="W26" s="87">
        <f ca="1">IF(AND(OP="11",RAMX=DEC2BIN(COLUMN(W26)-1,8),RAMY=DEC2BIN(ROW(W26)-1,8)),DATA,W26)</f>
        <v>0</v>
      </c>
      <c r="X26" s="87">
        <f ca="1">IF(AND(OP="11",RAMX=DEC2BIN(COLUMN(X26)-1,8),RAMY=DEC2BIN(ROW(X26)-1,8)),DATA,X26)</f>
        <v>0</v>
      </c>
      <c r="Y26" s="87">
        <f ca="1">IF(AND(OP="11",RAMX=DEC2BIN(COLUMN(Y26)-1,8),RAMY=DEC2BIN(ROW(Y26)-1,8)),DATA,Y26)</f>
        <v>0</v>
      </c>
      <c r="Z26" s="87">
        <f ca="1">IF(AND(OP="11",RAMX=DEC2BIN(COLUMN(Z26)-1,8),RAMY=DEC2BIN(ROW(Z26)-1,8)),DATA,Z26)</f>
        <v>0</v>
      </c>
      <c r="AA26" s="87">
        <f ca="1">IF(AND(OP="11",RAMX=DEC2BIN(COLUMN(AA26)-1,8),RAMY=DEC2BIN(ROW(AA26)-1,8)),DATA,AA26)</f>
        <v>0</v>
      </c>
      <c r="AB26" s="87">
        <f ca="1">IF(AND(OP="11",RAMX=DEC2BIN(COLUMN(AB26)-1,8),RAMY=DEC2BIN(ROW(AB26)-1,8)),DATA,AB26)</f>
        <v>0</v>
      </c>
      <c r="AC26" s="87">
        <f ca="1">IF(AND(OP="11",RAMX=DEC2BIN(COLUMN(AC26)-1,8),RAMY=DEC2BIN(ROW(AC26)-1,8)),DATA,AC26)</f>
        <v>0</v>
      </c>
      <c r="AD26" s="87">
        <f ca="1">IF(AND(OP="11",RAMX=DEC2BIN(COLUMN(AD26)-1,8),RAMY=DEC2BIN(ROW(AD26)-1,8)),DATA,AD26)</f>
        <v>0</v>
      </c>
      <c r="AE26" s="87">
        <f ca="1">IF(AND(OP="11",RAMX=DEC2BIN(COLUMN(AE26)-1,8),RAMY=DEC2BIN(ROW(AE26)-1,8)),DATA,AE26)</f>
        <v>0</v>
      </c>
      <c r="AF26" s="87">
        <f ca="1">IF(AND(OP="11",RAMX=DEC2BIN(COLUMN(AF26)-1,8),RAMY=DEC2BIN(ROW(AF26)-1,8)),DATA,AF26)</f>
        <v>0</v>
      </c>
      <c r="AG26" s="87">
        <f ca="1">IF(AND(OP="11",RAMX=DEC2BIN(COLUMN(AG26)-1,8),RAMY=DEC2BIN(ROW(AG26)-1,8)),DATA,AG26)</f>
        <v>0</v>
      </c>
      <c r="AH26" s="87">
        <f ca="1">IF(AND(OP="11",RAMX=DEC2BIN(COLUMN(AH26)-1,8),RAMY=DEC2BIN(ROW(AH26)-1,8)),DATA,AH26)</f>
        <v>0</v>
      </c>
      <c r="AI26" s="87">
        <f ca="1">IF(AND(OP="11",RAMX=DEC2BIN(COLUMN(AI26)-1,8),RAMY=DEC2BIN(ROW(AI26)-1,8)),DATA,AI26)</f>
        <v>0</v>
      </c>
      <c r="AJ26" s="87">
        <f ca="1">IF(AND(OP="11",RAMX=DEC2BIN(COLUMN(AJ26)-1,8),RAMY=DEC2BIN(ROW(AJ26)-1,8)),DATA,AJ26)</f>
        <v>0</v>
      </c>
      <c r="AK26" s="87">
        <f ca="1">IF(AND(OP="11",RAMX=DEC2BIN(COLUMN(AK26)-1,8),RAMY=DEC2BIN(ROW(AK26)-1,8)),DATA,AK26)</f>
        <v>0</v>
      </c>
      <c r="AL26" s="87">
        <f ca="1">IF(AND(OP="11",RAMX=DEC2BIN(COLUMN(AL26)-1,8),RAMY=DEC2BIN(ROW(AL26)-1,8)),DATA,AL26)</f>
        <v>0</v>
      </c>
      <c r="AM26" s="87">
        <f ca="1">IF(AND(OP="11",RAMX=DEC2BIN(COLUMN(AM26)-1,8),RAMY=DEC2BIN(ROW(AM26)-1,8)),DATA,AM26)</f>
        <v>0</v>
      </c>
      <c r="AN26" s="87">
        <f ca="1">IF(AND(OP="11",RAMX=DEC2BIN(COLUMN(AN26)-1,8),RAMY=DEC2BIN(ROW(AN26)-1,8)),DATA,AN26)</f>
        <v>0</v>
      </c>
      <c r="AO26" s="87">
        <f ca="1">IF(AND(OP="11",RAMX=DEC2BIN(COLUMN(AO26)-1,8),RAMY=DEC2BIN(ROW(AO26)-1,8)),DATA,AO26)</f>
        <v>0</v>
      </c>
      <c r="AP26" s="87">
        <f ca="1">IF(AND(OP="11",RAMX=DEC2BIN(COLUMN(AP26)-1,8),RAMY=DEC2BIN(ROW(AP26)-1,8)),DATA,AP26)</f>
        <v>0</v>
      </c>
      <c r="AQ26" s="87">
        <f ca="1">IF(AND(OP="11",RAMX=DEC2BIN(COLUMN(AQ26)-1,8),RAMY=DEC2BIN(ROW(AQ26)-1,8)),DATA,AQ26)</f>
        <v>0</v>
      </c>
      <c r="AR26" s="87">
        <f ca="1">IF(AND(OP="11",RAMX=DEC2BIN(COLUMN(AR26)-1,8),RAMY=DEC2BIN(ROW(AR26)-1,8)),DATA,AR26)</f>
        <v>0</v>
      </c>
      <c r="AS26" s="87">
        <f ca="1">IF(AND(OP="11",RAMX=DEC2BIN(COLUMN(AS26)-1,8),RAMY=DEC2BIN(ROW(AS26)-1,8)),DATA,AS26)</f>
        <v>0</v>
      </c>
      <c r="AT26" s="87">
        <f ca="1">IF(AND(OP="11",RAMX=DEC2BIN(COLUMN(AT26)-1,8),RAMY=DEC2BIN(ROW(AT26)-1,8)),DATA,AT26)</f>
        <v>0</v>
      </c>
      <c r="AU26" s="87">
        <f ca="1">IF(AND(OP="11",RAMX=DEC2BIN(COLUMN(AU26)-1,8),RAMY=DEC2BIN(ROW(AU26)-1,8)),DATA,AU26)</f>
        <v>0</v>
      </c>
      <c r="AV26" s="87">
        <f ca="1">IF(AND(OP="11",RAMX=DEC2BIN(COLUMN(AV26)-1,8),RAMY=DEC2BIN(ROW(AV26)-1,8)),DATA,AV26)</f>
        <v>0</v>
      </c>
      <c r="AW26" s="87">
        <f ca="1">IF(AND(OP="11",RAMX=DEC2BIN(COLUMN(AW26)-1,8),RAMY=DEC2BIN(ROW(AW26)-1,8)),DATA,AW26)</f>
        <v>0</v>
      </c>
      <c r="AX26" s="87">
        <f ca="1">IF(AND(OP="11",RAMX=DEC2BIN(COLUMN(AX26)-1,8),RAMY=DEC2BIN(ROW(AX26)-1,8)),DATA,AX26)</f>
        <v>0</v>
      </c>
      <c r="AY26" s="87">
        <f ca="1">IF(AND(OP="11",RAMX=DEC2BIN(COLUMN(AY26)-1,8),RAMY=DEC2BIN(ROW(AY26)-1,8)),DATA,AY26)</f>
        <v>0</v>
      </c>
      <c r="AZ26" s="87">
        <f ca="1">IF(AND(OP="11",RAMX=DEC2BIN(COLUMN(AZ26)-1,8),RAMY=DEC2BIN(ROW(AZ26)-1,8)),DATA,AZ26)</f>
        <v>0</v>
      </c>
      <c r="BA26" s="87">
        <f ca="1">IF(AND(OP="11",RAMX=DEC2BIN(COLUMN(BA26)-1,8),RAMY=DEC2BIN(ROW(BA26)-1,8)),DATA,BA26)</f>
        <v>0</v>
      </c>
      <c r="BB26" s="87">
        <f ca="1">IF(AND(OP="11",RAMX=DEC2BIN(COLUMN(BB26)-1,8),RAMY=DEC2BIN(ROW(BB26)-1,8)),DATA,BB26)</f>
        <v>0</v>
      </c>
      <c r="BC26" s="87">
        <f ca="1">IF(AND(OP="11",RAMX=DEC2BIN(COLUMN(BC26)-1,8),RAMY=DEC2BIN(ROW(BC26)-1,8)),DATA,BC26)</f>
        <v>0</v>
      </c>
      <c r="BD26" s="87">
        <f ca="1">IF(AND(OP="11",RAMX=DEC2BIN(COLUMN(BD26)-1,8),RAMY=DEC2BIN(ROW(BD26)-1,8)),DATA,BD26)</f>
        <v>0</v>
      </c>
      <c r="BE26" s="87">
        <f ca="1">IF(AND(OP="11",RAMX=DEC2BIN(COLUMN(BE26)-1,8),RAMY=DEC2BIN(ROW(BE26)-1,8)),DATA,BE26)</f>
        <v>0</v>
      </c>
      <c r="BF26" s="87">
        <f ca="1">IF(AND(OP="11",RAMX=DEC2BIN(COLUMN(BF26)-1,8),RAMY=DEC2BIN(ROW(BF26)-1,8)),DATA,BF26)</f>
        <v>0</v>
      </c>
      <c r="BG26" s="87">
        <f ca="1">IF(AND(OP="11",RAMX=DEC2BIN(COLUMN(BG26)-1,8),RAMY=DEC2BIN(ROW(BG26)-1,8)),DATA,BG26)</f>
        <v>0</v>
      </c>
      <c r="BH26" s="87">
        <f ca="1">IF(AND(OP="11",RAMX=DEC2BIN(COLUMN(BH26)-1,8),RAMY=DEC2BIN(ROW(BH26)-1,8)),DATA,BH26)</f>
        <v>0</v>
      </c>
      <c r="BI26" s="87">
        <f ca="1">IF(AND(OP="11",RAMX=DEC2BIN(COLUMN(BI26)-1,8),RAMY=DEC2BIN(ROW(BI26)-1,8)),DATA,BI26)</f>
        <v>0</v>
      </c>
      <c r="BJ26" s="87">
        <f ca="1">IF(AND(OP="11",RAMX=DEC2BIN(COLUMN(BJ26)-1,8),RAMY=DEC2BIN(ROW(BJ26)-1,8)),DATA,BJ26)</f>
        <v>0</v>
      </c>
      <c r="BK26" s="87">
        <f ca="1">IF(AND(OP="11",RAMX=DEC2BIN(COLUMN(BK26)-1,8),RAMY=DEC2BIN(ROW(BK26)-1,8)),DATA,BK26)</f>
        <v>0</v>
      </c>
      <c r="BL26" s="87">
        <f ca="1">IF(AND(OP="11",RAMX=DEC2BIN(COLUMN(BL26)-1,8),RAMY=DEC2BIN(ROW(BL26)-1,8)),DATA,BL26)</f>
        <v>0</v>
      </c>
    </row>
    <row r="27" spans="1:64" x14ac:dyDescent="0.25">
      <c r="A27" s="87">
        <f ca="1">IF(AND(OP="11",RAMX=DEC2BIN(COLUMN(A27)-1,8),RAMY=DEC2BIN(ROW(A27)-1,8)),DATA,A27)</f>
        <v>0</v>
      </c>
      <c r="B27" s="87">
        <f ca="1">IF(AND(OP="11",RAMX=DEC2BIN(COLUMN(B27)-1,8),RAMY=DEC2BIN(ROW(B27)-1,8)),DATA,B27)</f>
        <v>0</v>
      </c>
      <c r="C27" s="87">
        <f ca="1">IF(AND(OP="11",RAMX=DEC2BIN(COLUMN(C27)-1,8),RAMY=DEC2BIN(ROW(C27)-1,8)),DATA,C27)</f>
        <v>0</v>
      </c>
      <c r="D27" s="87">
        <f ca="1">IF(AND(OP="11",RAMX=DEC2BIN(COLUMN(D27)-1,8),RAMY=DEC2BIN(ROW(D27)-1,8)),DATA,D27)</f>
        <v>0</v>
      </c>
      <c r="E27" s="87">
        <f ca="1">IF(AND(OP="11",RAMX=DEC2BIN(COLUMN(E27)-1,8),RAMY=DEC2BIN(ROW(E27)-1,8)),DATA,E27)</f>
        <v>0</v>
      </c>
      <c r="F27" s="87">
        <f ca="1">IF(AND(OP="11",RAMX=DEC2BIN(COLUMN(F27)-1,8),RAMY=DEC2BIN(ROW(F27)-1,8)),DATA,F27)</f>
        <v>0</v>
      </c>
      <c r="G27" s="87">
        <f ca="1">IF(AND(OP="11",RAMX=DEC2BIN(COLUMN(G27)-1,8),RAMY=DEC2BIN(ROW(G27)-1,8)),DATA,G27)</f>
        <v>0</v>
      </c>
      <c r="H27" s="87">
        <f ca="1">IF(AND(OP="11",RAMX=DEC2BIN(COLUMN(H27)-1,8),RAMY=DEC2BIN(ROW(H27)-1,8)),DATA,H27)</f>
        <v>0</v>
      </c>
      <c r="I27" s="87">
        <f ca="1">IF(AND(OP="11",RAMX=DEC2BIN(COLUMN(I27)-1,8),RAMY=DEC2BIN(ROW(I27)-1,8)),DATA,I27)</f>
        <v>0</v>
      </c>
      <c r="J27" s="87">
        <f ca="1">IF(AND(OP="11",RAMX=DEC2BIN(COLUMN(J27)-1,8),RAMY=DEC2BIN(ROW(J27)-1,8)),DATA,J27)</f>
        <v>0</v>
      </c>
      <c r="K27" s="87">
        <f ca="1">IF(AND(OP="11",RAMX=DEC2BIN(COLUMN(K27)-1,8),RAMY=DEC2BIN(ROW(K27)-1,8)),DATA,K27)</f>
        <v>0</v>
      </c>
      <c r="L27" s="87">
        <f ca="1">IF(AND(OP="11",RAMX=DEC2BIN(COLUMN(L27)-1,8),RAMY=DEC2BIN(ROW(L27)-1,8)),DATA,L27)</f>
        <v>0</v>
      </c>
      <c r="M27" s="87">
        <f ca="1">IF(AND(OP="11",RAMX=DEC2BIN(COLUMN(M27)-1,8),RAMY=DEC2BIN(ROW(M27)-1,8)),DATA,M27)</f>
        <v>0</v>
      </c>
      <c r="N27" s="87">
        <f ca="1">IF(AND(OP="11",RAMX=DEC2BIN(COLUMN(N27)-1,8),RAMY=DEC2BIN(ROW(N27)-1,8)),DATA,N27)</f>
        <v>0</v>
      </c>
      <c r="O27" s="87">
        <f ca="1">IF(AND(OP="11",RAMX=DEC2BIN(COLUMN(O27)-1,8),RAMY=DEC2BIN(ROW(O27)-1,8)),DATA,O27)</f>
        <v>0</v>
      </c>
      <c r="P27" s="87">
        <f ca="1">IF(AND(OP="11",RAMX=DEC2BIN(COLUMN(P27)-1,8),RAMY=DEC2BIN(ROW(P27)-1,8)),DATA,P27)</f>
        <v>0</v>
      </c>
      <c r="Q27" s="87">
        <f ca="1">IF(AND(OP="11",RAMX=DEC2BIN(COLUMN(Q27)-1,8),RAMY=DEC2BIN(ROW(Q27)-1,8)),DATA,Q27)</f>
        <v>0</v>
      </c>
      <c r="R27" s="87">
        <f ca="1">IF(AND(OP="11",RAMX=DEC2BIN(COLUMN(R27)-1,8),RAMY=DEC2BIN(ROW(R27)-1,8)),DATA,R27)</f>
        <v>0</v>
      </c>
      <c r="S27" s="87">
        <f ca="1">IF(AND(OP="11",RAMX=DEC2BIN(COLUMN(S27)-1,8),RAMY=DEC2BIN(ROW(S27)-1,8)),DATA,S27)</f>
        <v>0</v>
      </c>
      <c r="T27" s="87">
        <f ca="1">IF(AND(OP="11",RAMX=DEC2BIN(COLUMN(T27)-1,8),RAMY=DEC2BIN(ROW(T27)-1,8)),DATA,T27)</f>
        <v>0</v>
      </c>
      <c r="U27" s="87">
        <f ca="1">IF(AND(OP="11",RAMX=DEC2BIN(COLUMN(U27)-1,8),RAMY=DEC2BIN(ROW(U27)-1,8)),DATA,U27)</f>
        <v>0</v>
      </c>
      <c r="V27" s="87">
        <f ca="1">IF(AND(OP="11",RAMX=DEC2BIN(COLUMN(V27)-1,8),RAMY=DEC2BIN(ROW(V27)-1,8)),DATA,V27)</f>
        <v>0</v>
      </c>
      <c r="W27" s="87">
        <f ca="1">IF(AND(OP="11",RAMX=DEC2BIN(COLUMN(W27)-1,8),RAMY=DEC2BIN(ROW(W27)-1,8)),DATA,W27)</f>
        <v>0</v>
      </c>
      <c r="X27" s="87">
        <f ca="1">IF(AND(OP="11",RAMX=DEC2BIN(COLUMN(X27)-1,8),RAMY=DEC2BIN(ROW(X27)-1,8)),DATA,X27)</f>
        <v>0</v>
      </c>
      <c r="Y27" s="87">
        <f ca="1">IF(AND(OP="11",RAMX=DEC2BIN(COLUMN(Y27)-1,8),RAMY=DEC2BIN(ROW(Y27)-1,8)),DATA,Y27)</f>
        <v>0</v>
      </c>
      <c r="Z27" s="87">
        <f ca="1">IF(AND(OP="11",RAMX=DEC2BIN(COLUMN(Z27)-1,8),RAMY=DEC2BIN(ROW(Z27)-1,8)),DATA,Z27)</f>
        <v>0</v>
      </c>
      <c r="AA27" s="87">
        <f ca="1">IF(AND(OP="11",RAMX=DEC2BIN(COLUMN(AA27)-1,8),RAMY=DEC2BIN(ROW(AA27)-1,8)),DATA,AA27)</f>
        <v>0</v>
      </c>
      <c r="AB27" s="87">
        <f ca="1">IF(AND(OP="11",RAMX=DEC2BIN(COLUMN(AB27)-1,8),RAMY=DEC2BIN(ROW(AB27)-1,8)),DATA,AB27)</f>
        <v>0</v>
      </c>
      <c r="AC27" s="87">
        <f ca="1">IF(AND(OP="11",RAMX=DEC2BIN(COLUMN(AC27)-1,8),RAMY=DEC2BIN(ROW(AC27)-1,8)),DATA,AC27)</f>
        <v>0</v>
      </c>
      <c r="AD27" s="87">
        <f ca="1">IF(AND(OP="11",RAMX=DEC2BIN(COLUMN(AD27)-1,8),RAMY=DEC2BIN(ROW(AD27)-1,8)),DATA,AD27)</f>
        <v>0</v>
      </c>
      <c r="AE27" s="87">
        <f ca="1">IF(AND(OP="11",RAMX=DEC2BIN(COLUMN(AE27)-1,8),RAMY=DEC2BIN(ROW(AE27)-1,8)),DATA,AE27)</f>
        <v>0</v>
      </c>
      <c r="AF27" s="87">
        <f ca="1">IF(AND(OP="11",RAMX=DEC2BIN(COLUMN(AF27)-1,8),RAMY=DEC2BIN(ROW(AF27)-1,8)),DATA,AF27)</f>
        <v>0</v>
      </c>
      <c r="AG27" s="87">
        <f ca="1">IF(AND(OP="11",RAMX=DEC2BIN(COLUMN(AG27)-1,8),RAMY=DEC2BIN(ROW(AG27)-1,8)),DATA,AG27)</f>
        <v>0</v>
      </c>
      <c r="AH27" s="87">
        <f ca="1">IF(AND(OP="11",RAMX=DEC2BIN(COLUMN(AH27)-1,8),RAMY=DEC2BIN(ROW(AH27)-1,8)),DATA,AH27)</f>
        <v>0</v>
      </c>
      <c r="AI27" s="87">
        <f ca="1">IF(AND(OP="11",RAMX=DEC2BIN(COLUMN(AI27)-1,8),RAMY=DEC2BIN(ROW(AI27)-1,8)),DATA,AI27)</f>
        <v>0</v>
      </c>
      <c r="AJ27" s="87">
        <f ca="1">IF(AND(OP="11",RAMX=DEC2BIN(COLUMN(AJ27)-1,8),RAMY=DEC2BIN(ROW(AJ27)-1,8)),DATA,AJ27)</f>
        <v>0</v>
      </c>
      <c r="AK27" s="87">
        <f ca="1">IF(AND(OP="11",RAMX=DEC2BIN(COLUMN(AK27)-1,8),RAMY=DEC2BIN(ROW(AK27)-1,8)),DATA,AK27)</f>
        <v>0</v>
      </c>
      <c r="AL27" s="87">
        <f ca="1">IF(AND(OP="11",RAMX=DEC2BIN(COLUMN(AL27)-1,8),RAMY=DEC2BIN(ROW(AL27)-1,8)),DATA,AL27)</f>
        <v>0</v>
      </c>
      <c r="AM27" s="87">
        <f ca="1">IF(AND(OP="11",RAMX=DEC2BIN(COLUMN(AM27)-1,8),RAMY=DEC2BIN(ROW(AM27)-1,8)),DATA,AM27)</f>
        <v>0</v>
      </c>
      <c r="AN27" s="87">
        <f ca="1">IF(AND(OP="11",RAMX=DEC2BIN(COLUMN(AN27)-1,8),RAMY=DEC2BIN(ROW(AN27)-1,8)),DATA,AN27)</f>
        <v>0</v>
      </c>
      <c r="AO27" s="87">
        <f ca="1">IF(AND(OP="11",RAMX=DEC2BIN(COLUMN(AO27)-1,8),RAMY=DEC2BIN(ROW(AO27)-1,8)),DATA,AO27)</f>
        <v>0</v>
      </c>
      <c r="AP27" s="87">
        <f ca="1">IF(AND(OP="11",RAMX=DEC2BIN(COLUMN(AP27)-1,8),RAMY=DEC2BIN(ROW(AP27)-1,8)),DATA,AP27)</f>
        <v>0</v>
      </c>
      <c r="AQ27" s="87">
        <f ca="1">IF(AND(OP="11",RAMX=DEC2BIN(COLUMN(AQ27)-1,8),RAMY=DEC2BIN(ROW(AQ27)-1,8)),DATA,AQ27)</f>
        <v>0</v>
      </c>
      <c r="AR27" s="87">
        <f ca="1">IF(AND(OP="11",RAMX=DEC2BIN(COLUMN(AR27)-1,8),RAMY=DEC2BIN(ROW(AR27)-1,8)),DATA,AR27)</f>
        <v>0</v>
      </c>
      <c r="AS27" s="87">
        <f ca="1">IF(AND(OP="11",RAMX=DEC2BIN(COLUMN(AS27)-1,8),RAMY=DEC2BIN(ROW(AS27)-1,8)),DATA,AS27)</f>
        <v>0</v>
      </c>
      <c r="AT27" s="87">
        <f ca="1">IF(AND(OP="11",RAMX=DEC2BIN(COLUMN(AT27)-1,8),RAMY=DEC2BIN(ROW(AT27)-1,8)),DATA,AT27)</f>
        <v>0</v>
      </c>
      <c r="AU27" s="87">
        <f ca="1">IF(AND(OP="11",RAMX=DEC2BIN(COLUMN(AU27)-1,8),RAMY=DEC2BIN(ROW(AU27)-1,8)),DATA,AU27)</f>
        <v>0</v>
      </c>
      <c r="AV27" s="87">
        <f ca="1">IF(AND(OP="11",RAMX=DEC2BIN(COLUMN(AV27)-1,8),RAMY=DEC2BIN(ROW(AV27)-1,8)),DATA,AV27)</f>
        <v>0</v>
      </c>
      <c r="AW27" s="87">
        <f ca="1">IF(AND(OP="11",RAMX=DEC2BIN(COLUMN(AW27)-1,8),RAMY=DEC2BIN(ROW(AW27)-1,8)),DATA,AW27)</f>
        <v>0</v>
      </c>
      <c r="AX27" s="87">
        <f ca="1">IF(AND(OP="11",RAMX=DEC2BIN(COLUMN(AX27)-1,8),RAMY=DEC2BIN(ROW(AX27)-1,8)),DATA,AX27)</f>
        <v>0</v>
      </c>
      <c r="AY27" s="87">
        <f ca="1">IF(AND(OP="11",RAMX=DEC2BIN(COLUMN(AY27)-1,8),RAMY=DEC2BIN(ROW(AY27)-1,8)),DATA,AY27)</f>
        <v>0</v>
      </c>
      <c r="AZ27" s="87">
        <f ca="1">IF(AND(OP="11",RAMX=DEC2BIN(COLUMN(AZ27)-1,8),RAMY=DEC2BIN(ROW(AZ27)-1,8)),DATA,AZ27)</f>
        <v>0</v>
      </c>
      <c r="BA27" s="87">
        <f ca="1">IF(AND(OP="11",RAMX=DEC2BIN(COLUMN(BA27)-1,8),RAMY=DEC2BIN(ROW(BA27)-1,8)),DATA,BA27)</f>
        <v>0</v>
      </c>
      <c r="BB27" s="87">
        <f ca="1">IF(AND(OP="11",RAMX=DEC2BIN(COLUMN(BB27)-1,8),RAMY=DEC2BIN(ROW(BB27)-1,8)),DATA,BB27)</f>
        <v>0</v>
      </c>
      <c r="BC27" s="87">
        <f ca="1">IF(AND(OP="11",RAMX=DEC2BIN(COLUMN(BC27)-1,8),RAMY=DEC2BIN(ROW(BC27)-1,8)),DATA,BC27)</f>
        <v>0</v>
      </c>
      <c r="BD27" s="87">
        <f ca="1">IF(AND(OP="11",RAMX=DEC2BIN(COLUMN(BD27)-1,8),RAMY=DEC2BIN(ROW(BD27)-1,8)),DATA,BD27)</f>
        <v>0</v>
      </c>
      <c r="BE27" s="87">
        <f ca="1">IF(AND(OP="11",RAMX=DEC2BIN(COLUMN(BE27)-1,8),RAMY=DEC2BIN(ROW(BE27)-1,8)),DATA,BE27)</f>
        <v>0</v>
      </c>
      <c r="BF27" s="87">
        <f ca="1">IF(AND(OP="11",RAMX=DEC2BIN(COLUMN(BF27)-1,8),RAMY=DEC2BIN(ROW(BF27)-1,8)),DATA,BF27)</f>
        <v>0</v>
      </c>
      <c r="BG27" s="87">
        <f ca="1">IF(AND(OP="11",RAMX=DEC2BIN(COLUMN(BG27)-1,8),RAMY=DEC2BIN(ROW(BG27)-1,8)),DATA,BG27)</f>
        <v>0</v>
      </c>
      <c r="BH27" s="87">
        <f ca="1">IF(AND(OP="11",RAMX=DEC2BIN(COLUMN(BH27)-1,8),RAMY=DEC2BIN(ROW(BH27)-1,8)),DATA,BH27)</f>
        <v>0</v>
      </c>
      <c r="BI27" s="87">
        <f ca="1">IF(AND(OP="11",RAMX=DEC2BIN(COLUMN(BI27)-1,8),RAMY=DEC2BIN(ROW(BI27)-1,8)),DATA,BI27)</f>
        <v>0</v>
      </c>
      <c r="BJ27" s="87">
        <f ca="1">IF(AND(OP="11",RAMX=DEC2BIN(COLUMN(BJ27)-1,8),RAMY=DEC2BIN(ROW(BJ27)-1,8)),DATA,BJ27)</f>
        <v>0</v>
      </c>
      <c r="BK27" s="87">
        <f ca="1">IF(AND(OP="11",RAMX=DEC2BIN(COLUMN(BK27)-1,8),RAMY=DEC2BIN(ROW(BK27)-1,8)),DATA,BK27)</f>
        <v>0</v>
      </c>
      <c r="BL27" s="87">
        <f ca="1">IF(AND(OP="11",RAMX=DEC2BIN(COLUMN(BL27)-1,8),RAMY=DEC2BIN(ROW(BL27)-1,8)),DATA,BL27)</f>
        <v>0</v>
      </c>
    </row>
    <row r="28" spans="1:64" x14ac:dyDescent="0.25">
      <c r="A28" s="87">
        <f ca="1">IF(AND(OP="11",RAMX=DEC2BIN(COLUMN(A28)-1,8),RAMY=DEC2BIN(ROW(A28)-1,8)),DATA,A28)</f>
        <v>0</v>
      </c>
      <c r="B28" s="87">
        <f ca="1">IF(AND(OP="11",RAMX=DEC2BIN(COLUMN(B28)-1,8),RAMY=DEC2BIN(ROW(B28)-1,8)),DATA,B28)</f>
        <v>0</v>
      </c>
      <c r="C28" s="87">
        <f ca="1">IF(AND(OP="11",RAMX=DEC2BIN(COLUMN(C28)-1,8),RAMY=DEC2BIN(ROW(C28)-1,8)),DATA,C28)</f>
        <v>0</v>
      </c>
      <c r="D28" s="87">
        <f ca="1">IF(AND(OP="11",RAMX=DEC2BIN(COLUMN(D28)-1,8),RAMY=DEC2BIN(ROW(D28)-1,8)),DATA,D28)</f>
        <v>0</v>
      </c>
      <c r="E28" s="87">
        <f ca="1">IF(AND(OP="11",RAMX=DEC2BIN(COLUMN(E28)-1,8),RAMY=DEC2BIN(ROW(E28)-1,8)),DATA,E28)</f>
        <v>0</v>
      </c>
      <c r="F28" s="87">
        <f ca="1">IF(AND(OP="11",RAMX=DEC2BIN(COLUMN(F28)-1,8),RAMY=DEC2BIN(ROW(F28)-1,8)),DATA,F28)</f>
        <v>0</v>
      </c>
      <c r="G28" s="87">
        <f ca="1">IF(AND(OP="11",RAMX=DEC2BIN(COLUMN(G28)-1,8),RAMY=DEC2BIN(ROW(G28)-1,8)),DATA,G28)</f>
        <v>0</v>
      </c>
      <c r="H28" s="87">
        <f ca="1">IF(AND(OP="11",RAMX=DEC2BIN(COLUMN(H28)-1,8),RAMY=DEC2BIN(ROW(H28)-1,8)),DATA,H28)</f>
        <v>0</v>
      </c>
      <c r="I28" s="87">
        <f ca="1">IF(AND(OP="11",RAMX=DEC2BIN(COLUMN(I28)-1,8),RAMY=DEC2BIN(ROW(I28)-1,8)),DATA,I28)</f>
        <v>0</v>
      </c>
      <c r="J28" s="87">
        <f ca="1">IF(AND(OP="11",RAMX=DEC2BIN(COLUMN(J28)-1,8),RAMY=DEC2BIN(ROW(J28)-1,8)),DATA,J28)</f>
        <v>0</v>
      </c>
      <c r="K28" s="87">
        <f ca="1">IF(AND(OP="11",RAMX=DEC2BIN(COLUMN(K28)-1,8),RAMY=DEC2BIN(ROW(K28)-1,8)),DATA,K28)</f>
        <v>0</v>
      </c>
      <c r="L28" s="87">
        <f ca="1">IF(AND(OP="11",RAMX=DEC2BIN(COLUMN(L28)-1,8),RAMY=DEC2BIN(ROW(L28)-1,8)),DATA,L28)</f>
        <v>0</v>
      </c>
      <c r="M28" s="87">
        <f ca="1">IF(AND(OP="11",RAMX=DEC2BIN(COLUMN(M28)-1,8),RAMY=DEC2BIN(ROW(M28)-1,8)),DATA,M28)</f>
        <v>0</v>
      </c>
      <c r="N28" s="87">
        <f ca="1">IF(AND(OP="11",RAMX=DEC2BIN(COLUMN(N28)-1,8),RAMY=DEC2BIN(ROW(N28)-1,8)),DATA,N28)</f>
        <v>0</v>
      </c>
      <c r="O28" s="87">
        <f ca="1">IF(AND(OP="11",RAMX=DEC2BIN(COLUMN(O28)-1,8),RAMY=DEC2BIN(ROW(O28)-1,8)),DATA,O28)</f>
        <v>0</v>
      </c>
      <c r="P28" s="87">
        <f ca="1">IF(AND(OP="11",RAMX=DEC2BIN(COLUMN(P28)-1,8),RAMY=DEC2BIN(ROW(P28)-1,8)),DATA,P28)</f>
        <v>0</v>
      </c>
      <c r="Q28" s="87">
        <f ca="1">IF(AND(OP="11",RAMX=DEC2BIN(COLUMN(Q28)-1,8),RAMY=DEC2BIN(ROW(Q28)-1,8)),DATA,Q28)</f>
        <v>0</v>
      </c>
      <c r="R28" s="87">
        <f ca="1">IF(AND(OP="11",RAMX=DEC2BIN(COLUMN(R28)-1,8),RAMY=DEC2BIN(ROW(R28)-1,8)),DATA,R28)</f>
        <v>0</v>
      </c>
      <c r="S28" s="87">
        <f ca="1">IF(AND(OP="11",RAMX=DEC2BIN(COLUMN(S28)-1,8),RAMY=DEC2BIN(ROW(S28)-1,8)),DATA,S28)</f>
        <v>0</v>
      </c>
      <c r="T28" s="87">
        <f ca="1">IF(AND(OP="11",RAMX=DEC2BIN(COLUMN(T28)-1,8),RAMY=DEC2BIN(ROW(T28)-1,8)),DATA,T28)</f>
        <v>0</v>
      </c>
      <c r="U28" s="87">
        <f ca="1">IF(AND(OP="11",RAMX=DEC2BIN(COLUMN(U28)-1,8),RAMY=DEC2BIN(ROW(U28)-1,8)),DATA,U28)</f>
        <v>0</v>
      </c>
      <c r="V28" s="87">
        <f ca="1">IF(AND(OP="11",RAMX=DEC2BIN(COLUMN(V28)-1,8),RAMY=DEC2BIN(ROW(V28)-1,8)),DATA,V28)</f>
        <v>0</v>
      </c>
      <c r="W28" s="87">
        <f ca="1">IF(AND(OP="11",RAMX=DEC2BIN(COLUMN(W28)-1,8),RAMY=DEC2BIN(ROW(W28)-1,8)),DATA,W28)</f>
        <v>0</v>
      </c>
      <c r="X28" s="87">
        <f ca="1">IF(AND(OP="11",RAMX=DEC2BIN(COLUMN(X28)-1,8),RAMY=DEC2BIN(ROW(X28)-1,8)),DATA,X28)</f>
        <v>0</v>
      </c>
      <c r="Y28" s="87">
        <f ca="1">IF(AND(OP="11",RAMX=DEC2BIN(COLUMN(Y28)-1,8),RAMY=DEC2BIN(ROW(Y28)-1,8)),DATA,Y28)</f>
        <v>0</v>
      </c>
      <c r="Z28" s="87">
        <f ca="1">IF(AND(OP="11",RAMX=DEC2BIN(COLUMN(Z28)-1,8),RAMY=DEC2BIN(ROW(Z28)-1,8)),DATA,Z28)</f>
        <v>0</v>
      </c>
      <c r="AA28" s="87">
        <f ca="1">IF(AND(OP="11",RAMX=DEC2BIN(COLUMN(AA28)-1,8),RAMY=DEC2BIN(ROW(AA28)-1,8)),DATA,AA28)</f>
        <v>0</v>
      </c>
      <c r="AB28" s="87">
        <f ca="1">IF(AND(OP="11",RAMX=DEC2BIN(COLUMN(AB28)-1,8),RAMY=DEC2BIN(ROW(AB28)-1,8)),DATA,AB28)</f>
        <v>0</v>
      </c>
      <c r="AC28" s="87">
        <f ca="1">IF(AND(OP="11",RAMX=DEC2BIN(COLUMN(AC28)-1,8),RAMY=DEC2BIN(ROW(AC28)-1,8)),DATA,AC28)</f>
        <v>0</v>
      </c>
      <c r="AD28" s="87">
        <f ca="1">IF(AND(OP="11",RAMX=DEC2BIN(COLUMN(AD28)-1,8),RAMY=DEC2BIN(ROW(AD28)-1,8)),DATA,AD28)</f>
        <v>0</v>
      </c>
      <c r="AE28" s="87">
        <f ca="1">IF(AND(OP="11",RAMX=DEC2BIN(COLUMN(AE28)-1,8),RAMY=DEC2BIN(ROW(AE28)-1,8)),DATA,AE28)</f>
        <v>0</v>
      </c>
      <c r="AF28" s="87">
        <f ca="1">IF(AND(OP="11",RAMX=DEC2BIN(COLUMN(AF28)-1,8),RAMY=DEC2BIN(ROW(AF28)-1,8)),DATA,AF28)</f>
        <v>0</v>
      </c>
      <c r="AG28" s="87">
        <f ca="1">IF(AND(OP="11",RAMX=DEC2BIN(COLUMN(AG28)-1,8),RAMY=DEC2BIN(ROW(AG28)-1,8)),DATA,AG28)</f>
        <v>0</v>
      </c>
      <c r="AH28" s="87">
        <f ca="1">IF(AND(OP="11",RAMX=DEC2BIN(COLUMN(AH28)-1,8),RAMY=DEC2BIN(ROW(AH28)-1,8)),DATA,AH28)</f>
        <v>0</v>
      </c>
      <c r="AI28" s="87">
        <f ca="1">IF(AND(OP="11",RAMX=DEC2BIN(COLUMN(AI28)-1,8),RAMY=DEC2BIN(ROW(AI28)-1,8)),DATA,AI28)</f>
        <v>0</v>
      </c>
      <c r="AJ28" s="87">
        <f ca="1">IF(AND(OP="11",RAMX=DEC2BIN(COLUMN(AJ28)-1,8),RAMY=DEC2BIN(ROW(AJ28)-1,8)),DATA,AJ28)</f>
        <v>0</v>
      </c>
      <c r="AK28" s="87">
        <f ca="1">IF(AND(OP="11",RAMX=DEC2BIN(COLUMN(AK28)-1,8),RAMY=DEC2BIN(ROW(AK28)-1,8)),DATA,AK28)</f>
        <v>0</v>
      </c>
      <c r="AL28" s="87">
        <f ca="1">IF(AND(OP="11",RAMX=DEC2BIN(COLUMN(AL28)-1,8),RAMY=DEC2BIN(ROW(AL28)-1,8)),DATA,AL28)</f>
        <v>0</v>
      </c>
      <c r="AM28" s="87">
        <f ca="1">IF(AND(OP="11",RAMX=DEC2BIN(COLUMN(AM28)-1,8),RAMY=DEC2BIN(ROW(AM28)-1,8)),DATA,AM28)</f>
        <v>0</v>
      </c>
      <c r="AN28" s="87">
        <f ca="1">IF(AND(OP="11",RAMX=DEC2BIN(COLUMN(AN28)-1,8),RAMY=DEC2BIN(ROW(AN28)-1,8)),DATA,AN28)</f>
        <v>0</v>
      </c>
      <c r="AO28" s="87">
        <f ca="1">IF(AND(OP="11",RAMX=DEC2BIN(COLUMN(AO28)-1,8),RAMY=DEC2BIN(ROW(AO28)-1,8)),DATA,AO28)</f>
        <v>0</v>
      </c>
      <c r="AP28" s="87">
        <f ca="1">IF(AND(OP="11",RAMX=DEC2BIN(COLUMN(AP28)-1,8),RAMY=DEC2BIN(ROW(AP28)-1,8)),DATA,AP28)</f>
        <v>0</v>
      </c>
      <c r="AQ28" s="87">
        <f ca="1">IF(AND(OP="11",RAMX=DEC2BIN(COLUMN(AQ28)-1,8),RAMY=DEC2BIN(ROW(AQ28)-1,8)),DATA,AQ28)</f>
        <v>0</v>
      </c>
      <c r="AR28" s="87">
        <f ca="1">IF(AND(OP="11",RAMX=DEC2BIN(COLUMN(AR28)-1,8),RAMY=DEC2BIN(ROW(AR28)-1,8)),DATA,AR28)</f>
        <v>0</v>
      </c>
      <c r="AS28" s="87">
        <f ca="1">IF(AND(OP="11",RAMX=DEC2BIN(COLUMN(AS28)-1,8),RAMY=DEC2BIN(ROW(AS28)-1,8)),DATA,AS28)</f>
        <v>0</v>
      </c>
      <c r="AT28" s="87">
        <f ca="1">IF(AND(OP="11",RAMX=DEC2BIN(COLUMN(AT28)-1,8),RAMY=DEC2BIN(ROW(AT28)-1,8)),DATA,AT28)</f>
        <v>0</v>
      </c>
      <c r="AU28" s="87">
        <f ca="1">IF(AND(OP="11",RAMX=DEC2BIN(COLUMN(AU28)-1,8),RAMY=DEC2BIN(ROW(AU28)-1,8)),DATA,AU28)</f>
        <v>0</v>
      </c>
      <c r="AV28" s="87">
        <f ca="1">IF(AND(OP="11",RAMX=DEC2BIN(COLUMN(AV28)-1,8),RAMY=DEC2BIN(ROW(AV28)-1,8)),DATA,AV28)</f>
        <v>0</v>
      </c>
      <c r="AW28" s="87">
        <f ca="1">IF(AND(OP="11",RAMX=DEC2BIN(COLUMN(AW28)-1,8),RAMY=DEC2BIN(ROW(AW28)-1,8)),DATA,AW28)</f>
        <v>0</v>
      </c>
      <c r="AX28" s="87">
        <f ca="1">IF(AND(OP="11",RAMX=DEC2BIN(COLUMN(AX28)-1,8),RAMY=DEC2BIN(ROW(AX28)-1,8)),DATA,AX28)</f>
        <v>0</v>
      </c>
      <c r="AY28" s="87">
        <f ca="1">IF(AND(OP="11",RAMX=DEC2BIN(COLUMN(AY28)-1,8),RAMY=DEC2BIN(ROW(AY28)-1,8)),DATA,AY28)</f>
        <v>0</v>
      </c>
      <c r="AZ28" s="87">
        <f ca="1">IF(AND(OP="11",RAMX=DEC2BIN(COLUMN(AZ28)-1,8),RAMY=DEC2BIN(ROW(AZ28)-1,8)),DATA,AZ28)</f>
        <v>0</v>
      </c>
      <c r="BA28" s="87">
        <f ca="1">IF(AND(OP="11",RAMX=DEC2BIN(COLUMN(BA28)-1,8),RAMY=DEC2BIN(ROW(BA28)-1,8)),DATA,BA28)</f>
        <v>0</v>
      </c>
      <c r="BB28" s="87">
        <f ca="1">IF(AND(OP="11",RAMX=DEC2BIN(COLUMN(BB28)-1,8),RAMY=DEC2BIN(ROW(BB28)-1,8)),DATA,BB28)</f>
        <v>0</v>
      </c>
      <c r="BC28" s="87">
        <f ca="1">IF(AND(OP="11",RAMX=DEC2BIN(COLUMN(BC28)-1,8),RAMY=DEC2BIN(ROW(BC28)-1,8)),DATA,BC28)</f>
        <v>0</v>
      </c>
      <c r="BD28" s="87">
        <f ca="1">IF(AND(OP="11",RAMX=DEC2BIN(COLUMN(BD28)-1,8),RAMY=DEC2BIN(ROW(BD28)-1,8)),DATA,BD28)</f>
        <v>0</v>
      </c>
      <c r="BE28" s="87">
        <f ca="1">IF(AND(OP="11",RAMX=DEC2BIN(COLUMN(BE28)-1,8),RAMY=DEC2BIN(ROW(BE28)-1,8)),DATA,BE28)</f>
        <v>0</v>
      </c>
      <c r="BF28" s="87">
        <f ca="1">IF(AND(OP="11",RAMX=DEC2BIN(COLUMN(BF28)-1,8),RAMY=DEC2BIN(ROW(BF28)-1,8)),DATA,BF28)</f>
        <v>0</v>
      </c>
      <c r="BG28" s="87">
        <f ca="1">IF(AND(OP="11",RAMX=DEC2BIN(COLUMN(BG28)-1,8),RAMY=DEC2BIN(ROW(BG28)-1,8)),DATA,BG28)</f>
        <v>0</v>
      </c>
      <c r="BH28" s="87">
        <f ca="1">IF(AND(OP="11",RAMX=DEC2BIN(COLUMN(BH28)-1,8),RAMY=DEC2BIN(ROW(BH28)-1,8)),DATA,BH28)</f>
        <v>0</v>
      </c>
      <c r="BI28" s="87">
        <f ca="1">IF(AND(OP="11",RAMX=DEC2BIN(COLUMN(BI28)-1,8),RAMY=DEC2BIN(ROW(BI28)-1,8)),DATA,BI28)</f>
        <v>0</v>
      </c>
      <c r="BJ28" s="87">
        <f ca="1">IF(AND(OP="11",RAMX=DEC2BIN(COLUMN(BJ28)-1,8),RAMY=DEC2BIN(ROW(BJ28)-1,8)),DATA,BJ28)</f>
        <v>0</v>
      </c>
      <c r="BK28" s="87">
        <f ca="1">IF(AND(OP="11",RAMX=DEC2BIN(COLUMN(BK28)-1,8),RAMY=DEC2BIN(ROW(BK28)-1,8)),DATA,BK28)</f>
        <v>0</v>
      </c>
      <c r="BL28" s="87">
        <f ca="1">IF(AND(OP="11",RAMX=DEC2BIN(COLUMN(BL28)-1,8),RAMY=DEC2BIN(ROW(BL28)-1,8)),DATA,BL28)</f>
        <v>0</v>
      </c>
    </row>
    <row r="29" spans="1:64" x14ac:dyDescent="0.25">
      <c r="A29" s="87">
        <f ca="1">IF(AND(OP="11",RAMX=DEC2BIN(COLUMN(A29)-1,8),RAMY=DEC2BIN(ROW(A29)-1,8)),DATA,A29)</f>
        <v>0</v>
      </c>
      <c r="B29" s="87">
        <f ca="1">IF(AND(OP="11",RAMX=DEC2BIN(COLUMN(B29)-1,8),RAMY=DEC2BIN(ROW(B29)-1,8)),DATA,B29)</f>
        <v>0</v>
      </c>
      <c r="C29" s="87">
        <f ca="1">IF(AND(OP="11",RAMX=DEC2BIN(COLUMN(C29)-1,8),RAMY=DEC2BIN(ROW(C29)-1,8)),DATA,C29)</f>
        <v>0</v>
      </c>
      <c r="D29" s="87">
        <f ca="1">IF(AND(OP="11",RAMX=DEC2BIN(COLUMN(D29)-1,8),RAMY=DEC2BIN(ROW(D29)-1,8)),DATA,D29)</f>
        <v>0</v>
      </c>
      <c r="E29" s="87">
        <f ca="1">IF(AND(OP="11",RAMX=DEC2BIN(COLUMN(E29)-1,8),RAMY=DEC2BIN(ROW(E29)-1,8)),DATA,E29)</f>
        <v>0</v>
      </c>
      <c r="F29" s="87">
        <f ca="1">IF(AND(OP="11",RAMX=DEC2BIN(COLUMN(F29)-1,8),RAMY=DEC2BIN(ROW(F29)-1,8)),DATA,F29)</f>
        <v>0</v>
      </c>
      <c r="G29" s="87">
        <f ca="1">IF(AND(OP="11",RAMX=DEC2BIN(COLUMN(G29)-1,8),RAMY=DEC2BIN(ROW(G29)-1,8)),DATA,G29)</f>
        <v>0</v>
      </c>
      <c r="H29" s="87">
        <f ca="1">IF(AND(OP="11",RAMX=DEC2BIN(COLUMN(H29)-1,8),RAMY=DEC2BIN(ROW(H29)-1,8)),DATA,H29)</f>
        <v>0</v>
      </c>
      <c r="I29" s="87">
        <f ca="1">IF(AND(OP="11",RAMX=DEC2BIN(COLUMN(I29)-1,8),RAMY=DEC2BIN(ROW(I29)-1,8)),DATA,I29)</f>
        <v>0</v>
      </c>
      <c r="J29" s="87">
        <f ca="1">IF(AND(OP="11",RAMX=DEC2BIN(COLUMN(J29)-1,8),RAMY=DEC2BIN(ROW(J29)-1,8)),DATA,J29)</f>
        <v>0</v>
      </c>
      <c r="K29" s="87">
        <f ca="1">IF(AND(OP="11",RAMX=DEC2BIN(COLUMN(K29)-1,8),RAMY=DEC2BIN(ROW(K29)-1,8)),DATA,K29)</f>
        <v>0</v>
      </c>
      <c r="L29" s="87">
        <f ca="1">IF(AND(OP="11",RAMX=DEC2BIN(COLUMN(L29)-1,8),RAMY=DEC2BIN(ROW(L29)-1,8)),DATA,L29)</f>
        <v>0</v>
      </c>
      <c r="M29" s="87">
        <f ca="1">IF(AND(OP="11",RAMX=DEC2BIN(COLUMN(M29)-1,8),RAMY=DEC2BIN(ROW(M29)-1,8)),DATA,M29)</f>
        <v>0</v>
      </c>
      <c r="N29" s="87">
        <f ca="1">IF(AND(OP="11",RAMX=DEC2BIN(COLUMN(N29)-1,8),RAMY=DEC2BIN(ROW(N29)-1,8)),DATA,N29)</f>
        <v>0</v>
      </c>
      <c r="O29" s="87">
        <f ca="1">IF(AND(OP="11",RAMX=DEC2BIN(COLUMN(O29)-1,8),RAMY=DEC2BIN(ROW(O29)-1,8)),DATA,O29)</f>
        <v>0</v>
      </c>
      <c r="P29" s="87">
        <f ca="1">IF(AND(OP="11",RAMX=DEC2BIN(COLUMN(P29)-1,8),RAMY=DEC2BIN(ROW(P29)-1,8)),DATA,P29)</f>
        <v>0</v>
      </c>
      <c r="Q29" s="87">
        <f ca="1">IF(AND(OP="11",RAMX=DEC2BIN(COLUMN(Q29)-1,8),RAMY=DEC2BIN(ROW(Q29)-1,8)),DATA,Q29)</f>
        <v>0</v>
      </c>
      <c r="R29" s="87">
        <f ca="1">IF(AND(OP="11",RAMX=DEC2BIN(COLUMN(R29)-1,8),RAMY=DEC2BIN(ROW(R29)-1,8)),DATA,R29)</f>
        <v>0</v>
      </c>
      <c r="S29" s="87">
        <f ca="1">IF(AND(OP="11",RAMX=DEC2BIN(COLUMN(S29)-1,8),RAMY=DEC2BIN(ROW(S29)-1,8)),DATA,S29)</f>
        <v>0</v>
      </c>
      <c r="T29" s="87">
        <f ca="1">IF(AND(OP="11",RAMX=DEC2BIN(COLUMN(T29)-1,8),RAMY=DEC2BIN(ROW(T29)-1,8)),DATA,T29)</f>
        <v>0</v>
      </c>
      <c r="U29" s="87">
        <f ca="1">IF(AND(OP="11",RAMX=DEC2BIN(COLUMN(U29)-1,8),RAMY=DEC2BIN(ROW(U29)-1,8)),DATA,U29)</f>
        <v>0</v>
      </c>
      <c r="V29" s="87">
        <f ca="1">IF(AND(OP="11",RAMX=DEC2BIN(COLUMN(V29)-1,8),RAMY=DEC2BIN(ROW(V29)-1,8)),DATA,V29)</f>
        <v>0</v>
      </c>
      <c r="W29" s="87">
        <f ca="1">IF(AND(OP="11",RAMX=DEC2BIN(COLUMN(W29)-1,8),RAMY=DEC2BIN(ROW(W29)-1,8)),DATA,W29)</f>
        <v>0</v>
      </c>
      <c r="X29" s="87">
        <f ca="1">IF(AND(OP="11",RAMX=DEC2BIN(COLUMN(X29)-1,8),RAMY=DEC2BIN(ROW(X29)-1,8)),DATA,X29)</f>
        <v>0</v>
      </c>
      <c r="Y29" s="87">
        <f ca="1">IF(AND(OP="11",RAMX=DEC2BIN(COLUMN(Y29)-1,8),RAMY=DEC2BIN(ROW(Y29)-1,8)),DATA,Y29)</f>
        <v>0</v>
      </c>
      <c r="Z29" s="87">
        <f ca="1">IF(AND(OP="11",RAMX=DEC2BIN(COLUMN(Z29)-1,8),RAMY=DEC2BIN(ROW(Z29)-1,8)),DATA,Z29)</f>
        <v>0</v>
      </c>
      <c r="AA29" s="87">
        <f ca="1">IF(AND(OP="11",RAMX=DEC2BIN(COLUMN(AA29)-1,8),RAMY=DEC2BIN(ROW(AA29)-1,8)),DATA,AA29)</f>
        <v>0</v>
      </c>
      <c r="AB29" s="87">
        <f ca="1">IF(AND(OP="11",RAMX=DEC2BIN(COLUMN(AB29)-1,8),RAMY=DEC2BIN(ROW(AB29)-1,8)),DATA,AB29)</f>
        <v>0</v>
      </c>
      <c r="AC29" s="87">
        <f ca="1">IF(AND(OP="11",RAMX=DEC2BIN(COLUMN(AC29)-1,8),RAMY=DEC2BIN(ROW(AC29)-1,8)),DATA,AC29)</f>
        <v>0</v>
      </c>
      <c r="AD29" s="87">
        <f ca="1">IF(AND(OP="11",RAMX=DEC2BIN(COLUMN(AD29)-1,8),RAMY=DEC2BIN(ROW(AD29)-1,8)),DATA,AD29)</f>
        <v>0</v>
      </c>
      <c r="AE29" s="87">
        <f ca="1">IF(AND(OP="11",RAMX=DEC2BIN(COLUMN(AE29)-1,8),RAMY=DEC2BIN(ROW(AE29)-1,8)),DATA,AE29)</f>
        <v>0</v>
      </c>
      <c r="AF29" s="87">
        <f ca="1">IF(AND(OP="11",RAMX=DEC2BIN(COLUMN(AF29)-1,8),RAMY=DEC2BIN(ROW(AF29)-1,8)),DATA,AF29)</f>
        <v>0</v>
      </c>
      <c r="AG29" s="87">
        <f ca="1">IF(AND(OP="11",RAMX=DEC2BIN(COLUMN(AG29)-1,8),RAMY=DEC2BIN(ROW(AG29)-1,8)),DATA,AG29)</f>
        <v>0</v>
      </c>
      <c r="AH29" s="87">
        <f ca="1">IF(AND(OP="11",RAMX=DEC2BIN(COLUMN(AH29)-1,8),RAMY=DEC2BIN(ROW(AH29)-1,8)),DATA,AH29)</f>
        <v>0</v>
      </c>
      <c r="AI29" s="87">
        <f ca="1">IF(AND(OP="11",RAMX=DEC2BIN(COLUMN(AI29)-1,8),RAMY=DEC2BIN(ROW(AI29)-1,8)),DATA,AI29)</f>
        <v>0</v>
      </c>
      <c r="AJ29" s="87">
        <f ca="1">IF(AND(OP="11",RAMX=DEC2BIN(COLUMN(AJ29)-1,8),RAMY=DEC2BIN(ROW(AJ29)-1,8)),DATA,AJ29)</f>
        <v>0</v>
      </c>
      <c r="AK29" s="87">
        <f ca="1">IF(AND(OP="11",RAMX=DEC2BIN(COLUMN(AK29)-1,8),RAMY=DEC2BIN(ROW(AK29)-1,8)),DATA,AK29)</f>
        <v>0</v>
      </c>
      <c r="AL29" s="87">
        <f ca="1">IF(AND(OP="11",RAMX=DEC2BIN(COLUMN(AL29)-1,8),RAMY=DEC2BIN(ROW(AL29)-1,8)),DATA,AL29)</f>
        <v>0</v>
      </c>
      <c r="AM29" s="87">
        <f ca="1">IF(AND(OP="11",RAMX=DEC2BIN(COLUMN(AM29)-1,8),RAMY=DEC2BIN(ROW(AM29)-1,8)),DATA,AM29)</f>
        <v>0</v>
      </c>
      <c r="AN29" s="87">
        <f ca="1">IF(AND(OP="11",RAMX=DEC2BIN(COLUMN(AN29)-1,8),RAMY=DEC2BIN(ROW(AN29)-1,8)),DATA,AN29)</f>
        <v>0</v>
      </c>
      <c r="AO29" s="87">
        <f ca="1">IF(AND(OP="11",RAMX=DEC2BIN(COLUMN(AO29)-1,8),RAMY=DEC2BIN(ROW(AO29)-1,8)),DATA,AO29)</f>
        <v>0</v>
      </c>
      <c r="AP29" s="87">
        <f ca="1">IF(AND(OP="11",RAMX=DEC2BIN(COLUMN(AP29)-1,8),RAMY=DEC2BIN(ROW(AP29)-1,8)),DATA,AP29)</f>
        <v>0</v>
      </c>
      <c r="AQ29" s="87">
        <f ca="1">IF(AND(OP="11",RAMX=DEC2BIN(COLUMN(AQ29)-1,8),RAMY=DEC2BIN(ROW(AQ29)-1,8)),DATA,AQ29)</f>
        <v>0</v>
      </c>
      <c r="AR29" s="87">
        <f ca="1">IF(AND(OP="11",RAMX=DEC2BIN(COLUMN(AR29)-1,8),RAMY=DEC2BIN(ROW(AR29)-1,8)),DATA,AR29)</f>
        <v>0</v>
      </c>
      <c r="AS29" s="87">
        <f ca="1">IF(AND(OP="11",RAMX=DEC2BIN(COLUMN(AS29)-1,8),RAMY=DEC2BIN(ROW(AS29)-1,8)),DATA,AS29)</f>
        <v>0</v>
      </c>
      <c r="AT29" s="87">
        <f ca="1">IF(AND(OP="11",RAMX=DEC2BIN(COLUMN(AT29)-1,8),RAMY=DEC2BIN(ROW(AT29)-1,8)),DATA,AT29)</f>
        <v>0</v>
      </c>
      <c r="AU29" s="87">
        <f ca="1">IF(AND(OP="11",RAMX=DEC2BIN(COLUMN(AU29)-1,8),RAMY=DEC2BIN(ROW(AU29)-1,8)),DATA,AU29)</f>
        <v>0</v>
      </c>
      <c r="AV29" s="87">
        <f ca="1">IF(AND(OP="11",RAMX=DEC2BIN(COLUMN(AV29)-1,8),RAMY=DEC2BIN(ROW(AV29)-1,8)),DATA,AV29)</f>
        <v>0</v>
      </c>
      <c r="AW29" s="87">
        <f ca="1">IF(AND(OP="11",RAMX=DEC2BIN(COLUMN(AW29)-1,8),RAMY=DEC2BIN(ROW(AW29)-1,8)),DATA,AW29)</f>
        <v>0</v>
      </c>
      <c r="AX29" s="87">
        <f ca="1">IF(AND(OP="11",RAMX=DEC2BIN(COLUMN(AX29)-1,8),RAMY=DEC2BIN(ROW(AX29)-1,8)),DATA,AX29)</f>
        <v>0</v>
      </c>
      <c r="AY29" s="87">
        <f ca="1">IF(AND(OP="11",RAMX=DEC2BIN(COLUMN(AY29)-1,8),RAMY=DEC2BIN(ROW(AY29)-1,8)),DATA,AY29)</f>
        <v>0</v>
      </c>
      <c r="AZ29" s="87">
        <f ca="1">IF(AND(OP="11",RAMX=DEC2BIN(COLUMN(AZ29)-1,8),RAMY=DEC2BIN(ROW(AZ29)-1,8)),DATA,AZ29)</f>
        <v>0</v>
      </c>
      <c r="BA29" s="87">
        <f ca="1">IF(AND(OP="11",RAMX=DEC2BIN(COLUMN(BA29)-1,8),RAMY=DEC2BIN(ROW(BA29)-1,8)),DATA,BA29)</f>
        <v>0</v>
      </c>
      <c r="BB29" s="87">
        <f ca="1">IF(AND(OP="11",RAMX=DEC2BIN(COLUMN(BB29)-1,8),RAMY=DEC2BIN(ROW(BB29)-1,8)),DATA,BB29)</f>
        <v>0</v>
      </c>
      <c r="BC29" s="87">
        <f ca="1">IF(AND(OP="11",RAMX=DEC2BIN(COLUMN(BC29)-1,8),RAMY=DEC2BIN(ROW(BC29)-1,8)),DATA,BC29)</f>
        <v>0</v>
      </c>
      <c r="BD29" s="87">
        <f ca="1">IF(AND(OP="11",RAMX=DEC2BIN(COLUMN(BD29)-1,8),RAMY=DEC2BIN(ROW(BD29)-1,8)),DATA,BD29)</f>
        <v>0</v>
      </c>
      <c r="BE29" s="87">
        <f ca="1">IF(AND(OP="11",RAMX=DEC2BIN(COLUMN(BE29)-1,8),RAMY=DEC2BIN(ROW(BE29)-1,8)),DATA,BE29)</f>
        <v>0</v>
      </c>
      <c r="BF29" s="87">
        <f ca="1">IF(AND(OP="11",RAMX=DEC2BIN(COLUMN(BF29)-1,8),RAMY=DEC2BIN(ROW(BF29)-1,8)),DATA,BF29)</f>
        <v>0</v>
      </c>
      <c r="BG29" s="87">
        <f ca="1">IF(AND(OP="11",RAMX=DEC2BIN(COLUMN(BG29)-1,8),RAMY=DEC2BIN(ROW(BG29)-1,8)),DATA,BG29)</f>
        <v>0</v>
      </c>
      <c r="BH29" s="87">
        <f ca="1">IF(AND(OP="11",RAMX=DEC2BIN(COLUMN(BH29)-1,8),RAMY=DEC2BIN(ROW(BH29)-1,8)),DATA,BH29)</f>
        <v>0</v>
      </c>
      <c r="BI29" s="87">
        <f ca="1">IF(AND(OP="11",RAMX=DEC2BIN(COLUMN(BI29)-1,8),RAMY=DEC2BIN(ROW(BI29)-1,8)),DATA,BI29)</f>
        <v>0</v>
      </c>
      <c r="BJ29" s="87">
        <f ca="1">IF(AND(OP="11",RAMX=DEC2BIN(COLUMN(BJ29)-1,8),RAMY=DEC2BIN(ROW(BJ29)-1,8)),DATA,BJ29)</f>
        <v>0</v>
      </c>
      <c r="BK29" s="87">
        <f ca="1">IF(AND(OP="11",RAMX=DEC2BIN(COLUMN(BK29)-1,8),RAMY=DEC2BIN(ROW(BK29)-1,8)),DATA,BK29)</f>
        <v>0</v>
      </c>
      <c r="BL29" s="87">
        <f ca="1">IF(AND(OP="11",RAMX=DEC2BIN(COLUMN(BL29)-1,8),RAMY=DEC2BIN(ROW(BL29)-1,8)),DATA,BL29)</f>
        <v>0</v>
      </c>
    </row>
    <row r="30" spans="1:64" x14ac:dyDescent="0.25">
      <c r="A30" s="87">
        <f ca="1">IF(AND(OP="11",RAMX=DEC2BIN(COLUMN(A30)-1,8),RAMY=DEC2BIN(ROW(A30)-1,8)),DATA,A30)</f>
        <v>0</v>
      </c>
      <c r="B30" s="87">
        <f ca="1">IF(AND(OP="11",RAMX=DEC2BIN(COLUMN(B30)-1,8),RAMY=DEC2BIN(ROW(B30)-1,8)),DATA,B30)</f>
        <v>0</v>
      </c>
      <c r="C30" s="87">
        <f ca="1">IF(AND(OP="11",RAMX=DEC2BIN(COLUMN(C30)-1,8),RAMY=DEC2BIN(ROW(C30)-1,8)),DATA,C30)</f>
        <v>0</v>
      </c>
      <c r="D30" s="87">
        <f ca="1">IF(AND(OP="11",RAMX=DEC2BIN(COLUMN(D30)-1,8),RAMY=DEC2BIN(ROW(D30)-1,8)),DATA,D30)</f>
        <v>0</v>
      </c>
      <c r="E30" s="87">
        <f ca="1">IF(AND(OP="11",RAMX=DEC2BIN(COLUMN(E30)-1,8),RAMY=DEC2BIN(ROW(E30)-1,8)),DATA,E30)</f>
        <v>0</v>
      </c>
      <c r="F30" s="87">
        <f ca="1">IF(AND(OP="11",RAMX=DEC2BIN(COLUMN(F30)-1,8),RAMY=DEC2BIN(ROW(F30)-1,8)),DATA,F30)</f>
        <v>0</v>
      </c>
      <c r="G30" s="87">
        <f ca="1">IF(AND(OP="11",RAMX=DEC2BIN(COLUMN(G30)-1,8),RAMY=DEC2BIN(ROW(G30)-1,8)),DATA,G30)</f>
        <v>0</v>
      </c>
      <c r="H30" s="87">
        <f ca="1">IF(AND(OP="11",RAMX=DEC2BIN(COLUMN(H30)-1,8),RAMY=DEC2BIN(ROW(H30)-1,8)),DATA,H30)</f>
        <v>0</v>
      </c>
      <c r="I30" s="87">
        <f ca="1">IF(AND(OP="11",RAMX=DEC2BIN(COLUMN(I30)-1,8),RAMY=DEC2BIN(ROW(I30)-1,8)),DATA,I30)</f>
        <v>0</v>
      </c>
      <c r="J30" s="87">
        <f ca="1">IF(AND(OP="11",RAMX=DEC2BIN(COLUMN(J30)-1,8),RAMY=DEC2BIN(ROW(J30)-1,8)),DATA,J30)</f>
        <v>0</v>
      </c>
      <c r="K30" s="87">
        <f ca="1">IF(AND(OP="11",RAMX=DEC2BIN(COLUMN(K30)-1,8),RAMY=DEC2BIN(ROW(K30)-1,8)),DATA,K30)</f>
        <v>0</v>
      </c>
      <c r="L30" s="87">
        <f ca="1">IF(AND(OP="11",RAMX=DEC2BIN(COLUMN(L30)-1,8),RAMY=DEC2BIN(ROW(L30)-1,8)),DATA,L30)</f>
        <v>0</v>
      </c>
      <c r="M30" s="87">
        <f ca="1">IF(AND(OP="11",RAMX=DEC2BIN(COLUMN(M30)-1,8),RAMY=DEC2BIN(ROW(M30)-1,8)),DATA,M30)</f>
        <v>0</v>
      </c>
      <c r="N30" s="87">
        <f ca="1">IF(AND(OP="11",RAMX=DEC2BIN(COLUMN(N30)-1,8),RAMY=DEC2BIN(ROW(N30)-1,8)),DATA,N30)</f>
        <v>0</v>
      </c>
      <c r="O30" s="87">
        <f ca="1">IF(AND(OP="11",RAMX=DEC2BIN(COLUMN(O30)-1,8),RAMY=DEC2BIN(ROW(O30)-1,8)),DATA,O30)</f>
        <v>0</v>
      </c>
      <c r="P30" s="87">
        <f ca="1">IF(AND(OP="11",RAMX=DEC2BIN(COLUMN(P30)-1,8),RAMY=DEC2BIN(ROW(P30)-1,8)),DATA,P30)</f>
        <v>0</v>
      </c>
      <c r="Q30" s="87">
        <f ca="1">IF(AND(OP="11",RAMX=DEC2BIN(COLUMN(Q30)-1,8),RAMY=DEC2BIN(ROW(Q30)-1,8)),DATA,Q30)</f>
        <v>0</v>
      </c>
      <c r="R30" s="87">
        <f ca="1">IF(AND(OP="11",RAMX=DEC2BIN(COLUMN(R30)-1,8),RAMY=DEC2BIN(ROW(R30)-1,8)),DATA,R30)</f>
        <v>0</v>
      </c>
      <c r="S30" s="87">
        <f ca="1">IF(AND(OP="11",RAMX=DEC2BIN(COLUMN(S30)-1,8),RAMY=DEC2BIN(ROW(S30)-1,8)),DATA,S30)</f>
        <v>0</v>
      </c>
      <c r="T30" s="87">
        <f ca="1">IF(AND(OP="11",RAMX=DEC2BIN(COLUMN(T30)-1,8),RAMY=DEC2BIN(ROW(T30)-1,8)),DATA,T30)</f>
        <v>0</v>
      </c>
      <c r="U30" s="87">
        <f ca="1">IF(AND(OP="11",RAMX=DEC2BIN(COLUMN(U30)-1,8),RAMY=DEC2BIN(ROW(U30)-1,8)),DATA,U30)</f>
        <v>0</v>
      </c>
      <c r="V30" s="87">
        <f ca="1">IF(AND(OP="11",RAMX=DEC2BIN(COLUMN(V30)-1,8),RAMY=DEC2BIN(ROW(V30)-1,8)),DATA,V30)</f>
        <v>0</v>
      </c>
      <c r="W30" s="87">
        <f ca="1">IF(AND(OP="11",RAMX=DEC2BIN(COLUMN(W30)-1,8),RAMY=DEC2BIN(ROW(W30)-1,8)),DATA,W30)</f>
        <v>0</v>
      </c>
      <c r="X30" s="87">
        <f ca="1">IF(AND(OP="11",RAMX=DEC2BIN(COLUMN(X30)-1,8),RAMY=DEC2BIN(ROW(X30)-1,8)),DATA,X30)</f>
        <v>0</v>
      </c>
      <c r="Y30" s="87">
        <f ca="1">IF(AND(OP="11",RAMX=DEC2BIN(COLUMN(Y30)-1,8),RAMY=DEC2BIN(ROW(Y30)-1,8)),DATA,Y30)</f>
        <v>0</v>
      </c>
      <c r="Z30" s="87">
        <f ca="1">IF(AND(OP="11",RAMX=DEC2BIN(COLUMN(Z30)-1,8),RAMY=DEC2BIN(ROW(Z30)-1,8)),DATA,Z30)</f>
        <v>0</v>
      </c>
      <c r="AA30" s="87">
        <f ca="1">IF(AND(OP="11",RAMX=DEC2BIN(COLUMN(AA30)-1,8),RAMY=DEC2BIN(ROW(AA30)-1,8)),DATA,AA30)</f>
        <v>0</v>
      </c>
      <c r="AB30" s="87">
        <f ca="1">IF(AND(OP="11",RAMX=DEC2BIN(COLUMN(AB30)-1,8),RAMY=DEC2BIN(ROW(AB30)-1,8)),DATA,AB30)</f>
        <v>0</v>
      </c>
      <c r="AC30" s="87">
        <f ca="1">IF(AND(OP="11",RAMX=DEC2BIN(COLUMN(AC30)-1,8),RAMY=DEC2BIN(ROW(AC30)-1,8)),DATA,AC30)</f>
        <v>0</v>
      </c>
      <c r="AD30" s="87">
        <f ca="1">IF(AND(OP="11",RAMX=DEC2BIN(COLUMN(AD30)-1,8),RAMY=DEC2BIN(ROW(AD30)-1,8)),DATA,AD30)</f>
        <v>0</v>
      </c>
      <c r="AE30" s="87">
        <f ca="1">IF(AND(OP="11",RAMX=DEC2BIN(COLUMN(AE30)-1,8),RAMY=DEC2BIN(ROW(AE30)-1,8)),DATA,AE30)</f>
        <v>0</v>
      </c>
      <c r="AF30" s="87">
        <f ca="1">IF(AND(OP="11",RAMX=DEC2BIN(COLUMN(AF30)-1,8),RAMY=DEC2BIN(ROW(AF30)-1,8)),DATA,AF30)</f>
        <v>0</v>
      </c>
      <c r="AG30" s="87">
        <f ca="1">IF(AND(OP="11",RAMX=DEC2BIN(COLUMN(AG30)-1,8),RAMY=DEC2BIN(ROW(AG30)-1,8)),DATA,AG30)</f>
        <v>0</v>
      </c>
      <c r="AH30" s="87">
        <f ca="1">IF(AND(OP="11",RAMX=DEC2BIN(COLUMN(AH30)-1,8),RAMY=DEC2BIN(ROW(AH30)-1,8)),DATA,AH30)</f>
        <v>0</v>
      </c>
      <c r="AI30" s="87">
        <f ca="1">IF(AND(OP="11",RAMX=DEC2BIN(COLUMN(AI30)-1,8),RAMY=DEC2BIN(ROW(AI30)-1,8)),DATA,AI30)</f>
        <v>0</v>
      </c>
      <c r="AJ30" s="87">
        <f ca="1">IF(AND(OP="11",RAMX=DEC2BIN(COLUMN(AJ30)-1,8),RAMY=DEC2BIN(ROW(AJ30)-1,8)),DATA,AJ30)</f>
        <v>0</v>
      </c>
      <c r="AK30" s="87">
        <f ca="1">IF(AND(OP="11",RAMX=DEC2BIN(COLUMN(AK30)-1,8),RAMY=DEC2BIN(ROW(AK30)-1,8)),DATA,AK30)</f>
        <v>0</v>
      </c>
      <c r="AL30" s="87">
        <f ca="1">IF(AND(OP="11",RAMX=DEC2BIN(COLUMN(AL30)-1,8),RAMY=DEC2BIN(ROW(AL30)-1,8)),DATA,AL30)</f>
        <v>0</v>
      </c>
      <c r="AM30" s="87">
        <f ca="1">IF(AND(OP="11",RAMX=DEC2BIN(COLUMN(AM30)-1,8),RAMY=DEC2BIN(ROW(AM30)-1,8)),DATA,AM30)</f>
        <v>0</v>
      </c>
      <c r="AN30" s="87">
        <f ca="1">IF(AND(OP="11",RAMX=DEC2BIN(COLUMN(AN30)-1,8),RAMY=DEC2BIN(ROW(AN30)-1,8)),DATA,AN30)</f>
        <v>0</v>
      </c>
      <c r="AO30" s="87">
        <f ca="1">IF(AND(OP="11",RAMX=DEC2BIN(COLUMN(AO30)-1,8),RAMY=DEC2BIN(ROW(AO30)-1,8)),DATA,AO30)</f>
        <v>0</v>
      </c>
      <c r="AP30" s="87">
        <f ca="1">IF(AND(OP="11",RAMX=DEC2BIN(COLUMN(AP30)-1,8),RAMY=DEC2BIN(ROW(AP30)-1,8)),DATA,AP30)</f>
        <v>0</v>
      </c>
      <c r="AQ30" s="87">
        <f ca="1">IF(AND(OP="11",RAMX=DEC2BIN(COLUMN(AQ30)-1,8),RAMY=DEC2BIN(ROW(AQ30)-1,8)),DATA,AQ30)</f>
        <v>0</v>
      </c>
      <c r="AR30" s="87">
        <f ca="1">IF(AND(OP="11",RAMX=DEC2BIN(COLUMN(AR30)-1,8),RAMY=DEC2BIN(ROW(AR30)-1,8)),DATA,AR30)</f>
        <v>0</v>
      </c>
      <c r="AS30" s="87">
        <f ca="1">IF(AND(OP="11",RAMX=DEC2BIN(COLUMN(AS30)-1,8),RAMY=DEC2BIN(ROW(AS30)-1,8)),DATA,AS30)</f>
        <v>0</v>
      </c>
      <c r="AT30" s="87">
        <f ca="1">IF(AND(OP="11",RAMX=DEC2BIN(COLUMN(AT30)-1,8),RAMY=DEC2BIN(ROW(AT30)-1,8)),DATA,AT30)</f>
        <v>0</v>
      </c>
      <c r="AU30" s="87">
        <f ca="1">IF(AND(OP="11",RAMX=DEC2BIN(COLUMN(AU30)-1,8),RAMY=DEC2BIN(ROW(AU30)-1,8)),DATA,AU30)</f>
        <v>0</v>
      </c>
      <c r="AV30" s="87">
        <f ca="1">IF(AND(OP="11",RAMX=DEC2BIN(COLUMN(AV30)-1,8),RAMY=DEC2BIN(ROW(AV30)-1,8)),DATA,AV30)</f>
        <v>0</v>
      </c>
      <c r="AW30" s="87">
        <f ca="1">IF(AND(OP="11",RAMX=DEC2BIN(COLUMN(AW30)-1,8),RAMY=DEC2BIN(ROW(AW30)-1,8)),DATA,AW30)</f>
        <v>0</v>
      </c>
      <c r="AX30" s="87">
        <f ca="1">IF(AND(OP="11",RAMX=DEC2BIN(COLUMN(AX30)-1,8),RAMY=DEC2BIN(ROW(AX30)-1,8)),DATA,AX30)</f>
        <v>0</v>
      </c>
      <c r="AY30" s="87">
        <f ca="1">IF(AND(OP="11",RAMX=DEC2BIN(COLUMN(AY30)-1,8),RAMY=DEC2BIN(ROW(AY30)-1,8)),DATA,AY30)</f>
        <v>0</v>
      </c>
      <c r="AZ30" s="87">
        <f ca="1">IF(AND(OP="11",RAMX=DEC2BIN(COLUMN(AZ30)-1,8),RAMY=DEC2BIN(ROW(AZ30)-1,8)),DATA,AZ30)</f>
        <v>0</v>
      </c>
      <c r="BA30" s="87">
        <f ca="1">IF(AND(OP="11",RAMX=DEC2BIN(COLUMN(BA30)-1,8),RAMY=DEC2BIN(ROW(BA30)-1,8)),DATA,BA30)</f>
        <v>0</v>
      </c>
      <c r="BB30" s="87">
        <f ca="1">IF(AND(OP="11",RAMX=DEC2BIN(COLUMN(BB30)-1,8),RAMY=DEC2BIN(ROW(BB30)-1,8)),DATA,BB30)</f>
        <v>0</v>
      </c>
      <c r="BC30" s="87">
        <f ca="1">IF(AND(OP="11",RAMX=DEC2BIN(COLUMN(BC30)-1,8),RAMY=DEC2BIN(ROW(BC30)-1,8)),DATA,BC30)</f>
        <v>0</v>
      </c>
      <c r="BD30" s="87">
        <f ca="1">IF(AND(OP="11",RAMX=DEC2BIN(COLUMN(BD30)-1,8),RAMY=DEC2BIN(ROW(BD30)-1,8)),DATA,BD30)</f>
        <v>0</v>
      </c>
      <c r="BE30" s="87">
        <f ca="1">IF(AND(OP="11",RAMX=DEC2BIN(COLUMN(BE30)-1,8),RAMY=DEC2BIN(ROW(BE30)-1,8)),DATA,BE30)</f>
        <v>0</v>
      </c>
      <c r="BF30" s="87">
        <f ca="1">IF(AND(OP="11",RAMX=DEC2BIN(COLUMN(BF30)-1,8),RAMY=DEC2BIN(ROW(BF30)-1,8)),DATA,BF30)</f>
        <v>0</v>
      </c>
      <c r="BG30" s="87">
        <f ca="1">IF(AND(OP="11",RAMX=DEC2BIN(COLUMN(BG30)-1,8),RAMY=DEC2BIN(ROW(BG30)-1,8)),DATA,BG30)</f>
        <v>0</v>
      </c>
      <c r="BH30" s="87">
        <f ca="1">IF(AND(OP="11",RAMX=DEC2BIN(COLUMN(BH30)-1,8),RAMY=DEC2BIN(ROW(BH30)-1,8)),DATA,BH30)</f>
        <v>0</v>
      </c>
      <c r="BI30" s="87">
        <f ca="1">IF(AND(OP="11",RAMX=DEC2BIN(COLUMN(BI30)-1,8),RAMY=DEC2BIN(ROW(BI30)-1,8)),DATA,BI30)</f>
        <v>0</v>
      </c>
      <c r="BJ30" s="87">
        <f ca="1">IF(AND(OP="11",RAMX=DEC2BIN(COLUMN(BJ30)-1,8),RAMY=DEC2BIN(ROW(BJ30)-1,8)),DATA,BJ30)</f>
        <v>0</v>
      </c>
      <c r="BK30" s="87">
        <f ca="1">IF(AND(OP="11",RAMX=DEC2BIN(COLUMN(BK30)-1,8),RAMY=DEC2BIN(ROW(BK30)-1,8)),DATA,BK30)</f>
        <v>0</v>
      </c>
      <c r="BL30" s="87">
        <f ca="1">IF(AND(OP="11",RAMX=DEC2BIN(COLUMN(BL30)-1,8),RAMY=DEC2BIN(ROW(BL30)-1,8)),DATA,BL30)</f>
        <v>0</v>
      </c>
    </row>
    <row r="31" spans="1:64" x14ac:dyDescent="0.25">
      <c r="A31" s="87">
        <f ca="1">IF(AND(OP="11",RAMX=DEC2BIN(COLUMN(A31)-1,8),RAMY=DEC2BIN(ROW(A31)-1,8)),DATA,A31)</f>
        <v>0</v>
      </c>
      <c r="B31" s="87">
        <f ca="1">IF(AND(OP="11",RAMX=DEC2BIN(COLUMN(B31)-1,8),RAMY=DEC2BIN(ROW(B31)-1,8)),DATA,B31)</f>
        <v>0</v>
      </c>
      <c r="C31" s="87">
        <f ca="1">IF(AND(OP="11",RAMX=DEC2BIN(COLUMN(C31)-1,8),RAMY=DEC2BIN(ROW(C31)-1,8)),DATA,C31)</f>
        <v>0</v>
      </c>
      <c r="D31" s="87">
        <f ca="1">IF(AND(OP="11",RAMX=DEC2BIN(COLUMN(D31)-1,8),RAMY=DEC2BIN(ROW(D31)-1,8)),DATA,D31)</f>
        <v>0</v>
      </c>
      <c r="E31" s="87">
        <f ca="1">IF(AND(OP="11",RAMX=DEC2BIN(COLUMN(E31)-1,8),RAMY=DEC2BIN(ROW(E31)-1,8)),DATA,E31)</f>
        <v>0</v>
      </c>
      <c r="F31" s="87">
        <f ca="1">IF(AND(OP="11",RAMX=DEC2BIN(COLUMN(F31)-1,8),RAMY=DEC2BIN(ROW(F31)-1,8)),DATA,F31)</f>
        <v>0</v>
      </c>
      <c r="G31" s="87">
        <f ca="1">IF(AND(OP="11",RAMX=DEC2BIN(COLUMN(G31)-1,8),RAMY=DEC2BIN(ROW(G31)-1,8)),DATA,G31)</f>
        <v>0</v>
      </c>
      <c r="H31" s="87">
        <f ca="1">IF(AND(OP="11",RAMX=DEC2BIN(COLUMN(H31)-1,8),RAMY=DEC2BIN(ROW(H31)-1,8)),DATA,H31)</f>
        <v>0</v>
      </c>
      <c r="I31" s="87">
        <f ca="1">IF(AND(OP="11",RAMX=DEC2BIN(COLUMN(I31)-1,8),RAMY=DEC2BIN(ROW(I31)-1,8)),DATA,I31)</f>
        <v>0</v>
      </c>
      <c r="J31" s="87">
        <f ca="1">IF(AND(OP="11",RAMX=DEC2BIN(COLUMN(J31)-1,8),RAMY=DEC2BIN(ROW(J31)-1,8)),DATA,J31)</f>
        <v>0</v>
      </c>
      <c r="K31" s="87">
        <f ca="1">IF(AND(OP="11",RAMX=DEC2BIN(COLUMN(K31)-1,8),RAMY=DEC2BIN(ROW(K31)-1,8)),DATA,K31)</f>
        <v>0</v>
      </c>
      <c r="L31" s="87">
        <f ca="1">IF(AND(OP="11",RAMX=DEC2BIN(COLUMN(L31)-1,8),RAMY=DEC2BIN(ROW(L31)-1,8)),DATA,L31)</f>
        <v>0</v>
      </c>
      <c r="M31" s="87">
        <f ca="1">IF(AND(OP="11",RAMX=DEC2BIN(COLUMN(M31)-1,8),RAMY=DEC2BIN(ROW(M31)-1,8)),DATA,M31)</f>
        <v>0</v>
      </c>
      <c r="N31" s="87">
        <f ca="1">IF(AND(OP="11",RAMX=DEC2BIN(COLUMN(N31)-1,8),RAMY=DEC2BIN(ROW(N31)-1,8)),DATA,N31)</f>
        <v>0</v>
      </c>
      <c r="O31" s="87">
        <f ca="1">IF(AND(OP="11",RAMX=DEC2BIN(COLUMN(O31)-1,8),RAMY=DEC2BIN(ROW(O31)-1,8)),DATA,O31)</f>
        <v>0</v>
      </c>
      <c r="P31" s="87">
        <f ca="1">IF(AND(OP="11",RAMX=DEC2BIN(COLUMN(P31)-1,8),RAMY=DEC2BIN(ROW(P31)-1,8)),DATA,P31)</f>
        <v>0</v>
      </c>
      <c r="Q31" s="87">
        <f ca="1">IF(AND(OP="11",RAMX=DEC2BIN(COLUMN(Q31)-1,8),RAMY=DEC2BIN(ROW(Q31)-1,8)),DATA,Q31)</f>
        <v>0</v>
      </c>
      <c r="R31" s="87">
        <f ca="1">IF(AND(OP="11",RAMX=DEC2BIN(COLUMN(R31)-1,8),RAMY=DEC2BIN(ROW(R31)-1,8)),DATA,R31)</f>
        <v>0</v>
      </c>
      <c r="S31" s="87">
        <f ca="1">IF(AND(OP="11",RAMX=DEC2BIN(COLUMN(S31)-1,8),RAMY=DEC2BIN(ROW(S31)-1,8)),DATA,S31)</f>
        <v>0</v>
      </c>
      <c r="T31" s="87">
        <f ca="1">IF(AND(OP="11",RAMX=DEC2BIN(COLUMN(T31)-1,8),RAMY=DEC2BIN(ROW(T31)-1,8)),DATA,T31)</f>
        <v>0</v>
      </c>
      <c r="U31" s="87">
        <f ca="1">IF(AND(OP="11",RAMX=DEC2BIN(COLUMN(U31)-1,8),RAMY=DEC2BIN(ROW(U31)-1,8)),DATA,U31)</f>
        <v>0</v>
      </c>
      <c r="V31" s="87">
        <f ca="1">IF(AND(OP="11",RAMX=DEC2BIN(COLUMN(V31)-1,8),RAMY=DEC2BIN(ROW(V31)-1,8)),DATA,V31)</f>
        <v>0</v>
      </c>
      <c r="W31" s="87">
        <f ca="1">IF(AND(OP="11",RAMX=DEC2BIN(COLUMN(W31)-1,8),RAMY=DEC2BIN(ROW(W31)-1,8)),DATA,W31)</f>
        <v>0</v>
      </c>
      <c r="X31" s="87">
        <f ca="1">IF(AND(OP="11",RAMX=DEC2BIN(COLUMN(X31)-1,8),RAMY=DEC2BIN(ROW(X31)-1,8)),DATA,X31)</f>
        <v>0</v>
      </c>
      <c r="Y31" s="87">
        <f ca="1">IF(AND(OP="11",RAMX=DEC2BIN(COLUMN(Y31)-1,8),RAMY=DEC2BIN(ROW(Y31)-1,8)),DATA,Y31)</f>
        <v>0</v>
      </c>
      <c r="Z31" s="87">
        <f ca="1">IF(AND(OP="11",RAMX=DEC2BIN(COLUMN(Z31)-1,8),RAMY=DEC2BIN(ROW(Z31)-1,8)),DATA,Z31)</f>
        <v>0</v>
      </c>
      <c r="AA31" s="87">
        <f ca="1">IF(AND(OP="11",RAMX=DEC2BIN(COLUMN(AA31)-1,8),RAMY=DEC2BIN(ROW(AA31)-1,8)),DATA,AA31)</f>
        <v>0</v>
      </c>
      <c r="AB31" s="87">
        <f ca="1">IF(AND(OP="11",RAMX=DEC2BIN(COLUMN(AB31)-1,8),RAMY=DEC2BIN(ROW(AB31)-1,8)),DATA,AB31)</f>
        <v>0</v>
      </c>
      <c r="AC31" s="87">
        <f ca="1">IF(AND(OP="11",RAMX=DEC2BIN(COLUMN(AC31)-1,8),RAMY=DEC2BIN(ROW(AC31)-1,8)),DATA,AC31)</f>
        <v>0</v>
      </c>
      <c r="AD31" s="87">
        <f ca="1">IF(AND(OP="11",RAMX=DEC2BIN(COLUMN(AD31)-1,8),RAMY=DEC2BIN(ROW(AD31)-1,8)),DATA,AD31)</f>
        <v>0</v>
      </c>
      <c r="AE31" s="87">
        <f ca="1">IF(AND(OP="11",RAMX=DEC2BIN(COLUMN(AE31)-1,8),RAMY=DEC2BIN(ROW(AE31)-1,8)),DATA,AE31)</f>
        <v>0</v>
      </c>
      <c r="AF31" s="87">
        <f ca="1">IF(AND(OP="11",RAMX=DEC2BIN(COLUMN(AF31)-1,8),RAMY=DEC2BIN(ROW(AF31)-1,8)),DATA,AF31)</f>
        <v>0</v>
      </c>
      <c r="AG31" s="87">
        <f ca="1">IF(AND(OP="11",RAMX=DEC2BIN(COLUMN(AG31)-1,8),RAMY=DEC2BIN(ROW(AG31)-1,8)),DATA,AG31)</f>
        <v>0</v>
      </c>
      <c r="AH31" s="87">
        <f ca="1">IF(AND(OP="11",RAMX=DEC2BIN(COLUMN(AH31)-1,8),RAMY=DEC2BIN(ROW(AH31)-1,8)),DATA,AH31)</f>
        <v>0</v>
      </c>
      <c r="AI31" s="87">
        <f ca="1">IF(AND(OP="11",RAMX=DEC2BIN(COLUMN(AI31)-1,8),RAMY=DEC2BIN(ROW(AI31)-1,8)),DATA,AI31)</f>
        <v>0</v>
      </c>
      <c r="AJ31" s="87">
        <f ca="1">IF(AND(OP="11",RAMX=DEC2BIN(COLUMN(AJ31)-1,8),RAMY=DEC2BIN(ROW(AJ31)-1,8)),DATA,AJ31)</f>
        <v>0</v>
      </c>
      <c r="AK31" s="87">
        <f ca="1">IF(AND(OP="11",RAMX=DEC2BIN(COLUMN(AK31)-1,8),RAMY=DEC2BIN(ROW(AK31)-1,8)),DATA,AK31)</f>
        <v>0</v>
      </c>
      <c r="AL31" s="87">
        <f ca="1">IF(AND(OP="11",RAMX=DEC2BIN(COLUMN(AL31)-1,8),RAMY=DEC2BIN(ROW(AL31)-1,8)),DATA,AL31)</f>
        <v>0</v>
      </c>
      <c r="AM31" s="87">
        <f ca="1">IF(AND(OP="11",RAMX=DEC2BIN(COLUMN(AM31)-1,8),RAMY=DEC2BIN(ROW(AM31)-1,8)),DATA,AM31)</f>
        <v>0</v>
      </c>
      <c r="AN31" s="87">
        <f ca="1">IF(AND(OP="11",RAMX=DEC2BIN(COLUMN(AN31)-1,8),RAMY=DEC2BIN(ROW(AN31)-1,8)),DATA,AN31)</f>
        <v>0</v>
      </c>
      <c r="AO31" s="87">
        <f ca="1">IF(AND(OP="11",RAMX=DEC2BIN(COLUMN(AO31)-1,8),RAMY=DEC2BIN(ROW(AO31)-1,8)),DATA,AO31)</f>
        <v>0</v>
      </c>
      <c r="AP31" s="87">
        <f ca="1">IF(AND(OP="11",RAMX=DEC2BIN(COLUMN(AP31)-1,8),RAMY=DEC2BIN(ROW(AP31)-1,8)),DATA,AP31)</f>
        <v>0</v>
      </c>
      <c r="AQ31" s="87">
        <f ca="1">IF(AND(OP="11",RAMX=DEC2BIN(COLUMN(AQ31)-1,8),RAMY=DEC2BIN(ROW(AQ31)-1,8)),DATA,AQ31)</f>
        <v>0</v>
      </c>
      <c r="AR31" s="87">
        <f ca="1">IF(AND(OP="11",RAMX=DEC2BIN(COLUMN(AR31)-1,8),RAMY=DEC2BIN(ROW(AR31)-1,8)),DATA,AR31)</f>
        <v>0</v>
      </c>
      <c r="AS31" s="87">
        <f ca="1">IF(AND(OP="11",RAMX=DEC2BIN(COLUMN(AS31)-1,8),RAMY=DEC2BIN(ROW(AS31)-1,8)),DATA,AS31)</f>
        <v>0</v>
      </c>
      <c r="AT31" s="87">
        <f ca="1">IF(AND(OP="11",RAMX=DEC2BIN(COLUMN(AT31)-1,8),RAMY=DEC2BIN(ROW(AT31)-1,8)),DATA,AT31)</f>
        <v>0</v>
      </c>
      <c r="AU31" s="87">
        <f ca="1">IF(AND(OP="11",RAMX=DEC2BIN(COLUMN(AU31)-1,8),RAMY=DEC2BIN(ROW(AU31)-1,8)),DATA,AU31)</f>
        <v>0</v>
      </c>
      <c r="AV31" s="87">
        <f ca="1">IF(AND(OP="11",RAMX=DEC2BIN(COLUMN(AV31)-1,8),RAMY=DEC2BIN(ROW(AV31)-1,8)),DATA,AV31)</f>
        <v>0</v>
      </c>
      <c r="AW31" s="87">
        <f ca="1">IF(AND(OP="11",RAMX=DEC2BIN(COLUMN(AW31)-1,8),RAMY=DEC2BIN(ROW(AW31)-1,8)),DATA,AW31)</f>
        <v>0</v>
      </c>
      <c r="AX31" s="87">
        <f ca="1">IF(AND(OP="11",RAMX=DEC2BIN(COLUMN(AX31)-1,8),RAMY=DEC2BIN(ROW(AX31)-1,8)),DATA,AX31)</f>
        <v>0</v>
      </c>
      <c r="AY31" s="87">
        <f ca="1">IF(AND(OP="11",RAMX=DEC2BIN(COLUMN(AY31)-1,8),RAMY=DEC2BIN(ROW(AY31)-1,8)),DATA,AY31)</f>
        <v>0</v>
      </c>
      <c r="AZ31" s="87">
        <f ca="1">IF(AND(OP="11",RAMX=DEC2BIN(COLUMN(AZ31)-1,8),RAMY=DEC2BIN(ROW(AZ31)-1,8)),DATA,AZ31)</f>
        <v>0</v>
      </c>
      <c r="BA31" s="87">
        <f ca="1">IF(AND(OP="11",RAMX=DEC2BIN(COLUMN(BA31)-1,8),RAMY=DEC2BIN(ROW(BA31)-1,8)),DATA,BA31)</f>
        <v>0</v>
      </c>
      <c r="BB31" s="87">
        <f ca="1">IF(AND(OP="11",RAMX=DEC2BIN(COLUMN(BB31)-1,8),RAMY=DEC2BIN(ROW(BB31)-1,8)),DATA,BB31)</f>
        <v>0</v>
      </c>
      <c r="BC31" s="87">
        <f ca="1">IF(AND(OP="11",RAMX=DEC2BIN(COLUMN(BC31)-1,8),RAMY=DEC2BIN(ROW(BC31)-1,8)),DATA,BC31)</f>
        <v>0</v>
      </c>
      <c r="BD31" s="87">
        <f ca="1">IF(AND(OP="11",RAMX=DEC2BIN(COLUMN(BD31)-1,8),RAMY=DEC2BIN(ROW(BD31)-1,8)),DATA,BD31)</f>
        <v>0</v>
      </c>
      <c r="BE31" s="87">
        <f ca="1">IF(AND(OP="11",RAMX=DEC2BIN(COLUMN(BE31)-1,8),RAMY=DEC2BIN(ROW(BE31)-1,8)),DATA,BE31)</f>
        <v>0</v>
      </c>
      <c r="BF31" s="87">
        <f ca="1">IF(AND(OP="11",RAMX=DEC2BIN(COLUMN(BF31)-1,8),RAMY=DEC2BIN(ROW(BF31)-1,8)),DATA,BF31)</f>
        <v>0</v>
      </c>
      <c r="BG31" s="87">
        <f ca="1">IF(AND(OP="11",RAMX=DEC2BIN(COLUMN(BG31)-1,8),RAMY=DEC2BIN(ROW(BG31)-1,8)),DATA,BG31)</f>
        <v>0</v>
      </c>
      <c r="BH31" s="87">
        <f ca="1">IF(AND(OP="11",RAMX=DEC2BIN(COLUMN(BH31)-1,8),RAMY=DEC2BIN(ROW(BH31)-1,8)),DATA,BH31)</f>
        <v>0</v>
      </c>
      <c r="BI31" s="87">
        <f ca="1">IF(AND(OP="11",RAMX=DEC2BIN(COLUMN(BI31)-1,8),RAMY=DEC2BIN(ROW(BI31)-1,8)),DATA,BI31)</f>
        <v>0</v>
      </c>
      <c r="BJ31" s="87">
        <f ca="1">IF(AND(OP="11",RAMX=DEC2BIN(COLUMN(BJ31)-1,8),RAMY=DEC2BIN(ROW(BJ31)-1,8)),DATA,BJ31)</f>
        <v>0</v>
      </c>
      <c r="BK31" s="87">
        <f ca="1">IF(AND(OP="11",RAMX=DEC2BIN(COLUMN(BK31)-1,8),RAMY=DEC2BIN(ROW(BK31)-1,8)),DATA,BK31)</f>
        <v>0</v>
      </c>
      <c r="BL31" s="87">
        <f ca="1">IF(AND(OP="11",RAMX=DEC2BIN(COLUMN(BL31)-1,8),RAMY=DEC2BIN(ROW(BL31)-1,8)),DATA,BL31)</f>
        <v>0</v>
      </c>
    </row>
    <row r="32" spans="1:64" x14ac:dyDescent="0.25">
      <c r="A32" s="87">
        <f ca="1">IF(AND(OP="11",RAMX=DEC2BIN(COLUMN(A32)-1,8),RAMY=DEC2BIN(ROW(A32)-1,8)),DATA,A32)</f>
        <v>0</v>
      </c>
      <c r="B32" s="87">
        <f ca="1">IF(AND(OP="11",RAMX=DEC2BIN(COLUMN(B32)-1,8),RAMY=DEC2BIN(ROW(B32)-1,8)),DATA,B32)</f>
        <v>0</v>
      </c>
      <c r="C32" s="87">
        <f ca="1">IF(AND(OP="11",RAMX=DEC2BIN(COLUMN(C32)-1,8),RAMY=DEC2BIN(ROW(C32)-1,8)),DATA,C32)</f>
        <v>0</v>
      </c>
      <c r="D32" s="87">
        <f ca="1">IF(AND(OP="11",RAMX=DEC2BIN(COLUMN(D32)-1,8),RAMY=DEC2BIN(ROW(D32)-1,8)),DATA,D32)</f>
        <v>0</v>
      </c>
      <c r="E32" s="87">
        <f ca="1">IF(AND(OP="11",RAMX=DEC2BIN(COLUMN(E32)-1,8),RAMY=DEC2BIN(ROW(E32)-1,8)),DATA,E32)</f>
        <v>0</v>
      </c>
      <c r="F32" s="87">
        <f ca="1">IF(AND(OP="11",RAMX=DEC2BIN(COLUMN(F32)-1,8),RAMY=DEC2BIN(ROW(F32)-1,8)),DATA,F32)</f>
        <v>0</v>
      </c>
      <c r="G32" s="87">
        <f ca="1">IF(AND(OP="11",RAMX=DEC2BIN(COLUMN(G32)-1,8),RAMY=DEC2BIN(ROW(G32)-1,8)),DATA,G32)</f>
        <v>0</v>
      </c>
      <c r="H32" s="87">
        <f ca="1">IF(AND(OP="11",RAMX=DEC2BIN(COLUMN(H32)-1,8),RAMY=DEC2BIN(ROW(H32)-1,8)),DATA,H32)</f>
        <v>0</v>
      </c>
      <c r="I32" s="87">
        <f ca="1">IF(AND(OP="11",RAMX=DEC2BIN(COLUMN(I32)-1,8),RAMY=DEC2BIN(ROW(I32)-1,8)),DATA,I32)</f>
        <v>0</v>
      </c>
      <c r="J32" s="87">
        <f ca="1">IF(AND(OP="11",RAMX=DEC2BIN(COLUMN(J32)-1,8),RAMY=DEC2BIN(ROW(J32)-1,8)),DATA,J32)</f>
        <v>0</v>
      </c>
      <c r="K32" s="87">
        <f ca="1">IF(AND(OP="11",RAMX=DEC2BIN(COLUMN(K32)-1,8),RAMY=DEC2BIN(ROW(K32)-1,8)),DATA,K32)</f>
        <v>0</v>
      </c>
      <c r="L32" s="87">
        <f ca="1">IF(AND(OP="11",RAMX=DEC2BIN(COLUMN(L32)-1,8),RAMY=DEC2BIN(ROW(L32)-1,8)),DATA,L32)</f>
        <v>0</v>
      </c>
      <c r="M32" s="87">
        <f ca="1">IF(AND(OP="11",RAMX=DEC2BIN(COLUMN(M32)-1,8),RAMY=DEC2BIN(ROW(M32)-1,8)),DATA,M32)</f>
        <v>0</v>
      </c>
      <c r="N32" s="87">
        <f ca="1">IF(AND(OP="11",RAMX=DEC2BIN(COLUMN(N32)-1,8),RAMY=DEC2BIN(ROW(N32)-1,8)),DATA,N32)</f>
        <v>0</v>
      </c>
      <c r="O32" s="87">
        <f ca="1">IF(AND(OP="11",RAMX=DEC2BIN(COLUMN(O32)-1,8),RAMY=DEC2BIN(ROW(O32)-1,8)),DATA,O32)</f>
        <v>0</v>
      </c>
      <c r="P32" s="87">
        <f ca="1">IF(AND(OP="11",RAMX=DEC2BIN(COLUMN(P32)-1,8),RAMY=DEC2BIN(ROW(P32)-1,8)),DATA,P32)</f>
        <v>0</v>
      </c>
      <c r="Q32" s="87">
        <f ca="1">IF(AND(OP="11",RAMX=DEC2BIN(COLUMN(Q32)-1,8),RAMY=DEC2BIN(ROW(Q32)-1,8)),DATA,Q32)</f>
        <v>0</v>
      </c>
      <c r="R32" s="87">
        <f ca="1">IF(AND(OP="11",RAMX=DEC2BIN(COLUMN(R32)-1,8),RAMY=DEC2BIN(ROW(R32)-1,8)),DATA,R32)</f>
        <v>0</v>
      </c>
      <c r="S32" s="87">
        <f ca="1">IF(AND(OP="11",RAMX=DEC2BIN(COLUMN(S32)-1,8),RAMY=DEC2BIN(ROW(S32)-1,8)),DATA,S32)</f>
        <v>0</v>
      </c>
      <c r="T32" s="87">
        <f ca="1">IF(AND(OP="11",RAMX=DEC2BIN(COLUMN(T32)-1,8),RAMY=DEC2BIN(ROW(T32)-1,8)),DATA,T32)</f>
        <v>0</v>
      </c>
      <c r="U32" s="87">
        <f ca="1">IF(AND(OP="11",RAMX=DEC2BIN(COLUMN(U32)-1,8),RAMY=DEC2BIN(ROW(U32)-1,8)),DATA,U32)</f>
        <v>0</v>
      </c>
      <c r="V32" s="87">
        <f ca="1">IF(AND(OP="11",RAMX=DEC2BIN(COLUMN(V32)-1,8),RAMY=DEC2BIN(ROW(V32)-1,8)),DATA,V32)</f>
        <v>0</v>
      </c>
      <c r="W32" s="87">
        <f ca="1">IF(AND(OP="11",RAMX=DEC2BIN(COLUMN(W32)-1,8),RAMY=DEC2BIN(ROW(W32)-1,8)),DATA,W32)</f>
        <v>0</v>
      </c>
      <c r="X32" s="87">
        <f ca="1">IF(AND(OP="11",RAMX=DEC2BIN(COLUMN(X32)-1,8),RAMY=DEC2BIN(ROW(X32)-1,8)),DATA,X32)</f>
        <v>0</v>
      </c>
      <c r="Y32" s="87">
        <f ca="1">IF(AND(OP="11",RAMX=DEC2BIN(COLUMN(Y32)-1,8),RAMY=DEC2BIN(ROW(Y32)-1,8)),DATA,Y32)</f>
        <v>0</v>
      </c>
      <c r="Z32" s="87">
        <f ca="1">IF(AND(OP="11",RAMX=DEC2BIN(COLUMN(Z32)-1,8),RAMY=DEC2BIN(ROW(Z32)-1,8)),DATA,Z32)</f>
        <v>0</v>
      </c>
      <c r="AA32" s="87">
        <f ca="1">IF(AND(OP="11",RAMX=DEC2BIN(COLUMN(AA32)-1,8),RAMY=DEC2BIN(ROW(AA32)-1,8)),DATA,AA32)</f>
        <v>0</v>
      </c>
      <c r="AB32" s="87">
        <f ca="1">IF(AND(OP="11",RAMX=DEC2BIN(COLUMN(AB32)-1,8),RAMY=DEC2BIN(ROW(AB32)-1,8)),DATA,AB32)</f>
        <v>0</v>
      </c>
      <c r="AC32" s="87">
        <f ca="1">IF(AND(OP="11",RAMX=DEC2BIN(COLUMN(AC32)-1,8),RAMY=DEC2BIN(ROW(AC32)-1,8)),DATA,AC32)</f>
        <v>0</v>
      </c>
      <c r="AD32" s="87">
        <f ca="1">IF(AND(OP="11",RAMX=DEC2BIN(COLUMN(AD32)-1,8),RAMY=DEC2BIN(ROW(AD32)-1,8)),DATA,AD32)</f>
        <v>0</v>
      </c>
      <c r="AE32" s="87">
        <f ca="1">IF(AND(OP="11",RAMX=DEC2BIN(COLUMN(AE32)-1,8),RAMY=DEC2BIN(ROW(AE32)-1,8)),DATA,AE32)</f>
        <v>0</v>
      </c>
      <c r="AF32" s="87">
        <f ca="1">IF(AND(OP="11",RAMX=DEC2BIN(COLUMN(AF32)-1,8),RAMY=DEC2BIN(ROW(AF32)-1,8)),DATA,AF32)</f>
        <v>0</v>
      </c>
      <c r="AG32" s="87">
        <f ca="1">IF(AND(OP="11",RAMX=DEC2BIN(COLUMN(AG32)-1,8),RAMY=DEC2BIN(ROW(AG32)-1,8)),DATA,AG32)</f>
        <v>0</v>
      </c>
      <c r="AH32" s="87">
        <f ca="1">IF(AND(OP="11",RAMX=DEC2BIN(COLUMN(AH32)-1,8),RAMY=DEC2BIN(ROW(AH32)-1,8)),DATA,AH32)</f>
        <v>0</v>
      </c>
      <c r="AI32" s="87">
        <f ca="1">IF(AND(OP="11",RAMX=DEC2BIN(COLUMN(AI32)-1,8),RAMY=DEC2BIN(ROW(AI32)-1,8)),DATA,AI32)</f>
        <v>0</v>
      </c>
      <c r="AJ32" s="87">
        <f ca="1">IF(AND(OP="11",RAMX=DEC2BIN(COLUMN(AJ32)-1,8),RAMY=DEC2BIN(ROW(AJ32)-1,8)),DATA,AJ32)</f>
        <v>0</v>
      </c>
      <c r="AK32" s="87">
        <f ca="1">IF(AND(OP="11",RAMX=DEC2BIN(COLUMN(AK32)-1,8),RAMY=DEC2BIN(ROW(AK32)-1,8)),DATA,AK32)</f>
        <v>0</v>
      </c>
      <c r="AL32" s="87">
        <f ca="1">IF(AND(OP="11",RAMX=DEC2BIN(COLUMN(AL32)-1,8),RAMY=DEC2BIN(ROW(AL32)-1,8)),DATA,AL32)</f>
        <v>0</v>
      </c>
      <c r="AM32" s="87">
        <f ca="1">IF(AND(OP="11",RAMX=DEC2BIN(COLUMN(AM32)-1,8),RAMY=DEC2BIN(ROW(AM32)-1,8)),DATA,AM32)</f>
        <v>0</v>
      </c>
      <c r="AN32" s="87">
        <f ca="1">IF(AND(OP="11",RAMX=DEC2BIN(COLUMN(AN32)-1,8),RAMY=DEC2BIN(ROW(AN32)-1,8)),DATA,AN32)</f>
        <v>0</v>
      </c>
      <c r="AO32" s="87">
        <f ca="1">IF(AND(OP="11",RAMX=DEC2BIN(COLUMN(AO32)-1,8),RAMY=DEC2BIN(ROW(AO32)-1,8)),DATA,AO32)</f>
        <v>0</v>
      </c>
      <c r="AP32" s="87">
        <f ca="1">IF(AND(OP="11",RAMX=DEC2BIN(COLUMN(AP32)-1,8),RAMY=DEC2BIN(ROW(AP32)-1,8)),DATA,AP32)</f>
        <v>0</v>
      </c>
      <c r="AQ32" s="87">
        <f ca="1">IF(AND(OP="11",RAMX=DEC2BIN(COLUMN(AQ32)-1,8),RAMY=DEC2BIN(ROW(AQ32)-1,8)),DATA,AQ32)</f>
        <v>0</v>
      </c>
      <c r="AR32" s="87">
        <f ca="1">IF(AND(OP="11",RAMX=DEC2BIN(COLUMN(AR32)-1,8),RAMY=DEC2BIN(ROW(AR32)-1,8)),DATA,AR32)</f>
        <v>0</v>
      </c>
      <c r="AS32" s="87">
        <f ca="1">IF(AND(OP="11",RAMX=DEC2BIN(COLUMN(AS32)-1,8),RAMY=DEC2BIN(ROW(AS32)-1,8)),DATA,AS32)</f>
        <v>0</v>
      </c>
      <c r="AT32" s="87">
        <f ca="1">IF(AND(OP="11",RAMX=DEC2BIN(COLUMN(AT32)-1,8),RAMY=DEC2BIN(ROW(AT32)-1,8)),DATA,AT32)</f>
        <v>0</v>
      </c>
      <c r="AU32" s="87">
        <f ca="1">IF(AND(OP="11",RAMX=DEC2BIN(COLUMN(AU32)-1,8),RAMY=DEC2BIN(ROW(AU32)-1,8)),DATA,AU32)</f>
        <v>0</v>
      </c>
      <c r="AV32" s="87">
        <f ca="1">IF(AND(OP="11",RAMX=DEC2BIN(COLUMN(AV32)-1,8),RAMY=DEC2BIN(ROW(AV32)-1,8)),DATA,AV32)</f>
        <v>0</v>
      </c>
      <c r="AW32" s="87">
        <f ca="1">IF(AND(OP="11",RAMX=DEC2BIN(COLUMN(AW32)-1,8),RAMY=DEC2BIN(ROW(AW32)-1,8)),DATA,AW32)</f>
        <v>0</v>
      </c>
      <c r="AX32" s="87">
        <f ca="1">IF(AND(OP="11",RAMX=DEC2BIN(COLUMN(AX32)-1,8),RAMY=DEC2BIN(ROW(AX32)-1,8)),DATA,AX32)</f>
        <v>0</v>
      </c>
      <c r="AY32" s="87">
        <f ca="1">IF(AND(OP="11",RAMX=DEC2BIN(COLUMN(AY32)-1,8),RAMY=DEC2BIN(ROW(AY32)-1,8)),DATA,AY32)</f>
        <v>0</v>
      </c>
      <c r="AZ32" s="87">
        <f ca="1">IF(AND(OP="11",RAMX=DEC2BIN(COLUMN(AZ32)-1,8),RAMY=DEC2BIN(ROW(AZ32)-1,8)),DATA,AZ32)</f>
        <v>0</v>
      </c>
      <c r="BA32" s="87">
        <f ca="1">IF(AND(OP="11",RAMX=DEC2BIN(COLUMN(BA32)-1,8),RAMY=DEC2BIN(ROW(BA32)-1,8)),DATA,BA32)</f>
        <v>0</v>
      </c>
      <c r="BB32" s="87">
        <f ca="1">IF(AND(OP="11",RAMX=DEC2BIN(COLUMN(BB32)-1,8),RAMY=DEC2BIN(ROW(BB32)-1,8)),DATA,BB32)</f>
        <v>0</v>
      </c>
      <c r="BC32" s="87">
        <f ca="1">IF(AND(OP="11",RAMX=DEC2BIN(COLUMN(BC32)-1,8),RAMY=DEC2BIN(ROW(BC32)-1,8)),DATA,BC32)</f>
        <v>0</v>
      </c>
      <c r="BD32" s="87">
        <f ca="1">IF(AND(OP="11",RAMX=DEC2BIN(COLUMN(BD32)-1,8),RAMY=DEC2BIN(ROW(BD32)-1,8)),DATA,BD32)</f>
        <v>0</v>
      </c>
      <c r="BE32" s="87">
        <f ca="1">IF(AND(OP="11",RAMX=DEC2BIN(COLUMN(BE32)-1,8),RAMY=DEC2BIN(ROW(BE32)-1,8)),DATA,BE32)</f>
        <v>0</v>
      </c>
      <c r="BF32" s="87">
        <f ca="1">IF(AND(OP="11",RAMX=DEC2BIN(COLUMN(BF32)-1,8),RAMY=DEC2BIN(ROW(BF32)-1,8)),DATA,BF32)</f>
        <v>0</v>
      </c>
      <c r="BG32" s="87">
        <f ca="1">IF(AND(OP="11",RAMX=DEC2BIN(COLUMN(BG32)-1,8),RAMY=DEC2BIN(ROW(BG32)-1,8)),DATA,BG32)</f>
        <v>0</v>
      </c>
      <c r="BH32" s="87">
        <f ca="1">IF(AND(OP="11",RAMX=DEC2BIN(COLUMN(BH32)-1,8),RAMY=DEC2BIN(ROW(BH32)-1,8)),DATA,BH32)</f>
        <v>0</v>
      </c>
      <c r="BI32" s="87">
        <f ca="1">IF(AND(OP="11",RAMX=DEC2BIN(COLUMN(BI32)-1,8),RAMY=DEC2BIN(ROW(BI32)-1,8)),DATA,BI32)</f>
        <v>0</v>
      </c>
      <c r="BJ32" s="87">
        <f ca="1">IF(AND(OP="11",RAMX=DEC2BIN(COLUMN(BJ32)-1,8),RAMY=DEC2BIN(ROW(BJ32)-1,8)),DATA,BJ32)</f>
        <v>0</v>
      </c>
      <c r="BK32" s="87">
        <f ca="1">IF(AND(OP="11",RAMX=DEC2BIN(COLUMN(BK32)-1,8),RAMY=DEC2BIN(ROW(BK32)-1,8)),DATA,BK32)</f>
        <v>0</v>
      </c>
      <c r="BL32" s="87">
        <f ca="1">IF(AND(OP="11",RAMX=DEC2BIN(COLUMN(BL32)-1,8),RAMY=DEC2BIN(ROW(BL32)-1,8)),DATA,BL32)</f>
        <v>0</v>
      </c>
    </row>
    <row r="33" spans="1:64" x14ac:dyDescent="0.25">
      <c r="A33" s="87">
        <f ca="1">IF(AND(OP="11",RAMX=DEC2BIN(COLUMN(A33)-1,8),RAMY=DEC2BIN(ROW(A33)-1,8)),DATA,A33)</f>
        <v>0</v>
      </c>
      <c r="B33" s="87">
        <f ca="1">IF(AND(OP="11",RAMX=DEC2BIN(COLUMN(B33)-1,8),RAMY=DEC2BIN(ROW(B33)-1,8)),DATA,B33)</f>
        <v>0</v>
      </c>
      <c r="C33" s="87">
        <f ca="1">IF(AND(OP="11",RAMX=DEC2BIN(COLUMN(C33)-1,8),RAMY=DEC2BIN(ROW(C33)-1,8)),DATA,C33)</f>
        <v>0</v>
      </c>
      <c r="D33" s="87">
        <f ca="1">IF(AND(OP="11",RAMX=DEC2BIN(COLUMN(D33)-1,8),RAMY=DEC2BIN(ROW(D33)-1,8)),DATA,D33)</f>
        <v>0</v>
      </c>
      <c r="E33" s="87">
        <f ca="1">IF(AND(OP="11",RAMX=DEC2BIN(COLUMN(E33)-1,8),RAMY=DEC2BIN(ROW(E33)-1,8)),DATA,E33)</f>
        <v>0</v>
      </c>
      <c r="F33" s="87">
        <f ca="1">IF(AND(OP="11",RAMX=DEC2BIN(COLUMN(F33)-1,8),RAMY=DEC2BIN(ROW(F33)-1,8)),DATA,F33)</f>
        <v>0</v>
      </c>
      <c r="G33" s="87">
        <f ca="1">IF(AND(OP="11",RAMX=DEC2BIN(COLUMN(G33)-1,8),RAMY=DEC2BIN(ROW(G33)-1,8)),DATA,G33)</f>
        <v>0</v>
      </c>
      <c r="H33" s="87">
        <f ca="1">IF(AND(OP="11",RAMX=DEC2BIN(COLUMN(H33)-1,8),RAMY=DEC2BIN(ROW(H33)-1,8)),DATA,H33)</f>
        <v>0</v>
      </c>
      <c r="I33" s="87">
        <f ca="1">IF(AND(OP="11",RAMX=DEC2BIN(COLUMN(I33)-1,8),RAMY=DEC2BIN(ROW(I33)-1,8)),DATA,I33)</f>
        <v>0</v>
      </c>
      <c r="J33" s="87">
        <f ca="1">IF(AND(OP="11",RAMX=DEC2BIN(COLUMN(J33)-1,8),RAMY=DEC2BIN(ROW(J33)-1,8)),DATA,J33)</f>
        <v>0</v>
      </c>
      <c r="K33" s="87">
        <f ca="1">IF(AND(OP="11",RAMX=DEC2BIN(COLUMN(K33)-1,8),RAMY=DEC2BIN(ROW(K33)-1,8)),DATA,K33)</f>
        <v>0</v>
      </c>
      <c r="L33" s="87">
        <f ca="1">IF(AND(OP="11",RAMX=DEC2BIN(COLUMN(L33)-1,8),RAMY=DEC2BIN(ROW(L33)-1,8)),DATA,L33)</f>
        <v>0</v>
      </c>
      <c r="M33" s="87">
        <f ca="1">IF(AND(OP="11",RAMX=DEC2BIN(COLUMN(M33)-1,8),RAMY=DEC2BIN(ROW(M33)-1,8)),DATA,M33)</f>
        <v>0</v>
      </c>
      <c r="N33" s="87">
        <f ca="1">IF(AND(OP="11",RAMX=DEC2BIN(COLUMN(N33)-1,8),RAMY=DEC2BIN(ROW(N33)-1,8)),DATA,N33)</f>
        <v>0</v>
      </c>
      <c r="O33" s="87">
        <f ca="1">IF(AND(OP="11",RAMX=DEC2BIN(COLUMN(O33)-1,8),RAMY=DEC2BIN(ROW(O33)-1,8)),DATA,O33)</f>
        <v>0</v>
      </c>
      <c r="P33" s="87">
        <f ca="1">IF(AND(OP="11",RAMX=DEC2BIN(COLUMN(P33)-1,8),RAMY=DEC2BIN(ROW(P33)-1,8)),DATA,P33)</f>
        <v>0</v>
      </c>
      <c r="Q33" s="87">
        <f ca="1">IF(AND(OP="11",RAMX=DEC2BIN(COLUMN(Q33)-1,8),RAMY=DEC2BIN(ROW(Q33)-1,8)),DATA,Q33)</f>
        <v>0</v>
      </c>
      <c r="R33" s="87">
        <f ca="1">IF(AND(OP="11",RAMX=DEC2BIN(COLUMN(R33)-1,8),RAMY=DEC2BIN(ROW(R33)-1,8)),DATA,R33)</f>
        <v>0</v>
      </c>
      <c r="S33" s="87">
        <f ca="1">IF(AND(OP="11",RAMX=DEC2BIN(COLUMN(S33)-1,8),RAMY=DEC2BIN(ROW(S33)-1,8)),DATA,S33)</f>
        <v>0</v>
      </c>
      <c r="T33" s="87">
        <f ca="1">IF(AND(OP="11",RAMX=DEC2BIN(COLUMN(T33)-1,8),RAMY=DEC2BIN(ROW(T33)-1,8)),DATA,T33)</f>
        <v>0</v>
      </c>
      <c r="U33" s="87">
        <f ca="1">IF(AND(OP="11",RAMX=DEC2BIN(COLUMN(U33)-1,8),RAMY=DEC2BIN(ROW(U33)-1,8)),DATA,U33)</f>
        <v>0</v>
      </c>
      <c r="V33" s="87">
        <f ca="1">IF(AND(OP="11",RAMX=DEC2BIN(COLUMN(V33)-1,8),RAMY=DEC2BIN(ROW(V33)-1,8)),DATA,V33)</f>
        <v>0</v>
      </c>
      <c r="W33" s="87">
        <f ca="1">IF(AND(OP="11",RAMX=DEC2BIN(COLUMN(W33)-1,8),RAMY=DEC2BIN(ROW(W33)-1,8)),DATA,W33)</f>
        <v>0</v>
      </c>
      <c r="X33" s="87">
        <f ca="1">IF(AND(OP="11",RAMX=DEC2BIN(COLUMN(X33)-1,8),RAMY=DEC2BIN(ROW(X33)-1,8)),DATA,X33)</f>
        <v>0</v>
      </c>
      <c r="Y33" s="87">
        <f ca="1">IF(AND(OP="11",RAMX=DEC2BIN(COLUMN(Y33)-1,8),RAMY=DEC2BIN(ROW(Y33)-1,8)),DATA,Y33)</f>
        <v>0</v>
      </c>
      <c r="Z33" s="87">
        <f ca="1">IF(AND(OP="11",RAMX=DEC2BIN(COLUMN(Z33)-1,8),RAMY=DEC2BIN(ROW(Z33)-1,8)),DATA,Z33)</f>
        <v>0</v>
      </c>
      <c r="AA33" s="87">
        <f ca="1">IF(AND(OP="11",RAMX=DEC2BIN(COLUMN(AA33)-1,8),RAMY=DEC2BIN(ROW(AA33)-1,8)),DATA,AA33)</f>
        <v>0</v>
      </c>
      <c r="AB33" s="87">
        <f ca="1">IF(AND(OP="11",RAMX=DEC2BIN(COLUMN(AB33)-1,8),RAMY=DEC2BIN(ROW(AB33)-1,8)),DATA,AB33)</f>
        <v>0</v>
      </c>
      <c r="AC33" s="87">
        <f ca="1">IF(AND(OP="11",RAMX=DEC2BIN(COLUMN(AC33)-1,8),RAMY=DEC2BIN(ROW(AC33)-1,8)),DATA,AC33)</f>
        <v>0</v>
      </c>
      <c r="AD33" s="87">
        <f ca="1">IF(AND(OP="11",RAMX=DEC2BIN(COLUMN(AD33)-1,8),RAMY=DEC2BIN(ROW(AD33)-1,8)),DATA,AD33)</f>
        <v>0</v>
      </c>
      <c r="AE33" s="87">
        <f ca="1">IF(AND(OP="11",RAMX=DEC2BIN(COLUMN(AE33)-1,8),RAMY=DEC2BIN(ROW(AE33)-1,8)),DATA,AE33)</f>
        <v>0</v>
      </c>
      <c r="AF33" s="87">
        <f ca="1">IF(AND(OP="11",RAMX=DEC2BIN(COLUMN(AF33)-1,8),RAMY=DEC2BIN(ROW(AF33)-1,8)),DATA,AF33)</f>
        <v>0</v>
      </c>
      <c r="AG33" s="87">
        <f ca="1">IF(AND(OP="11",RAMX=DEC2BIN(COLUMN(AG33)-1,8),RAMY=DEC2BIN(ROW(AG33)-1,8)),DATA,AG33)</f>
        <v>0</v>
      </c>
      <c r="AH33" s="87">
        <f ca="1">IF(AND(OP="11",RAMX=DEC2BIN(COLUMN(AH33)-1,8),RAMY=DEC2BIN(ROW(AH33)-1,8)),DATA,AH33)</f>
        <v>0</v>
      </c>
      <c r="AI33" s="87">
        <f ca="1">IF(AND(OP="11",RAMX=DEC2BIN(COLUMN(AI33)-1,8),RAMY=DEC2BIN(ROW(AI33)-1,8)),DATA,AI33)</f>
        <v>0</v>
      </c>
      <c r="AJ33" s="87">
        <f ca="1">IF(AND(OP="11",RAMX=DEC2BIN(COLUMN(AJ33)-1,8),RAMY=DEC2BIN(ROW(AJ33)-1,8)),DATA,AJ33)</f>
        <v>0</v>
      </c>
      <c r="AK33" s="87">
        <f ca="1">IF(AND(OP="11",RAMX=DEC2BIN(COLUMN(AK33)-1,8),RAMY=DEC2BIN(ROW(AK33)-1,8)),DATA,AK33)</f>
        <v>0</v>
      </c>
      <c r="AL33" s="87">
        <f ca="1">IF(AND(OP="11",RAMX=DEC2BIN(COLUMN(AL33)-1,8),RAMY=DEC2BIN(ROW(AL33)-1,8)),DATA,AL33)</f>
        <v>0</v>
      </c>
      <c r="AM33" s="87">
        <f ca="1">IF(AND(OP="11",RAMX=DEC2BIN(COLUMN(AM33)-1,8),RAMY=DEC2BIN(ROW(AM33)-1,8)),DATA,AM33)</f>
        <v>0</v>
      </c>
      <c r="AN33" s="87">
        <f ca="1">IF(AND(OP="11",RAMX=DEC2BIN(COLUMN(AN33)-1,8),RAMY=DEC2BIN(ROW(AN33)-1,8)),DATA,AN33)</f>
        <v>0</v>
      </c>
      <c r="AO33" s="87">
        <f ca="1">IF(AND(OP="11",RAMX=DEC2BIN(COLUMN(AO33)-1,8),RAMY=DEC2BIN(ROW(AO33)-1,8)),DATA,AO33)</f>
        <v>0</v>
      </c>
      <c r="AP33" s="87">
        <f ca="1">IF(AND(OP="11",RAMX=DEC2BIN(COLUMN(AP33)-1,8),RAMY=DEC2BIN(ROW(AP33)-1,8)),DATA,AP33)</f>
        <v>0</v>
      </c>
      <c r="AQ33" s="87">
        <f ca="1">IF(AND(OP="11",RAMX=DEC2BIN(COLUMN(AQ33)-1,8),RAMY=DEC2BIN(ROW(AQ33)-1,8)),DATA,AQ33)</f>
        <v>0</v>
      </c>
      <c r="AR33" s="87">
        <f ca="1">IF(AND(OP="11",RAMX=DEC2BIN(COLUMN(AR33)-1,8),RAMY=DEC2BIN(ROW(AR33)-1,8)),DATA,AR33)</f>
        <v>0</v>
      </c>
      <c r="AS33" s="87">
        <f ca="1">IF(AND(OP="11",RAMX=DEC2BIN(COLUMN(AS33)-1,8),RAMY=DEC2BIN(ROW(AS33)-1,8)),DATA,AS33)</f>
        <v>0</v>
      </c>
      <c r="AT33" s="87">
        <f ca="1">IF(AND(OP="11",RAMX=DEC2BIN(COLUMN(AT33)-1,8),RAMY=DEC2BIN(ROW(AT33)-1,8)),DATA,AT33)</f>
        <v>0</v>
      </c>
      <c r="AU33" s="87">
        <f ca="1">IF(AND(OP="11",RAMX=DEC2BIN(COLUMN(AU33)-1,8),RAMY=DEC2BIN(ROW(AU33)-1,8)),DATA,AU33)</f>
        <v>0</v>
      </c>
      <c r="AV33" s="87">
        <f ca="1">IF(AND(OP="11",RAMX=DEC2BIN(COLUMN(AV33)-1,8),RAMY=DEC2BIN(ROW(AV33)-1,8)),DATA,AV33)</f>
        <v>0</v>
      </c>
      <c r="AW33" s="87">
        <f ca="1">IF(AND(OP="11",RAMX=DEC2BIN(COLUMN(AW33)-1,8),RAMY=DEC2BIN(ROW(AW33)-1,8)),DATA,AW33)</f>
        <v>0</v>
      </c>
      <c r="AX33" s="87">
        <f ca="1">IF(AND(OP="11",RAMX=DEC2BIN(COLUMN(AX33)-1,8),RAMY=DEC2BIN(ROW(AX33)-1,8)),DATA,AX33)</f>
        <v>0</v>
      </c>
      <c r="AY33" s="87">
        <f ca="1">IF(AND(OP="11",RAMX=DEC2BIN(COLUMN(AY33)-1,8),RAMY=DEC2BIN(ROW(AY33)-1,8)),DATA,AY33)</f>
        <v>0</v>
      </c>
      <c r="AZ33" s="87">
        <f ca="1">IF(AND(OP="11",RAMX=DEC2BIN(COLUMN(AZ33)-1,8),RAMY=DEC2BIN(ROW(AZ33)-1,8)),DATA,AZ33)</f>
        <v>0</v>
      </c>
      <c r="BA33" s="87">
        <f ca="1">IF(AND(OP="11",RAMX=DEC2BIN(COLUMN(BA33)-1,8),RAMY=DEC2BIN(ROW(BA33)-1,8)),DATA,BA33)</f>
        <v>0</v>
      </c>
      <c r="BB33" s="87">
        <f ca="1">IF(AND(OP="11",RAMX=DEC2BIN(COLUMN(BB33)-1,8),RAMY=DEC2BIN(ROW(BB33)-1,8)),DATA,BB33)</f>
        <v>0</v>
      </c>
      <c r="BC33" s="87">
        <f ca="1">IF(AND(OP="11",RAMX=DEC2BIN(COLUMN(BC33)-1,8),RAMY=DEC2BIN(ROW(BC33)-1,8)),DATA,BC33)</f>
        <v>0</v>
      </c>
      <c r="BD33" s="87">
        <f ca="1">IF(AND(OP="11",RAMX=DEC2BIN(COLUMN(BD33)-1,8),RAMY=DEC2BIN(ROW(BD33)-1,8)),DATA,BD33)</f>
        <v>0</v>
      </c>
      <c r="BE33" s="87">
        <f ca="1">IF(AND(OP="11",RAMX=DEC2BIN(COLUMN(BE33)-1,8),RAMY=DEC2BIN(ROW(BE33)-1,8)),DATA,BE33)</f>
        <v>0</v>
      </c>
      <c r="BF33" s="87">
        <f ca="1">IF(AND(OP="11",RAMX=DEC2BIN(COLUMN(BF33)-1,8),RAMY=DEC2BIN(ROW(BF33)-1,8)),DATA,BF33)</f>
        <v>0</v>
      </c>
      <c r="BG33" s="87">
        <f ca="1">IF(AND(OP="11",RAMX=DEC2BIN(COLUMN(BG33)-1,8),RAMY=DEC2BIN(ROW(BG33)-1,8)),DATA,BG33)</f>
        <v>0</v>
      </c>
      <c r="BH33" s="87">
        <f ca="1">IF(AND(OP="11",RAMX=DEC2BIN(COLUMN(BH33)-1,8),RAMY=DEC2BIN(ROW(BH33)-1,8)),DATA,BH33)</f>
        <v>0</v>
      </c>
      <c r="BI33" s="87">
        <f ca="1">IF(AND(OP="11",RAMX=DEC2BIN(COLUMN(BI33)-1,8),RAMY=DEC2BIN(ROW(BI33)-1,8)),DATA,BI33)</f>
        <v>0</v>
      </c>
      <c r="BJ33" s="87">
        <f ca="1">IF(AND(OP="11",RAMX=DEC2BIN(COLUMN(BJ33)-1,8),RAMY=DEC2BIN(ROW(BJ33)-1,8)),DATA,BJ33)</f>
        <v>0</v>
      </c>
      <c r="BK33" s="87">
        <f ca="1">IF(AND(OP="11",RAMX=DEC2BIN(COLUMN(BK33)-1,8),RAMY=DEC2BIN(ROW(BK33)-1,8)),DATA,BK33)</f>
        <v>0</v>
      </c>
      <c r="BL33" s="87">
        <f ca="1">IF(AND(OP="11",RAMX=DEC2BIN(COLUMN(BL33)-1,8),RAMY=DEC2BIN(ROW(BL33)-1,8)),DATA,BL33)</f>
        <v>0</v>
      </c>
    </row>
    <row r="34" spans="1:64" x14ac:dyDescent="0.25">
      <c r="A34" s="87">
        <f ca="1">IF(AND(OP="11",RAMX=DEC2BIN(COLUMN(A34)-1,8),RAMY=DEC2BIN(ROW(A34)-1,8)),DATA,A34)</f>
        <v>0</v>
      </c>
      <c r="B34" s="87">
        <f ca="1">IF(AND(OP="11",RAMX=DEC2BIN(COLUMN(B34)-1,8),RAMY=DEC2BIN(ROW(B34)-1,8)),DATA,B34)</f>
        <v>0</v>
      </c>
      <c r="C34" s="87">
        <f ca="1">IF(AND(OP="11",RAMX=DEC2BIN(COLUMN(C34)-1,8),RAMY=DEC2BIN(ROW(C34)-1,8)),DATA,C34)</f>
        <v>0</v>
      </c>
      <c r="D34" s="87">
        <f ca="1">IF(AND(OP="11",RAMX=DEC2BIN(COLUMN(D34)-1,8),RAMY=DEC2BIN(ROW(D34)-1,8)),DATA,D34)</f>
        <v>0</v>
      </c>
      <c r="E34" s="87">
        <f ca="1">IF(AND(OP="11",RAMX=DEC2BIN(COLUMN(E34)-1,8),RAMY=DEC2BIN(ROW(E34)-1,8)),DATA,E34)</f>
        <v>0</v>
      </c>
      <c r="F34" s="87">
        <f ca="1">IF(AND(OP="11",RAMX=DEC2BIN(COLUMN(F34)-1,8),RAMY=DEC2BIN(ROW(F34)-1,8)),DATA,F34)</f>
        <v>0</v>
      </c>
      <c r="G34" s="87">
        <f ca="1">IF(AND(OP="11",RAMX=DEC2BIN(COLUMN(G34)-1,8),RAMY=DEC2BIN(ROW(G34)-1,8)),DATA,G34)</f>
        <v>0</v>
      </c>
      <c r="H34" s="87">
        <f ca="1">IF(AND(OP="11",RAMX=DEC2BIN(COLUMN(H34)-1,8),RAMY=DEC2BIN(ROW(H34)-1,8)),DATA,H34)</f>
        <v>0</v>
      </c>
      <c r="I34" s="87">
        <f ca="1">IF(AND(OP="11",RAMX=DEC2BIN(COLUMN(I34)-1,8),RAMY=DEC2BIN(ROW(I34)-1,8)),DATA,I34)</f>
        <v>0</v>
      </c>
      <c r="J34" s="87">
        <f ca="1">IF(AND(OP="11",RAMX=DEC2BIN(COLUMN(J34)-1,8),RAMY=DEC2BIN(ROW(J34)-1,8)),DATA,J34)</f>
        <v>0</v>
      </c>
      <c r="K34" s="87">
        <f ca="1">IF(AND(OP="11",RAMX=DEC2BIN(COLUMN(K34)-1,8),RAMY=DEC2BIN(ROW(K34)-1,8)),DATA,K34)</f>
        <v>0</v>
      </c>
      <c r="L34" s="87">
        <f ca="1">IF(AND(OP="11",RAMX=DEC2BIN(COLUMN(L34)-1,8),RAMY=DEC2BIN(ROW(L34)-1,8)),DATA,L34)</f>
        <v>0</v>
      </c>
      <c r="M34" s="87">
        <f ca="1">IF(AND(OP="11",RAMX=DEC2BIN(COLUMN(M34)-1,8),RAMY=DEC2BIN(ROW(M34)-1,8)),DATA,M34)</f>
        <v>0</v>
      </c>
      <c r="N34" s="87">
        <f ca="1">IF(AND(OP="11",RAMX=DEC2BIN(COLUMN(N34)-1,8),RAMY=DEC2BIN(ROW(N34)-1,8)),DATA,N34)</f>
        <v>0</v>
      </c>
      <c r="O34" s="87">
        <f ca="1">IF(AND(OP="11",RAMX=DEC2BIN(COLUMN(O34)-1,8),RAMY=DEC2BIN(ROW(O34)-1,8)),DATA,O34)</f>
        <v>0</v>
      </c>
      <c r="P34" s="87">
        <f ca="1">IF(AND(OP="11",RAMX=DEC2BIN(COLUMN(P34)-1,8),RAMY=DEC2BIN(ROW(P34)-1,8)),DATA,P34)</f>
        <v>0</v>
      </c>
      <c r="Q34" s="87">
        <f ca="1">IF(AND(OP="11",RAMX=DEC2BIN(COLUMN(Q34)-1,8),RAMY=DEC2BIN(ROW(Q34)-1,8)),DATA,Q34)</f>
        <v>0</v>
      </c>
      <c r="R34" s="87">
        <f ca="1">IF(AND(OP="11",RAMX=DEC2BIN(COLUMN(R34)-1,8),RAMY=DEC2BIN(ROW(R34)-1,8)),DATA,R34)</f>
        <v>0</v>
      </c>
      <c r="S34" s="87">
        <f ca="1">IF(AND(OP="11",RAMX=DEC2BIN(COLUMN(S34)-1,8),RAMY=DEC2BIN(ROW(S34)-1,8)),DATA,S34)</f>
        <v>0</v>
      </c>
      <c r="T34" s="87">
        <f ca="1">IF(AND(OP="11",RAMX=DEC2BIN(COLUMN(T34)-1,8),RAMY=DEC2BIN(ROW(T34)-1,8)),DATA,T34)</f>
        <v>0</v>
      </c>
      <c r="U34" s="87">
        <f ca="1">IF(AND(OP="11",RAMX=DEC2BIN(COLUMN(U34)-1,8),RAMY=DEC2BIN(ROW(U34)-1,8)),DATA,U34)</f>
        <v>0</v>
      </c>
      <c r="V34" s="87">
        <f ca="1">IF(AND(OP="11",RAMX=DEC2BIN(COLUMN(V34)-1,8),RAMY=DEC2BIN(ROW(V34)-1,8)),DATA,V34)</f>
        <v>0</v>
      </c>
      <c r="W34" s="87">
        <f ca="1">IF(AND(OP="11",RAMX=DEC2BIN(COLUMN(W34)-1,8),RAMY=DEC2BIN(ROW(W34)-1,8)),DATA,W34)</f>
        <v>0</v>
      </c>
      <c r="X34" s="87">
        <f ca="1">IF(AND(OP="11",RAMX=DEC2BIN(COLUMN(X34)-1,8),RAMY=DEC2BIN(ROW(X34)-1,8)),DATA,X34)</f>
        <v>0</v>
      </c>
      <c r="Y34" s="87">
        <f ca="1">IF(AND(OP="11",RAMX=DEC2BIN(COLUMN(Y34)-1,8),RAMY=DEC2BIN(ROW(Y34)-1,8)),DATA,Y34)</f>
        <v>0</v>
      </c>
      <c r="Z34" s="87">
        <f ca="1">IF(AND(OP="11",RAMX=DEC2BIN(COLUMN(Z34)-1,8),RAMY=DEC2BIN(ROW(Z34)-1,8)),DATA,Z34)</f>
        <v>0</v>
      </c>
      <c r="AA34" s="87">
        <f ca="1">IF(AND(OP="11",RAMX=DEC2BIN(COLUMN(AA34)-1,8),RAMY=DEC2BIN(ROW(AA34)-1,8)),DATA,AA34)</f>
        <v>0</v>
      </c>
      <c r="AB34" s="87">
        <f ca="1">IF(AND(OP="11",RAMX=DEC2BIN(COLUMN(AB34)-1,8),RAMY=DEC2BIN(ROW(AB34)-1,8)),DATA,AB34)</f>
        <v>0</v>
      </c>
      <c r="AC34" s="87">
        <f ca="1">IF(AND(OP="11",RAMX=DEC2BIN(COLUMN(AC34)-1,8),RAMY=DEC2BIN(ROW(AC34)-1,8)),DATA,AC34)</f>
        <v>0</v>
      </c>
      <c r="AD34" s="87">
        <f ca="1">IF(AND(OP="11",RAMX=DEC2BIN(COLUMN(AD34)-1,8),RAMY=DEC2BIN(ROW(AD34)-1,8)),DATA,AD34)</f>
        <v>0</v>
      </c>
      <c r="AE34" s="87">
        <f ca="1">IF(AND(OP="11",RAMX=DEC2BIN(COLUMN(AE34)-1,8),RAMY=DEC2BIN(ROW(AE34)-1,8)),DATA,AE34)</f>
        <v>0</v>
      </c>
      <c r="AF34" s="87">
        <f ca="1">IF(AND(OP="11",RAMX=DEC2BIN(COLUMN(AF34)-1,8),RAMY=DEC2BIN(ROW(AF34)-1,8)),DATA,AF34)</f>
        <v>0</v>
      </c>
      <c r="AG34" s="87">
        <f ca="1">IF(AND(OP="11",RAMX=DEC2BIN(COLUMN(AG34)-1,8),RAMY=DEC2BIN(ROW(AG34)-1,8)),DATA,AG34)</f>
        <v>0</v>
      </c>
      <c r="AH34" s="87">
        <f ca="1">IF(AND(OP="11",RAMX=DEC2BIN(COLUMN(AH34)-1,8),RAMY=DEC2BIN(ROW(AH34)-1,8)),DATA,AH34)</f>
        <v>0</v>
      </c>
      <c r="AI34" s="87">
        <f ca="1">IF(AND(OP="11",RAMX=DEC2BIN(COLUMN(AI34)-1,8),RAMY=DEC2BIN(ROW(AI34)-1,8)),DATA,AI34)</f>
        <v>0</v>
      </c>
      <c r="AJ34" s="87">
        <f ca="1">IF(AND(OP="11",RAMX=DEC2BIN(COLUMN(AJ34)-1,8),RAMY=DEC2BIN(ROW(AJ34)-1,8)),DATA,AJ34)</f>
        <v>0</v>
      </c>
      <c r="AK34" s="87">
        <f ca="1">IF(AND(OP="11",RAMX=DEC2BIN(COLUMN(AK34)-1,8),RAMY=DEC2BIN(ROW(AK34)-1,8)),DATA,AK34)</f>
        <v>0</v>
      </c>
      <c r="AL34" s="87">
        <f ca="1">IF(AND(OP="11",RAMX=DEC2BIN(COLUMN(AL34)-1,8),RAMY=DEC2BIN(ROW(AL34)-1,8)),DATA,AL34)</f>
        <v>0</v>
      </c>
      <c r="AM34" s="87">
        <f ca="1">IF(AND(OP="11",RAMX=DEC2BIN(COLUMN(AM34)-1,8),RAMY=DEC2BIN(ROW(AM34)-1,8)),DATA,AM34)</f>
        <v>0</v>
      </c>
      <c r="AN34" s="87">
        <f ca="1">IF(AND(OP="11",RAMX=DEC2BIN(COLUMN(AN34)-1,8),RAMY=DEC2BIN(ROW(AN34)-1,8)),DATA,AN34)</f>
        <v>0</v>
      </c>
      <c r="AO34" s="87">
        <f ca="1">IF(AND(OP="11",RAMX=DEC2BIN(COLUMN(AO34)-1,8),RAMY=DEC2BIN(ROW(AO34)-1,8)),DATA,AO34)</f>
        <v>0</v>
      </c>
      <c r="AP34" s="87">
        <f ca="1">IF(AND(OP="11",RAMX=DEC2BIN(COLUMN(AP34)-1,8),RAMY=DEC2BIN(ROW(AP34)-1,8)),DATA,AP34)</f>
        <v>0</v>
      </c>
      <c r="AQ34" s="87">
        <f ca="1">IF(AND(OP="11",RAMX=DEC2BIN(COLUMN(AQ34)-1,8),RAMY=DEC2BIN(ROW(AQ34)-1,8)),DATA,AQ34)</f>
        <v>0</v>
      </c>
      <c r="AR34" s="87">
        <f ca="1">IF(AND(OP="11",RAMX=DEC2BIN(COLUMN(AR34)-1,8),RAMY=DEC2BIN(ROW(AR34)-1,8)),DATA,AR34)</f>
        <v>0</v>
      </c>
      <c r="AS34" s="87">
        <f ca="1">IF(AND(OP="11",RAMX=DEC2BIN(COLUMN(AS34)-1,8),RAMY=DEC2BIN(ROW(AS34)-1,8)),DATA,AS34)</f>
        <v>0</v>
      </c>
      <c r="AT34" s="87">
        <f ca="1">IF(AND(OP="11",RAMX=DEC2BIN(COLUMN(AT34)-1,8),RAMY=DEC2BIN(ROW(AT34)-1,8)),DATA,AT34)</f>
        <v>0</v>
      </c>
      <c r="AU34" s="87">
        <f ca="1">IF(AND(OP="11",RAMX=DEC2BIN(COLUMN(AU34)-1,8),RAMY=DEC2BIN(ROW(AU34)-1,8)),DATA,AU34)</f>
        <v>0</v>
      </c>
      <c r="AV34" s="87">
        <f ca="1">IF(AND(OP="11",RAMX=DEC2BIN(COLUMN(AV34)-1,8),RAMY=DEC2BIN(ROW(AV34)-1,8)),DATA,AV34)</f>
        <v>0</v>
      </c>
      <c r="AW34" s="87">
        <f ca="1">IF(AND(OP="11",RAMX=DEC2BIN(COLUMN(AW34)-1,8),RAMY=DEC2BIN(ROW(AW34)-1,8)),DATA,AW34)</f>
        <v>0</v>
      </c>
      <c r="AX34" s="87">
        <f ca="1">IF(AND(OP="11",RAMX=DEC2BIN(COLUMN(AX34)-1,8),RAMY=DEC2BIN(ROW(AX34)-1,8)),DATA,AX34)</f>
        <v>0</v>
      </c>
      <c r="AY34" s="87">
        <f ca="1">IF(AND(OP="11",RAMX=DEC2BIN(COLUMN(AY34)-1,8),RAMY=DEC2BIN(ROW(AY34)-1,8)),DATA,AY34)</f>
        <v>0</v>
      </c>
      <c r="AZ34" s="87">
        <f ca="1">IF(AND(OP="11",RAMX=DEC2BIN(COLUMN(AZ34)-1,8),RAMY=DEC2BIN(ROW(AZ34)-1,8)),DATA,AZ34)</f>
        <v>0</v>
      </c>
      <c r="BA34" s="87">
        <f ca="1">IF(AND(OP="11",RAMX=DEC2BIN(COLUMN(BA34)-1,8),RAMY=DEC2BIN(ROW(BA34)-1,8)),DATA,BA34)</f>
        <v>0</v>
      </c>
      <c r="BB34" s="87">
        <f ca="1">IF(AND(OP="11",RAMX=DEC2BIN(COLUMN(BB34)-1,8),RAMY=DEC2BIN(ROW(BB34)-1,8)),DATA,BB34)</f>
        <v>0</v>
      </c>
      <c r="BC34" s="87">
        <f ca="1">IF(AND(OP="11",RAMX=DEC2BIN(COLUMN(BC34)-1,8),RAMY=DEC2BIN(ROW(BC34)-1,8)),DATA,BC34)</f>
        <v>0</v>
      </c>
      <c r="BD34" s="87">
        <f ca="1">IF(AND(OP="11",RAMX=DEC2BIN(COLUMN(BD34)-1,8),RAMY=DEC2BIN(ROW(BD34)-1,8)),DATA,BD34)</f>
        <v>0</v>
      </c>
      <c r="BE34" s="87">
        <f ca="1">IF(AND(OP="11",RAMX=DEC2BIN(COLUMN(BE34)-1,8),RAMY=DEC2BIN(ROW(BE34)-1,8)),DATA,BE34)</f>
        <v>0</v>
      </c>
      <c r="BF34" s="87">
        <f ca="1">IF(AND(OP="11",RAMX=DEC2BIN(COLUMN(BF34)-1,8),RAMY=DEC2BIN(ROW(BF34)-1,8)),DATA,BF34)</f>
        <v>0</v>
      </c>
      <c r="BG34" s="87">
        <f ca="1">IF(AND(OP="11",RAMX=DEC2BIN(COLUMN(BG34)-1,8),RAMY=DEC2BIN(ROW(BG34)-1,8)),DATA,BG34)</f>
        <v>0</v>
      </c>
      <c r="BH34" s="87">
        <f ca="1">IF(AND(OP="11",RAMX=DEC2BIN(COLUMN(BH34)-1,8),RAMY=DEC2BIN(ROW(BH34)-1,8)),DATA,BH34)</f>
        <v>0</v>
      </c>
      <c r="BI34" s="87">
        <f ca="1">IF(AND(OP="11",RAMX=DEC2BIN(COLUMN(BI34)-1,8),RAMY=DEC2BIN(ROW(BI34)-1,8)),DATA,BI34)</f>
        <v>0</v>
      </c>
      <c r="BJ34" s="87">
        <f ca="1">IF(AND(OP="11",RAMX=DEC2BIN(COLUMN(BJ34)-1,8),RAMY=DEC2BIN(ROW(BJ34)-1,8)),DATA,BJ34)</f>
        <v>0</v>
      </c>
      <c r="BK34" s="87">
        <f ca="1">IF(AND(OP="11",RAMX=DEC2BIN(COLUMN(BK34)-1,8),RAMY=DEC2BIN(ROW(BK34)-1,8)),DATA,BK34)</f>
        <v>0</v>
      </c>
      <c r="BL34" s="87">
        <f ca="1">IF(AND(OP="11",RAMX=DEC2BIN(COLUMN(BL34)-1,8),RAMY=DEC2BIN(ROW(BL34)-1,8)),DATA,BL34)</f>
        <v>0</v>
      </c>
    </row>
    <row r="35" spans="1:64" x14ac:dyDescent="0.25">
      <c r="A35" s="87">
        <f ca="1">IF(AND(OP="11",RAMX=DEC2BIN(COLUMN(A35)-1,8),RAMY=DEC2BIN(ROW(A35)-1,8)),DATA,A35)</f>
        <v>0</v>
      </c>
      <c r="B35" s="87">
        <f ca="1">IF(AND(OP="11",RAMX=DEC2BIN(COLUMN(B35)-1,8),RAMY=DEC2BIN(ROW(B35)-1,8)),DATA,B35)</f>
        <v>0</v>
      </c>
      <c r="C35" s="87">
        <f ca="1">IF(AND(OP="11",RAMX=DEC2BIN(COLUMN(C35)-1,8),RAMY=DEC2BIN(ROW(C35)-1,8)),DATA,C35)</f>
        <v>0</v>
      </c>
      <c r="D35" s="87">
        <f ca="1">IF(AND(OP="11",RAMX=DEC2BIN(COLUMN(D35)-1,8),RAMY=DEC2BIN(ROW(D35)-1,8)),DATA,D35)</f>
        <v>0</v>
      </c>
      <c r="E35" s="87">
        <f ca="1">IF(AND(OP="11",RAMX=DEC2BIN(COLUMN(E35)-1,8),RAMY=DEC2BIN(ROW(E35)-1,8)),DATA,E35)</f>
        <v>0</v>
      </c>
      <c r="F35" s="87">
        <f ca="1">IF(AND(OP="11",RAMX=DEC2BIN(COLUMN(F35)-1,8),RAMY=DEC2BIN(ROW(F35)-1,8)),DATA,F35)</f>
        <v>0</v>
      </c>
      <c r="G35" s="87">
        <f ca="1">IF(AND(OP="11",RAMX=DEC2BIN(COLUMN(G35)-1,8),RAMY=DEC2BIN(ROW(G35)-1,8)),DATA,G35)</f>
        <v>0</v>
      </c>
      <c r="H35" s="87">
        <f ca="1">IF(AND(OP="11",RAMX=DEC2BIN(COLUMN(H35)-1,8),RAMY=DEC2BIN(ROW(H35)-1,8)),DATA,H35)</f>
        <v>0</v>
      </c>
      <c r="I35" s="87">
        <f ca="1">IF(AND(OP="11",RAMX=DEC2BIN(COLUMN(I35)-1,8),RAMY=DEC2BIN(ROW(I35)-1,8)),DATA,I35)</f>
        <v>0</v>
      </c>
      <c r="J35" s="87">
        <f ca="1">IF(AND(OP="11",RAMX=DEC2BIN(COLUMN(J35)-1,8),RAMY=DEC2BIN(ROW(J35)-1,8)),DATA,J35)</f>
        <v>0</v>
      </c>
      <c r="K35" s="87">
        <f ca="1">IF(AND(OP="11",RAMX=DEC2BIN(COLUMN(K35)-1,8),RAMY=DEC2BIN(ROW(K35)-1,8)),DATA,K35)</f>
        <v>0</v>
      </c>
      <c r="L35" s="87">
        <f ca="1">IF(AND(OP="11",RAMX=DEC2BIN(COLUMN(L35)-1,8),RAMY=DEC2BIN(ROW(L35)-1,8)),DATA,L35)</f>
        <v>0</v>
      </c>
      <c r="M35" s="87">
        <f ca="1">IF(AND(OP="11",RAMX=DEC2BIN(COLUMN(M35)-1,8),RAMY=DEC2BIN(ROW(M35)-1,8)),DATA,M35)</f>
        <v>0</v>
      </c>
      <c r="N35" s="87">
        <f ca="1">IF(AND(OP="11",RAMX=DEC2BIN(COLUMN(N35)-1,8),RAMY=DEC2BIN(ROW(N35)-1,8)),DATA,N35)</f>
        <v>0</v>
      </c>
      <c r="O35" s="87">
        <f ca="1">IF(AND(OP="11",RAMX=DEC2BIN(COLUMN(O35)-1,8),RAMY=DEC2BIN(ROW(O35)-1,8)),DATA,O35)</f>
        <v>0</v>
      </c>
      <c r="P35" s="87">
        <f ca="1">IF(AND(OP="11",RAMX=DEC2BIN(COLUMN(P35)-1,8),RAMY=DEC2BIN(ROW(P35)-1,8)),DATA,P35)</f>
        <v>0</v>
      </c>
      <c r="Q35" s="87">
        <f ca="1">IF(AND(OP="11",RAMX=DEC2BIN(COLUMN(Q35)-1,8),RAMY=DEC2BIN(ROW(Q35)-1,8)),DATA,Q35)</f>
        <v>0</v>
      </c>
      <c r="R35" s="87">
        <f ca="1">IF(AND(OP="11",RAMX=DEC2BIN(COLUMN(R35)-1,8),RAMY=DEC2BIN(ROW(R35)-1,8)),DATA,R35)</f>
        <v>0</v>
      </c>
      <c r="S35" s="87">
        <f ca="1">IF(AND(OP="11",RAMX=DEC2BIN(COLUMN(S35)-1,8),RAMY=DEC2BIN(ROW(S35)-1,8)),DATA,S35)</f>
        <v>0</v>
      </c>
      <c r="T35" s="87">
        <f ca="1">IF(AND(OP="11",RAMX=DEC2BIN(COLUMN(T35)-1,8),RAMY=DEC2BIN(ROW(T35)-1,8)),DATA,T35)</f>
        <v>0</v>
      </c>
      <c r="U35" s="87">
        <f ca="1">IF(AND(OP="11",RAMX=DEC2BIN(COLUMN(U35)-1,8),RAMY=DEC2BIN(ROW(U35)-1,8)),DATA,U35)</f>
        <v>0</v>
      </c>
      <c r="V35" s="87">
        <f ca="1">IF(AND(OP="11",RAMX=DEC2BIN(COLUMN(V35)-1,8),RAMY=DEC2BIN(ROW(V35)-1,8)),DATA,V35)</f>
        <v>0</v>
      </c>
      <c r="W35" s="87">
        <f ca="1">IF(AND(OP="11",RAMX=DEC2BIN(COLUMN(W35)-1,8),RAMY=DEC2BIN(ROW(W35)-1,8)),DATA,W35)</f>
        <v>0</v>
      </c>
      <c r="X35" s="87">
        <f ca="1">IF(AND(OP="11",RAMX=DEC2BIN(COLUMN(X35)-1,8),RAMY=DEC2BIN(ROW(X35)-1,8)),DATA,X35)</f>
        <v>0</v>
      </c>
      <c r="Y35" s="87">
        <f ca="1">IF(AND(OP="11",RAMX=DEC2BIN(COLUMN(Y35)-1,8),RAMY=DEC2BIN(ROW(Y35)-1,8)),DATA,Y35)</f>
        <v>0</v>
      </c>
      <c r="Z35" s="87">
        <f ca="1">IF(AND(OP="11",RAMX=DEC2BIN(COLUMN(Z35)-1,8),RAMY=DEC2BIN(ROW(Z35)-1,8)),DATA,Z35)</f>
        <v>0</v>
      </c>
      <c r="AA35" s="87">
        <f ca="1">IF(AND(OP="11",RAMX=DEC2BIN(COLUMN(AA35)-1,8),RAMY=DEC2BIN(ROW(AA35)-1,8)),DATA,AA35)</f>
        <v>0</v>
      </c>
      <c r="AB35" s="87">
        <f ca="1">IF(AND(OP="11",RAMX=DEC2BIN(COLUMN(AB35)-1,8),RAMY=DEC2BIN(ROW(AB35)-1,8)),DATA,AB35)</f>
        <v>0</v>
      </c>
      <c r="AC35" s="87">
        <f ca="1">IF(AND(OP="11",RAMX=DEC2BIN(COLUMN(AC35)-1,8),RAMY=DEC2BIN(ROW(AC35)-1,8)),DATA,AC35)</f>
        <v>0</v>
      </c>
      <c r="AD35" s="87">
        <f ca="1">IF(AND(OP="11",RAMX=DEC2BIN(COLUMN(AD35)-1,8),RAMY=DEC2BIN(ROW(AD35)-1,8)),DATA,AD35)</f>
        <v>0</v>
      </c>
      <c r="AE35" s="87">
        <f ca="1">IF(AND(OP="11",RAMX=DEC2BIN(COLUMN(AE35)-1,8),RAMY=DEC2BIN(ROW(AE35)-1,8)),DATA,AE35)</f>
        <v>0</v>
      </c>
      <c r="AF35" s="87">
        <f ca="1">IF(AND(OP="11",RAMX=DEC2BIN(COLUMN(AF35)-1,8),RAMY=DEC2BIN(ROW(AF35)-1,8)),DATA,AF35)</f>
        <v>0</v>
      </c>
      <c r="AG35" s="87">
        <f ca="1">IF(AND(OP="11",RAMX=DEC2BIN(COLUMN(AG35)-1,8),RAMY=DEC2BIN(ROW(AG35)-1,8)),DATA,AG35)</f>
        <v>0</v>
      </c>
      <c r="AH35" s="87">
        <f ca="1">IF(AND(OP="11",RAMX=DEC2BIN(COLUMN(AH35)-1,8),RAMY=DEC2BIN(ROW(AH35)-1,8)),DATA,AH35)</f>
        <v>0</v>
      </c>
      <c r="AI35" s="87">
        <f ca="1">IF(AND(OP="11",RAMX=DEC2BIN(COLUMN(AI35)-1,8),RAMY=DEC2BIN(ROW(AI35)-1,8)),DATA,AI35)</f>
        <v>0</v>
      </c>
      <c r="AJ35" s="87">
        <f ca="1">IF(AND(OP="11",RAMX=DEC2BIN(COLUMN(AJ35)-1,8),RAMY=DEC2BIN(ROW(AJ35)-1,8)),DATA,AJ35)</f>
        <v>0</v>
      </c>
      <c r="AK35" s="87">
        <f ca="1">IF(AND(OP="11",RAMX=DEC2BIN(COLUMN(AK35)-1,8),RAMY=DEC2BIN(ROW(AK35)-1,8)),DATA,AK35)</f>
        <v>0</v>
      </c>
      <c r="AL35" s="87">
        <f ca="1">IF(AND(OP="11",RAMX=DEC2BIN(COLUMN(AL35)-1,8),RAMY=DEC2BIN(ROW(AL35)-1,8)),DATA,AL35)</f>
        <v>0</v>
      </c>
      <c r="AM35" s="87">
        <f ca="1">IF(AND(OP="11",RAMX=DEC2BIN(COLUMN(AM35)-1,8),RAMY=DEC2BIN(ROW(AM35)-1,8)),DATA,AM35)</f>
        <v>0</v>
      </c>
      <c r="AN35" s="87">
        <f ca="1">IF(AND(OP="11",RAMX=DEC2BIN(COLUMN(AN35)-1,8),RAMY=DEC2BIN(ROW(AN35)-1,8)),DATA,AN35)</f>
        <v>0</v>
      </c>
      <c r="AO35" s="87">
        <f ca="1">IF(AND(OP="11",RAMX=DEC2BIN(COLUMN(AO35)-1,8),RAMY=DEC2BIN(ROW(AO35)-1,8)),DATA,AO35)</f>
        <v>0</v>
      </c>
      <c r="AP35" s="87">
        <f ca="1">IF(AND(OP="11",RAMX=DEC2BIN(COLUMN(AP35)-1,8),RAMY=DEC2BIN(ROW(AP35)-1,8)),DATA,AP35)</f>
        <v>0</v>
      </c>
      <c r="AQ35" s="87">
        <f ca="1">IF(AND(OP="11",RAMX=DEC2BIN(COLUMN(AQ35)-1,8),RAMY=DEC2BIN(ROW(AQ35)-1,8)),DATA,AQ35)</f>
        <v>0</v>
      </c>
      <c r="AR35" s="87">
        <f ca="1">IF(AND(OP="11",RAMX=DEC2BIN(COLUMN(AR35)-1,8),RAMY=DEC2BIN(ROW(AR35)-1,8)),DATA,AR35)</f>
        <v>0</v>
      </c>
      <c r="AS35" s="87">
        <f ca="1">IF(AND(OP="11",RAMX=DEC2BIN(COLUMN(AS35)-1,8),RAMY=DEC2BIN(ROW(AS35)-1,8)),DATA,AS35)</f>
        <v>0</v>
      </c>
      <c r="AT35" s="87">
        <f ca="1">IF(AND(OP="11",RAMX=DEC2BIN(COLUMN(AT35)-1,8),RAMY=DEC2BIN(ROW(AT35)-1,8)),DATA,AT35)</f>
        <v>0</v>
      </c>
      <c r="AU35" s="87">
        <f ca="1">IF(AND(OP="11",RAMX=DEC2BIN(COLUMN(AU35)-1,8),RAMY=DEC2BIN(ROW(AU35)-1,8)),DATA,AU35)</f>
        <v>0</v>
      </c>
      <c r="AV35" s="87">
        <f ca="1">IF(AND(OP="11",RAMX=DEC2BIN(COLUMN(AV35)-1,8),RAMY=DEC2BIN(ROW(AV35)-1,8)),DATA,AV35)</f>
        <v>0</v>
      </c>
      <c r="AW35" s="87">
        <f ca="1">IF(AND(OP="11",RAMX=DEC2BIN(COLUMN(AW35)-1,8),RAMY=DEC2BIN(ROW(AW35)-1,8)),DATA,AW35)</f>
        <v>0</v>
      </c>
      <c r="AX35" s="87">
        <f ca="1">IF(AND(OP="11",RAMX=DEC2BIN(COLUMN(AX35)-1,8),RAMY=DEC2BIN(ROW(AX35)-1,8)),DATA,AX35)</f>
        <v>0</v>
      </c>
      <c r="AY35" s="87">
        <f ca="1">IF(AND(OP="11",RAMX=DEC2BIN(COLUMN(AY35)-1,8),RAMY=DEC2BIN(ROW(AY35)-1,8)),DATA,AY35)</f>
        <v>0</v>
      </c>
      <c r="AZ35" s="87">
        <f ca="1">IF(AND(OP="11",RAMX=DEC2BIN(COLUMN(AZ35)-1,8),RAMY=DEC2BIN(ROW(AZ35)-1,8)),DATA,AZ35)</f>
        <v>0</v>
      </c>
      <c r="BA35" s="87">
        <f ca="1">IF(AND(OP="11",RAMX=DEC2BIN(COLUMN(BA35)-1,8),RAMY=DEC2BIN(ROW(BA35)-1,8)),DATA,BA35)</f>
        <v>0</v>
      </c>
      <c r="BB35" s="87">
        <f ca="1">IF(AND(OP="11",RAMX=DEC2BIN(COLUMN(BB35)-1,8),RAMY=DEC2BIN(ROW(BB35)-1,8)),DATA,BB35)</f>
        <v>0</v>
      </c>
      <c r="BC35" s="87">
        <f ca="1">IF(AND(OP="11",RAMX=DEC2BIN(COLUMN(BC35)-1,8),RAMY=DEC2BIN(ROW(BC35)-1,8)),DATA,BC35)</f>
        <v>0</v>
      </c>
      <c r="BD35" s="87">
        <f ca="1">IF(AND(OP="11",RAMX=DEC2BIN(COLUMN(BD35)-1,8),RAMY=DEC2BIN(ROW(BD35)-1,8)),DATA,BD35)</f>
        <v>0</v>
      </c>
      <c r="BE35" s="87">
        <f ca="1">IF(AND(OP="11",RAMX=DEC2BIN(COLUMN(BE35)-1,8),RAMY=DEC2BIN(ROW(BE35)-1,8)),DATA,BE35)</f>
        <v>0</v>
      </c>
      <c r="BF35" s="87">
        <f ca="1">IF(AND(OP="11",RAMX=DEC2BIN(COLUMN(BF35)-1,8),RAMY=DEC2BIN(ROW(BF35)-1,8)),DATA,BF35)</f>
        <v>0</v>
      </c>
      <c r="BG35" s="87">
        <f ca="1">IF(AND(OP="11",RAMX=DEC2BIN(COLUMN(BG35)-1,8),RAMY=DEC2BIN(ROW(BG35)-1,8)),DATA,BG35)</f>
        <v>0</v>
      </c>
      <c r="BH35" s="87">
        <f ca="1">IF(AND(OP="11",RAMX=DEC2BIN(COLUMN(BH35)-1,8),RAMY=DEC2BIN(ROW(BH35)-1,8)),DATA,BH35)</f>
        <v>0</v>
      </c>
      <c r="BI35" s="87">
        <f ca="1">IF(AND(OP="11",RAMX=DEC2BIN(COLUMN(BI35)-1,8),RAMY=DEC2BIN(ROW(BI35)-1,8)),DATA,BI35)</f>
        <v>0</v>
      </c>
      <c r="BJ35" s="87">
        <f ca="1">IF(AND(OP="11",RAMX=DEC2BIN(COLUMN(BJ35)-1,8),RAMY=DEC2BIN(ROW(BJ35)-1,8)),DATA,BJ35)</f>
        <v>0</v>
      </c>
      <c r="BK35" s="87">
        <f ca="1">IF(AND(OP="11",RAMX=DEC2BIN(COLUMN(BK35)-1,8),RAMY=DEC2BIN(ROW(BK35)-1,8)),DATA,BK35)</f>
        <v>0</v>
      </c>
      <c r="BL35" s="87">
        <f ca="1">IF(AND(OP="11",RAMX=DEC2BIN(COLUMN(BL35)-1,8),RAMY=DEC2BIN(ROW(BL35)-1,8)),DATA,BL35)</f>
        <v>0</v>
      </c>
    </row>
    <row r="36" spans="1:64" x14ac:dyDescent="0.25">
      <c r="A36" s="87">
        <f ca="1">IF(AND(OP="11",RAMX=DEC2BIN(COLUMN(A36)-1,8),RAMY=DEC2BIN(ROW(A36)-1,8)),DATA,A36)</f>
        <v>0</v>
      </c>
      <c r="B36" s="87">
        <f ca="1">IF(AND(OP="11",RAMX=DEC2BIN(COLUMN(B36)-1,8),RAMY=DEC2BIN(ROW(B36)-1,8)),DATA,B36)</f>
        <v>0</v>
      </c>
      <c r="C36" s="87">
        <f ca="1">IF(AND(OP="11",RAMX=DEC2BIN(COLUMN(C36)-1,8),RAMY=DEC2BIN(ROW(C36)-1,8)),DATA,C36)</f>
        <v>0</v>
      </c>
      <c r="D36" s="87">
        <f ca="1">IF(AND(OP="11",RAMX=DEC2BIN(COLUMN(D36)-1,8),RAMY=DEC2BIN(ROW(D36)-1,8)),DATA,D36)</f>
        <v>0</v>
      </c>
      <c r="E36" s="87">
        <f ca="1">IF(AND(OP="11",RAMX=DEC2BIN(COLUMN(E36)-1,8),RAMY=DEC2BIN(ROW(E36)-1,8)),DATA,E36)</f>
        <v>0</v>
      </c>
      <c r="F36" s="87">
        <f ca="1">IF(AND(OP="11",RAMX=DEC2BIN(COLUMN(F36)-1,8),RAMY=DEC2BIN(ROW(F36)-1,8)),DATA,F36)</f>
        <v>0</v>
      </c>
      <c r="G36" s="87">
        <f ca="1">IF(AND(OP="11",RAMX=DEC2BIN(COLUMN(G36)-1,8),RAMY=DEC2BIN(ROW(G36)-1,8)),DATA,G36)</f>
        <v>0</v>
      </c>
      <c r="H36" s="87">
        <f ca="1">IF(AND(OP="11",RAMX=DEC2BIN(COLUMN(H36)-1,8),RAMY=DEC2BIN(ROW(H36)-1,8)),DATA,H36)</f>
        <v>0</v>
      </c>
      <c r="I36" s="87">
        <f ca="1">IF(AND(OP="11",RAMX=DEC2BIN(COLUMN(I36)-1,8),RAMY=DEC2BIN(ROW(I36)-1,8)),DATA,I36)</f>
        <v>0</v>
      </c>
      <c r="J36" s="87">
        <f ca="1">IF(AND(OP="11",RAMX=DEC2BIN(COLUMN(J36)-1,8),RAMY=DEC2BIN(ROW(J36)-1,8)),DATA,J36)</f>
        <v>0</v>
      </c>
      <c r="K36" s="87">
        <f ca="1">IF(AND(OP="11",RAMX=DEC2BIN(COLUMN(K36)-1,8),RAMY=DEC2BIN(ROW(K36)-1,8)),DATA,K36)</f>
        <v>0</v>
      </c>
      <c r="L36" s="87">
        <f ca="1">IF(AND(OP="11",RAMX=DEC2BIN(COLUMN(L36)-1,8),RAMY=DEC2BIN(ROW(L36)-1,8)),DATA,L36)</f>
        <v>0</v>
      </c>
      <c r="M36" s="87">
        <f ca="1">IF(AND(OP="11",RAMX=DEC2BIN(COLUMN(M36)-1,8),RAMY=DEC2BIN(ROW(M36)-1,8)),DATA,M36)</f>
        <v>0</v>
      </c>
      <c r="N36" s="87">
        <f ca="1">IF(AND(OP="11",RAMX=DEC2BIN(COLUMN(N36)-1,8),RAMY=DEC2BIN(ROW(N36)-1,8)),DATA,N36)</f>
        <v>0</v>
      </c>
      <c r="O36" s="87">
        <f ca="1">IF(AND(OP="11",RAMX=DEC2BIN(COLUMN(O36)-1,8),RAMY=DEC2BIN(ROW(O36)-1,8)),DATA,O36)</f>
        <v>0</v>
      </c>
      <c r="P36" s="87">
        <f ca="1">IF(AND(OP="11",RAMX=DEC2BIN(COLUMN(P36)-1,8),RAMY=DEC2BIN(ROW(P36)-1,8)),DATA,P36)</f>
        <v>0</v>
      </c>
      <c r="Q36" s="87">
        <f ca="1">IF(AND(OP="11",RAMX=DEC2BIN(COLUMN(Q36)-1,8),RAMY=DEC2BIN(ROW(Q36)-1,8)),DATA,Q36)</f>
        <v>0</v>
      </c>
      <c r="R36" s="87">
        <f ca="1">IF(AND(OP="11",RAMX=DEC2BIN(COLUMN(R36)-1,8),RAMY=DEC2BIN(ROW(R36)-1,8)),DATA,R36)</f>
        <v>0</v>
      </c>
      <c r="S36" s="87">
        <f ca="1">IF(AND(OP="11",RAMX=DEC2BIN(COLUMN(S36)-1,8),RAMY=DEC2BIN(ROW(S36)-1,8)),DATA,S36)</f>
        <v>0</v>
      </c>
      <c r="T36" s="87">
        <f ca="1">IF(AND(OP="11",RAMX=DEC2BIN(COLUMN(T36)-1,8),RAMY=DEC2BIN(ROW(T36)-1,8)),DATA,T36)</f>
        <v>0</v>
      </c>
      <c r="U36" s="87">
        <f ca="1">IF(AND(OP="11",RAMX=DEC2BIN(COLUMN(U36)-1,8),RAMY=DEC2BIN(ROW(U36)-1,8)),DATA,U36)</f>
        <v>0</v>
      </c>
      <c r="V36" s="87">
        <f ca="1">IF(AND(OP="11",RAMX=DEC2BIN(COLUMN(V36)-1,8),RAMY=DEC2BIN(ROW(V36)-1,8)),DATA,V36)</f>
        <v>0</v>
      </c>
      <c r="W36" s="87">
        <f ca="1">IF(AND(OP="11",RAMX=DEC2BIN(COLUMN(W36)-1,8),RAMY=DEC2BIN(ROW(W36)-1,8)),DATA,W36)</f>
        <v>0</v>
      </c>
      <c r="X36" s="87">
        <f ca="1">IF(AND(OP="11",RAMX=DEC2BIN(COLUMN(X36)-1,8),RAMY=DEC2BIN(ROW(X36)-1,8)),DATA,X36)</f>
        <v>0</v>
      </c>
      <c r="Y36" s="87">
        <f ca="1">IF(AND(OP="11",RAMX=DEC2BIN(COLUMN(Y36)-1,8),RAMY=DEC2BIN(ROW(Y36)-1,8)),DATA,Y36)</f>
        <v>0</v>
      </c>
      <c r="Z36" s="87">
        <f ca="1">IF(AND(OP="11",RAMX=DEC2BIN(COLUMN(Z36)-1,8),RAMY=DEC2BIN(ROW(Z36)-1,8)),DATA,Z36)</f>
        <v>0</v>
      </c>
      <c r="AA36" s="87">
        <f ca="1">IF(AND(OP="11",RAMX=DEC2BIN(COLUMN(AA36)-1,8),RAMY=DEC2BIN(ROW(AA36)-1,8)),DATA,AA36)</f>
        <v>0</v>
      </c>
      <c r="AB36" s="87">
        <f ca="1">IF(AND(OP="11",RAMX=DEC2BIN(COLUMN(AB36)-1,8),RAMY=DEC2BIN(ROW(AB36)-1,8)),DATA,AB36)</f>
        <v>0</v>
      </c>
      <c r="AC36" s="87">
        <f ca="1">IF(AND(OP="11",RAMX=DEC2BIN(COLUMN(AC36)-1,8),RAMY=DEC2BIN(ROW(AC36)-1,8)),DATA,AC36)</f>
        <v>0</v>
      </c>
      <c r="AD36" s="87">
        <f ca="1">IF(AND(OP="11",RAMX=DEC2BIN(COLUMN(AD36)-1,8),RAMY=DEC2BIN(ROW(AD36)-1,8)),DATA,AD36)</f>
        <v>0</v>
      </c>
      <c r="AE36" s="87">
        <f ca="1">IF(AND(OP="11",RAMX=DEC2BIN(COLUMN(AE36)-1,8),RAMY=DEC2BIN(ROW(AE36)-1,8)),DATA,AE36)</f>
        <v>0</v>
      </c>
      <c r="AF36" s="87">
        <f ca="1">IF(AND(OP="11",RAMX=DEC2BIN(COLUMN(AF36)-1,8),RAMY=DEC2BIN(ROW(AF36)-1,8)),DATA,AF36)</f>
        <v>0</v>
      </c>
      <c r="AG36" s="87">
        <f ca="1">IF(AND(OP="11",RAMX=DEC2BIN(COLUMN(AG36)-1,8),RAMY=DEC2BIN(ROW(AG36)-1,8)),DATA,AG36)</f>
        <v>0</v>
      </c>
      <c r="AH36" s="87">
        <f ca="1">IF(AND(OP="11",RAMX=DEC2BIN(COLUMN(AH36)-1,8),RAMY=DEC2BIN(ROW(AH36)-1,8)),DATA,AH36)</f>
        <v>0</v>
      </c>
      <c r="AI36" s="87">
        <f ca="1">IF(AND(OP="11",RAMX=DEC2BIN(COLUMN(AI36)-1,8),RAMY=DEC2BIN(ROW(AI36)-1,8)),DATA,AI36)</f>
        <v>0</v>
      </c>
      <c r="AJ36" s="87">
        <f ca="1">IF(AND(OP="11",RAMX=DEC2BIN(COLUMN(AJ36)-1,8),RAMY=DEC2BIN(ROW(AJ36)-1,8)),DATA,AJ36)</f>
        <v>0</v>
      </c>
      <c r="AK36" s="87">
        <f ca="1">IF(AND(OP="11",RAMX=DEC2BIN(COLUMN(AK36)-1,8),RAMY=DEC2BIN(ROW(AK36)-1,8)),DATA,AK36)</f>
        <v>0</v>
      </c>
      <c r="AL36" s="87">
        <f ca="1">IF(AND(OP="11",RAMX=DEC2BIN(COLUMN(AL36)-1,8),RAMY=DEC2BIN(ROW(AL36)-1,8)),DATA,AL36)</f>
        <v>0</v>
      </c>
      <c r="AM36" s="87">
        <f ca="1">IF(AND(OP="11",RAMX=DEC2BIN(COLUMN(AM36)-1,8),RAMY=DEC2BIN(ROW(AM36)-1,8)),DATA,AM36)</f>
        <v>0</v>
      </c>
      <c r="AN36" s="87">
        <f ca="1">IF(AND(OP="11",RAMX=DEC2BIN(COLUMN(AN36)-1,8),RAMY=DEC2BIN(ROW(AN36)-1,8)),DATA,AN36)</f>
        <v>0</v>
      </c>
      <c r="AO36" s="87">
        <f ca="1">IF(AND(OP="11",RAMX=DEC2BIN(COLUMN(AO36)-1,8),RAMY=DEC2BIN(ROW(AO36)-1,8)),DATA,AO36)</f>
        <v>0</v>
      </c>
      <c r="AP36" s="87">
        <f ca="1">IF(AND(OP="11",RAMX=DEC2BIN(COLUMN(AP36)-1,8),RAMY=DEC2BIN(ROW(AP36)-1,8)),DATA,AP36)</f>
        <v>0</v>
      </c>
      <c r="AQ36" s="87">
        <f ca="1">IF(AND(OP="11",RAMX=DEC2BIN(COLUMN(AQ36)-1,8),RAMY=DEC2BIN(ROW(AQ36)-1,8)),DATA,AQ36)</f>
        <v>0</v>
      </c>
      <c r="AR36" s="87">
        <f ca="1">IF(AND(OP="11",RAMX=DEC2BIN(COLUMN(AR36)-1,8),RAMY=DEC2BIN(ROW(AR36)-1,8)),DATA,AR36)</f>
        <v>0</v>
      </c>
      <c r="AS36" s="87">
        <f ca="1">IF(AND(OP="11",RAMX=DEC2BIN(COLUMN(AS36)-1,8),RAMY=DEC2BIN(ROW(AS36)-1,8)),DATA,AS36)</f>
        <v>0</v>
      </c>
      <c r="AT36" s="87">
        <f ca="1">IF(AND(OP="11",RAMX=DEC2BIN(COLUMN(AT36)-1,8),RAMY=DEC2BIN(ROW(AT36)-1,8)),DATA,AT36)</f>
        <v>0</v>
      </c>
      <c r="AU36" s="87">
        <f ca="1">IF(AND(OP="11",RAMX=DEC2BIN(COLUMN(AU36)-1,8),RAMY=DEC2BIN(ROW(AU36)-1,8)),DATA,AU36)</f>
        <v>0</v>
      </c>
      <c r="AV36" s="87">
        <f ca="1">IF(AND(OP="11",RAMX=DEC2BIN(COLUMN(AV36)-1,8),RAMY=DEC2BIN(ROW(AV36)-1,8)),DATA,AV36)</f>
        <v>0</v>
      </c>
      <c r="AW36" s="87">
        <f ca="1">IF(AND(OP="11",RAMX=DEC2BIN(COLUMN(AW36)-1,8),RAMY=DEC2BIN(ROW(AW36)-1,8)),DATA,AW36)</f>
        <v>0</v>
      </c>
      <c r="AX36" s="87">
        <f ca="1">IF(AND(OP="11",RAMX=DEC2BIN(COLUMN(AX36)-1,8),RAMY=DEC2BIN(ROW(AX36)-1,8)),DATA,AX36)</f>
        <v>0</v>
      </c>
      <c r="AY36" s="87">
        <f ca="1">IF(AND(OP="11",RAMX=DEC2BIN(COLUMN(AY36)-1,8),RAMY=DEC2BIN(ROW(AY36)-1,8)),DATA,AY36)</f>
        <v>0</v>
      </c>
      <c r="AZ36" s="87">
        <f ca="1">IF(AND(OP="11",RAMX=DEC2BIN(COLUMN(AZ36)-1,8),RAMY=DEC2BIN(ROW(AZ36)-1,8)),DATA,AZ36)</f>
        <v>0</v>
      </c>
      <c r="BA36" s="87">
        <f ca="1">IF(AND(OP="11",RAMX=DEC2BIN(COLUMN(BA36)-1,8),RAMY=DEC2BIN(ROW(BA36)-1,8)),DATA,BA36)</f>
        <v>0</v>
      </c>
      <c r="BB36" s="87">
        <f ca="1">IF(AND(OP="11",RAMX=DEC2BIN(COLUMN(BB36)-1,8),RAMY=DEC2BIN(ROW(BB36)-1,8)),DATA,BB36)</f>
        <v>0</v>
      </c>
      <c r="BC36" s="87">
        <f ca="1">IF(AND(OP="11",RAMX=DEC2BIN(COLUMN(BC36)-1,8),RAMY=DEC2BIN(ROW(BC36)-1,8)),DATA,BC36)</f>
        <v>0</v>
      </c>
      <c r="BD36" s="87">
        <f ca="1">IF(AND(OP="11",RAMX=DEC2BIN(COLUMN(BD36)-1,8),RAMY=DEC2BIN(ROW(BD36)-1,8)),DATA,BD36)</f>
        <v>0</v>
      </c>
      <c r="BE36" s="87">
        <f ca="1">IF(AND(OP="11",RAMX=DEC2BIN(COLUMN(BE36)-1,8),RAMY=DEC2BIN(ROW(BE36)-1,8)),DATA,BE36)</f>
        <v>0</v>
      </c>
      <c r="BF36" s="87">
        <f ca="1">IF(AND(OP="11",RAMX=DEC2BIN(COLUMN(BF36)-1,8),RAMY=DEC2BIN(ROW(BF36)-1,8)),DATA,BF36)</f>
        <v>0</v>
      </c>
      <c r="BG36" s="87">
        <f ca="1">IF(AND(OP="11",RAMX=DEC2BIN(COLUMN(BG36)-1,8),RAMY=DEC2BIN(ROW(BG36)-1,8)),DATA,BG36)</f>
        <v>0</v>
      </c>
      <c r="BH36" s="87">
        <f ca="1">IF(AND(OP="11",RAMX=DEC2BIN(COLUMN(BH36)-1,8),RAMY=DEC2BIN(ROW(BH36)-1,8)),DATA,BH36)</f>
        <v>0</v>
      </c>
      <c r="BI36" s="87">
        <f ca="1">IF(AND(OP="11",RAMX=DEC2BIN(COLUMN(BI36)-1,8),RAMY=DEC2BIN(ROW(BI36)-1,8)),DATA,BI36)</f>
        <v>0</v>
      </c>
      <c r="BJ36" s="87">
        <f ca="1">IF(AND(OP="11",RAMX=DEC2BIN(COLUMN(BJ36)-1,8),RAMY=DEC2BIN(ROW(BJ36)-1,8)),DATA,BJ36)</f>
        <v>0</v>
      </c>
      <c r="BK36" s="87">
        <f ca="1">IF(AND(OP="11",RAMX=DEC2BIN(COLUMN(BK36)-1,8),RAMY=DEC2BIN(ROW(BK36)-1,8)),DATA,BK36)</f>
        <v>0</v>
      </c>
      <c r="BL36" s="87">
        <f ca="1">IF(AND(OP="11",RAMX=DEC2BIN(COLUMN(BL36)-1,8),RAMY=DEC2BIN(ROW(BL36)-1,8)),DATA,BL36)</f>
        <v>0</v>
      </c>
    </row>
    <row r="37" spans="1:64" x14ac:dyDescent="0.25">
      <c r="A37" s="87">
        <f ca="1">IF(AND(OP="11",RAMX=DEC2BIN(COLUMN(A37)-1,8),RAMY=DEC2BIN(ROW(A37)-1,8)),DATA,A37)</f>
        <v>0</v>
      </c>
      <c r="B37" s="87">
        <f ca="1">IF(AND(OP="11",RAMX=DEC2BIN(COLUMN(B37)-1,8),RAMY=DEC2BIN(ROW(B37)-1,8)),DATA,B37)</f>
        <v>0</v>
      </c>
      <c r="C37" s="87">
        <f ca="1">IF(AND(OP="11",RAMX=DEC2BIN(COLUMN(C37)-1,8),RAMY=DEC2BIN(ROW(C37)-1,8)),DATA,C37)</f>
        <v>0</v>
      </c>
      <c r="D37" s="87">
        <f ca="1">IF(AND(OP="11",RAMX=DEC2BIN(COLUMN(D37)-1,8),RAMY=DEC2BIN(ROW(D37)-1,8)),DATA,D37)</f>
        <v>0</v>
      </c>
      <c r="E37" s="87">
        <f ca="1">IF(AND(OP="11",RAMX=DEC2BIN(COLUMN(E37)-1,8),RAMY=DEC2BIN(ROW(E37)-1,8)),DATA,E37)</f>
        <v>0</v>
      </c>
      <c r="F37" s="87">
        <f ca="1">IF(AND(OP="11",RAMX=DEC2BIN(COLUMN(F37)-1,8),RAMY=DEC2BIN(ROW(F37)-1,8)),DATA,F37)</f>
        <v>0</v>
      </c>
      <c r="G37" s="87">
        <f ca="1">IF(AND(OP="11",RAMX=DEC2BIN(COLUMN(G37)-1,8),RAMY=DEC2BIN(ROW(G37)-1,8)),DATA,G37)</f>
        <v>0</v>
      </c>
      <c r="H37" s="87">
        <f ca="1">IF(AND(OP="11",RAMX=DEC2BIN(COLUMN(H37)-1,8),RAMY=DEC2BIN(ROW(H37)-1,8)),DATA,H37)</f>
        <v>0</v>
      </c>
      <c r="I37" s="87">
        <f ca="1">IF(AND(OP="11",RAMX=DEC2BIN(COLUMN(I37)-1,8),RAMY=DEC2BIN(ROW(I37)-1,8)),DATA,I37)</f>
        <v>0</v>
      </c>
      <c r="J37" s="87">
        <f ca="1">IF(AND(OP="11",RAMX=DEC2BIN(COLUMN(J37)-1,8),RAMY=DEC2BIN(ROW(J37)-1,8)),DATA,J37)</f>
        <v>0</v>
      </c>
      <c r="K37" s="87">
        <f ca="1">IF(AND(OP="11",RAMX=DEC2BIN(COLUMN(K37)-1,8),RAMY=DEC2BIN(ROW(K37)-1,8)),DATA,K37)</f>
        <v>0</v>
      </c>
      <c r="L37" s="87">
        <f ca="1">IF(AND(OP="11",RAMX=DEC2BIN(COLUMN(L37)-1,8),RAMY=DEC2BIN(ROW(L37)-1,8)),DATA,L37)</f>
        <v>0</v>
      </c>
      <c r="M37" s="87">
        <f ca="1">IF(AND(OP="11",RAMX=DEC2BIN(COLUMN(M37)-1,8),RAMY=DEC2BIN(ROW(M37)-1,8)),DATA,M37)</f>
        <v>0</v>
      </c>
      <c r="N37" s="87">
        <f ca="1">IF(AND(OP="11",RAMX=DEC2BIN(COLUMN(N37)-1,8),RAMY=DEC2BIN(ROW(N37)-1,8)),DATA,N37)</f>
        <v>0</v>
      </c>
      <c r="O37" s="87">
        <f ca="1">IF(AND(OP="11",RAMX=DEC2BIN(COLUMN(O37)-1,8),RAMY=DEC2BIN(ROW(O37)-1,8)),DATA,O37)</f>
        <v>0</v>
      </c>
      <c r="P37" s="87">
        <f ca="1">IF(AND(OP="11",RAMX=DEC2BIN(COLUMN(P37)-1,8),RAMY=DEC2BIN(ROW(P37)-1,8)),DATA,P37)</f>
        <v>0</v>
      </c>
      <c r="Q37" s="87">
        <f ca="1">IF(AND(OP="11",RAMX=DEC2BIN(COLUMN(Q37)-1,8),RAMY=DEC2BIN(ROW(Q37)-1,8)),DATA,Q37)</f>
        <v>0</v>
      </c>
      <c r="R37" s="87">
        <f ca="1">IF(AND(OP="11",RAMX=DEC2BIN(COLUMN(R37)-1,8),RAMY=DEC2BIN(ROW(R37)-1,8)),DATA,R37)</f>
        <v>0</v>
      </c>
      <c r="S37" s="87">
        <f ca="1">IF(AND(OP="11",RAMX=DEC2BIN(COLUMN(S37)-1,8),RAMY=DEC2BIN(ROW(S37)-1,8)),DATA,S37)</f>
        <v>0</v>
      </c>
      <c r="T37" s="87">
        <f ca="1">IF(AND(OP="11",RAMX=DEC2BIN(COLUMN(T37)-1,8),RAMY=DEC2BIN(ROW(T37)-1,8)),DATA,T37)</f>
        <v>0</v>
      </c>
      <c r="U37" s="87">
        <f ca="1">IF(AND(OP="11",RAMX=DEC2BIN(COLUMN(U37)-1,8),RAMY=DEC2BIN(ROW(U37)-1,8)),DATA,U37)</f>
        <v>0</v>
      </c>
      <c r="V37" s="87">
        <f ca="1">IF(AND(OP="11",RAMX=DEC2BIN(COLUMN(V37)-1,8),RAMY=DEC2BIN(ROW(V37)-1,8)),DATA,V37)</f>
        <v>0</v>
      </c>
      <c r="W37" s="87">
        <f ca="1">IF(AND(OP="11",RAMX=DEC2BIN(COLUMN(W37)-1,8),RAMY=DEC2BIN(ROW(W37)-1,8)),DATA,W37)</f>
        <v>0</v>
      </c>
      <c r="X37" s="87">
        <f ca="1">IF(AND(OP="11",RAMX=DEC2BIN(COLUMN(X37)-1,8),RAMY=DEC2BIN(ROW(X37)-1,8)),DATA,X37)</f>
        <v>0</v>
      </c>
      <c r="Y37" s="87">
        <f ca="1">IF(AND(OP="11",RAMX=DEC2BIN(COLUMN(Y37)-1,8),RAMY=DEC2BIN(ROW(Y37)-1,8)),DATA,Y37)</f>
        <v>0</v>
      </c>
      <c r="Z37" s="87">
        <f ca="1">IF(AND(OP="11",RAMX=DEC2BIN(COLUMN(Z37)-1,8),RAMY=DEC2BIN(ROW(Z37)-1,8)),DATA,Z37)</f>
        <v>0</v>
      </c>
      <c r="AA37" s="87">
        <f ca="1">IF(AND(OP="11",RAMX=DEC2BIN(COLUMN(AA37)-1,8),RAMY=DEC2BIN(ROW(AA37)-1,8)),DATA,AA37)</f>
        <v>0</v>
      </c>
      <c r="AB37" s="87">
        <f ca="1">IF(AND(OP="11",RAMX=DEC2BIN(COLUMN(AB37)-1,8),RAMY=DEC2BIN(ROW(AB37)-1,8)),DATA,AB37)</f>
        <v>0</v>
      </c>
      <c r="AC37" s="87">
        <f ca="1">IF(AND(OP="11",RAMX=DEC2BIN(COLUMN(AC37)-1,8),RAMY=DEC2BIN(ROW(AC37)-1,8)),DATA,AC37)</f>
        <v>0</v>
      </c>
      <c r="AD37" s="87">
        <f ca="1">IF(AND(OP="11",RAMX=DEC2BIN(COLUMN(AD37)-1,8),RAMY=DEC2BIN(ROW(AD37)-1,8)),DATA,AD37)</f>
        <v>0</v>
      </c>
      <c r="AE37" s="87">
        <f ca="1">IF(AND(OP="11",RAMX=DEC2BIN(COLUMN(AE37)-1,8),RAMY=DEC2BIN(ROW(AE37)-1,8)),DATA,AE37)</f>
        <v>0</v>
      </c>
      <c r="AF37" s="87">
        <f ca="1">IF(AND(OP="11",RAMX=DEC2BIN(COLUMN(AF37)-1,8),RAMY=DEC2BIN(ROW(AF37)-1,8)),DATA,AF37)</f>
        <v>0</v>
      </c>
      <c r="AG37" s="87">
        <f ca="1">IF(AND(OP="11",RAMX=DEC2BIN(COLUMN(AG37)-1,8),RAMY=DEC2BIN(ROW(AG37)-1,8)),DATA,AG37)</f>
        <v>0</v>
      </c>
      <c r="AH37" s="87">
        <f ca="1">IF(AND(OP="11",RAMX=DEC2BIN(COLUMN(AH37)-1,8),RAMY=DEC2BIN(ROW(AH37)-1,8)),DATA,AH37)</f>
        <v>0</v>
      </c>
      <c r="AI37" s="87">
        <f ca="1">IF(AND(OP="11",RAMX=DEC2BIN(COLUMN(AI37)-1,8),RAMY=DEC2BIN(ROW(AI37)-1,8)),DATA,AI37)</f>
        <v>0</v>
      </c>
      <c r="AJ37" s="87">
        <f ca="1">IF(AND(OP="11",RAMX=DEC2BIN(COLUMN(AJ37)-1,8),RAMY=DEC2BIN(ROW(AJ37)-1,8)),DATA,AJ37)</f>
        <v>0</v>
      </c>
      <c r="AK37" s="87">
        <f ca="1">IF(AND(OP="11",RAMX=DEC2BIN(COLUMN(AK37)-1,8),RAMY=DEC2BIN(ROW(AK37)-1,8)),DATA,AK37)</f>
        <v>0</v>
      </c>
      <c r="AL37" s="87">
        <f ca="1">IF(AND(OP="11",RAMX=DEC2BIN(COLUMN(AL37)-1,8),RAMY=DEC2BIN(ROW(AL37)-1,8)),DATA,AL37)</f>
        <v>0</v>
      </c>
      <c r="AM37" s="87">
        <f ca="1">IF(AND(OP="11",RAMX=DEC2BIN(COLUMN(AM37)-1,8),RAMY=DEC2BIN(ROW(AM37)-1,8)),DATA,AM37)</f>
        <v>0</v>
      </c>
      <c r="AN37" s="87">
        <f ca="1">IF(AND(OP="11",RAMX=DEC2BIN(COLUMN(AN37)-1,8),RAMY=DEC2BIN(ROW(AN37)-1,8)),DATA,AN37)</f>
        <v>0</v>
      </c>
      <c r="AO37" s="87">
        <f ca="1">IF(AND(OP="11",RAMX=DEC2BIN(COLUMN(AO37)-1,8),RAMY=DEC2BIN(ROW(AO37)-1,8)),DATA,AO37)</f>
        <v>0</v>
      </c>
      <c r="AP37" s="87">
        <f ca="1">IF(AND(OP="11",RAMX=DEC2BIN(COLUMN(AP37)-1,8),RAMY=DEC2BIN(ROW(AP37)-1,8)),DATA,AP37)</f>
        <v>0</v>
      </c>
      <c r="AQ37" s="87">
        <f ca="1">IF(AND(OP="11",RAMX=DEC2BIN(COLUMN(AQ37)-1,8),RAMY=DEC2BIN(ROW(AQ37)-1,8)),DATA,AQ37)</f>
        <v>0</v>
      </c>
      <c r="AR37" s="87">
        <f ca="1">IF(AND(OP="11",RAMX=DEC2BIN(COLUMN(AR37)-1,8),RAMY=DEC2BIN(ROW(AR37)-1,8)),DATA,AR37)</f>
        <v>0</v>
      </c>
      <c r="AS37" s="87">
        <f ca="1">IF(AND(OP="11",RAMX=DEC2BIN(COLUMN(AS37)-1,8),RAMY=DEC2BIN(ROW(AS37)-1,8)),DATA,AS37)</f>
        <v>0</v>
      </c>
      <c r="AT37" s="87">
        <f ca="1">IF(AND(OP="11",RAMX=DEC2BIN(COLUMN(AT37)-1,8),RAMY=DEC2BIN(ROW(AT37)-1,8)),DATA,AT37)</f>
        <v>0</v>
      </c>
      <c r="AU37" s="87">
        <f ca="1">IF(AND(OP="11",RAMX=DEC2BIN(COLUMN(AU37)-1,8),RAMY=DEC2BIN(ROW(AU37)-1,8)),DATA,AU37)</f>
        <v>0</v>
      </c>
      <c r="AV37" s="87">
        <f ca="1">IF(AND(OP="11",RAMX=DEC2BIN(COLUMN(AV37)-1,8),RAMY=DEC2BIN(ROW(AV37)-1,8)),DATA,AV37)</f>
        <v>0</v>
      </c>
      <c r="AW37" s="87">
        <f ca="1">IF(AND(OP="11",RAMX=DEC2BIN(COLUMN(AW37)-1,8),RAMY=DEC2BIN(ROW(AW37)-1,8)),DATA,AW37)</f>
        <v>0</v>
      </c>
      <c r="AX37" s="87">
        <f ca="1">IF(AND(OP="11",RAMX=DEC2BIN(COLUMN(AX37)-1,8),RAMY=DEC2BIN(ROW(AX37)-1,8)),DATA,AX37)</f>
        <v>0</v>
      </c>
      <c r="AY37" s="87">
        <f ca="1">IF(AND(OP="11",RAMX=DEC2BIN(COLUMN(AY37)-1,8),RAMY=DEC2BIN(ROW(AY37)-1,8)),DATA,AY37)</f>
        <v>0</v>
      </c>
      <c r="AZ37" s="87">
        <f ca="1">IF(AND(OP="11",RAMX=DEC2BIN(COLUMN(AZ37)-1,8),RAMY=DEC2BIN(ROW(AZ37)-1,8)),DATA,AZ37)</f>
        <v>0</v>
      </c>
      <c r="BA37" s="87">
        <f ca="1">IF(AND(OP="11",RAMX=DEC2BIN(COLUMN(BA37)-1,8),RAMY=DEC2BIN(ROW(BA37)-1,8)),DATA,BA37)</f>
        <v>0</v>
      </c>
      <c r="BB37" s="87">
        <f ca="1">IF(AND(OP="11",RAMX=DEC2BIN(COLUMN(BB37)-1,8),RAMY=DEC2BIN(ROW(BB37)-1,8)),DATA,BB37)</f>
        <v>0</v>
      </c>
      <c r="BC37" s="87">
        <f ca="1">IF(AND(OP="11",RAMX=DEC2BIN(COLUMN(BC37)-1,8),RAMY=DEC2BIN(ROW(BC37)-1,8)),DATA,BC37)</f>
        <v>0</v>
      </c>
      <c r="BD37" s="87">
        <f ca="1">IF(AND(OP="11",RAMX=DEC2BIN(COLUMN(BD37)-1,8),RAMY=DEC2BIN(ROW(BD37)-1,8)),DATA,BD37)</f>
        <v>0</v>
      </c>
      <c r="BE37" s="87">
        <f ca="1">IF(AND(OP="11",RAMX=DEC2BIN(COLUMN(BE37)-1,8),RAMY=DEC2BIN(ROW(BE37)-1,8)),DATA,BE37)</f>
        <v>0</v>
      </c>
      <c r="BF37" s="87">
        <f ca="1">IF(AND(OP="11",RAMX=DEC2BIN(COLUMN(BF37)-1,8),RAMY=DEC2BIN(ROW(BF37)-1,8)),DATA,BF37)</f>
        <v>0</v>
      </c>
      <c r="BG37" s="87">
        <f ca="1">IF(AND(OP="11",RAMX=DEC2BIN(COLUMN(BG37)-1,8),RAMY=DEC2BIN(ROW(BG37)-1,8)),DATA,BG37)</f>
        <v>0</v>
      </c>
      <c r="BH37" s="87">
        <f ca="1">IF(AND(OP="11",RAMX=DEC2BIN(COLUMN(BH37)-1,8),RAMY=DEC2BIN(ROW(BH37)-1,8)),DATA,BH37)</f>
        <v>0</v>
      </c>
      <c r="BI37" s="87">
        <f ca="1">IF(AND(OP="11",RAMX=DEC2BIN(COLUMN(BI37)-1,8),RAMY=DEC2BIN(ROW(BI37)-1,8)),DATA,BI37)</f>
        <v>0</v>
      </c>
      <c r="BJ37" s="87">
        <f ca="1">IF(AND(OP="11",RAMX=DEC2BIN(COLUMN(BJ37)-1,8),RAMY=DEC2BIN(ROW(BJ37)-1,8)),DATA,BJ37)</f>
        <v>0</v>
      </c>
      <c r="BK37" s="87">
        <f ca="1">IF(AND(OP="11",RAMX=DEC2BIN(COLUMN(BK37)-1,8),RAMY=DEC2BIN(ROW(BK37)-1,8)),DATA,BK37)</f>
        <v>0</v>
      </c>
      <c r="BL37" s="87">
        <f ca="1">IF(AND(OP="11",RAMX=DEC2BIN(COLUMN(BL37)-1,8),RAMY=DEC2BIN(ROW(BL37)-1,8)),DATA,BL37)</f>
        <v>0</v>
      </c>
    </row>
    <row r="38" spans="1:64" x14ac:dyDescent="0.25">
      <c r="A38" s="87">
        <f ca="1">IF(AND(OP="11",RAMX=DEC2BIN(COLUMN(A38)-1,8),RAMY=DEC2BIN(ROW(A38)-1,8)),DATA,A38)</f>
        <v>0</v>
      </c>
      <c r="B38" s="87">
        <f ca="1">IF(AND(OP="11",RAMX=DEC2BIN(COLUMN(B38)-1,8),RAMY=DEC2BIN(ROW(B38)-1,8)),DATA,B38)</f>
        <v>0</v>
      </c>
      <c r="C38" s="87">
        <f ca="1">IF(AND(OP="11",RAMX=DEC2BIN(COLUMN(C38)-1,8),RAMY=DEC2BIN(ROW(C38)-1,8)),DATA,C38)</f>
        <v>0</v>
      </c>
      <c r="D38" s="87">
        <f ca="1">IF(AND(OP="11",RAMX=DEC2BIN(COLUMN(D38)-1,8),RAMY=DEC2BIN(ROW(D38)-1,8)),DATA,D38)</f>
        <v>0</v>
      </c>
      <c r="E38" s="87">
        <f ca="1">IF(AND(OP="11",RAMX=DEC2BIN(COLUMN(E38)-1,8),RAMY=DEC2BIN(ROW(E38)-1,8)),DATA,E38)</f>
        <v>0</v>
      </c>
      <c r="F38" s="87">
        <f ca="1">IF(AND(OP="11",RAMX=DEC2BIN(COLUMN(F38)-1,8),RAMY=DEC2BIN(ROW(F38)-1,8)),DATA,F38)</f>
        <v>0</v>
      </c>
      <c r="G38" s="87">
        <f ca="1">IF(AND(OP="11",RAMX=DEC2BIN(COLUMN(G38)-1,8),RAMY=DEC2BIN(ROW(G38)-1,8)),DATA,G38)</f>
        <v>0</v>
      </c>
      <c r="H38" s="87">
        <f ca="1">IF(AND(OP="11",RAMX=DEC2BIN(COLUMN(H38)-1,8),RAMY=DEC2BIN(ROW(H38)-1,8)),DATA,H38)</f>
        <v>0</v>
      </c>
      <c r="I38" s="87">
        <f ca="1">IF(AND(OP="11",RAMX=DEC2BIN(COLUMN(I38)-1,8),RAMY=DEC2BIN(ROW(I38)-1,8)),DATA,I38)</f>
        <v>0</v>
      </c>
      <c r="J38" s="87">
        <f ca="1">IF(AND(OP="11",RAMX=DEC2BIN(COLUMN(J38)-1,8),RAMY=DEC2BIN(ROW(J38)-1,8)),DATA,J38)</f>
        <v>0</v>
      </c>
      <c r="K38" s="87">
        <f ca="1">IF(AND(OP="11",RAMX=DEC2BIN(COLUMN(K38)-1,8),RAMY=DEC2BIN(ROW(K38)-1,8)),DATA,K38)</f>
        <v>0</v>
      </c>
      <c r="L38" s="87">
        <f ca="1">IF(AND(OP="11",RAMX=DEC2BIN(COLUMN(L38)-1,8),RAMY=DEC2BIN(ROW(L38)-1,8)),DATA,L38)</f>
        <v>0</v>
      </c>
      <c r="M38" s="87">
        <f ca="1">IF(AND(OP="11",RAMX=DEC2BIN(COLUMN(M38)-1,8),RAMY=DEC2BIN(ROW(M38)-1,8)),DATA,M38)</f>
        <v>0</v>
      </c>
      <c r="N38" s="87">
        <f ca="1">IF(AND(OP="11",RAMX=DEC2BIN(COLUMN(N38)-1,8),RAMY=DEC2BIN(ROW(N38)-1,8)),DATA,N38)</f>
        <v>0</v>
      </c>
      <c r="O38" s="87">
        <f ca="1">IF(AND(OP="11",RAMX=DEC2BIN(COLUMN(O38)-1,8),RAMY=DEC2BIN(ROW(O38)-1,8)),DATA,O38)</f>
        <v>0</v>
      </c>
      <c r="P38" s="87">
        <f ca="1">IF(AND(OP="11",RAMX=DEC2BIN(COLUMN(P38)-1,8),RAMY=DEC2BIN(ROW(P38)-1,8)),DATA,P38)</f>
        <v>0</v>
      </c>
      <c r="Q38" s="87">
        <f ca="1">IF(AND(OP="11",RAMX=DEC2BIN(COLUMN(Q38)-1,8),RAMY=DEC2BIN(ROW(Q38)-1,8)),DATA,Q38)</f>
        <v>0</v>
      </c>
      <c r="R38" s="87">
        <f ca="1">IF(AND(OP="11",RAMX=DEC2BIN(COLUMN(R38)-1,8),RAMY=DEC2BIN(ROW(R38)-1,8)),DATA,R38)</f>
        <v>0</v>
      </c>
      <c r="S38" s="87">
        <f ca="1">IF(AND(OP="11",RAMX=DEC2BIN(COLUMN(S38)-1,8),RAMY=DEC2BIN(ROW(S38)-1,8)),DATA,S38)</f>
        <v>0</v>
      </c>
      <c r="T38" s="87">
        <f ca="1">IF(AND(OP="11",RAMX=DEC2BIN(COLUMN(T38)-1,8),RAMY=DEC2BIN(ROW(T38)-1,8)),DATA,T38)</f>
        <v>0</v>
      </c>
      <c r="U38" s="87">
        <f ca="1">IF(AND(OP="11",RAMX=DEC2BIN(COLUMN(U38)-1,8),RAMY=DEC2BIN(ROW(U38)-1,8)),DATA,U38)</f>
        <v>0</v>
      </c>
      <c r="V38" s="87">
        <f ca="1">IF(AND(OP="11",RAMX=DEC2BIN(COLUMN(V38)-1,8),RAMY=DEC2BIN(ROW(V38)-1,8)),DATA,V38)</f>
        <v>0</v>
      </c>
      <c r="W38" s="87">
        <f ca="1">IF(AND(OP="11",RAMX=DEC2BIN(COLUMN(W38)-1,8),RAMY=DEC2BIN(ROW(W38)-1,8)),DATA,W38)</f>
        <v>0</v>
      </c>
      <c r="X38" s="87">
        <f ca="1">IF(AND(OP="11",RAMX=DEC2BIN(COLUMN(X38)-1,8),RAMY=DEC2BIN(ROW(X38)-1,8)),DATA,X38)</f>
        <v>0</v>
      </c>
      <c r="Y38" s="87">
        <f ca="1">IF(AND(OP="11",RAMX=DEC2BIN(COLUMN(Y38)-1,8),RAMY=DEC2BIN(ROW(Y38)-1,8)),DATA,Y38)</f>
        <v>0</v>
      </c>
      <c r="Z38" s="87">
        <f ca="1">IF(AND(OP="11",RAMX=DEC2BIN(COLUMN(Z38)-1,8),RAMY=DEC2BIN(ROW(Z38)-1,8)),DATA,Z38)</f>
        <v>0</v>
      </c>
      <c r="AA38" s="87">
        <f ca="1">IF(AND(OP="11",RAMX=DEC2BIN(COLUMN(AA38)-1,8),RAMY=DEC2BIN(ROW(AA38)-1,8)),DATA,AA38)</f>
        <v>0</v>
      </c>
      <c r="AB38" s="87">
        <f ca="1">IF(AND(OP="11",RAMX=DEC2BIN(COLUMN(AB38)-1,8),RAMY=DEC2BIN(ROW(AB38)-1,8)),DATA,AB38)</f>
        <v>0</v>
      </c>
      <c r="AC38" s="87">
        <f ca="1">IF(AND(OP="11",RAMX=DEC2BIN(COLUMN(AC38)-1,8),RAMY=DEC2BIN(ROW(AC38)-1,8)),DATA,AC38)</f>
        <v>0</v>
      </c>
      <c r="AD38" s="87">
        <f ca="1">IF(AND(OP="11",RAMX=DEC2BIN(COLUMN(AD38)-1,8),RAMY=DEC2BIN(ROW(AD38)-1,8)),DATA,AD38)</f>
        <v>0</v>
      </c>
      <c r="AE38" s="87">
        <f ca="1">IF(AND(OP="11",RAMX=DEC2BIN(COLUMN(AE38)-1,8),RAMY=DEC2BIN(ROW(AE38)-1,8)),DATA,AE38)</f>
        <v>0</v>
      </c>
      <c r="AF38" s="87">
        <f ca="1">IF(AND(OP="11",RAMX=DEC2BIN(COLUMN(AF38)-1,8),RAMY=DEC2BIN(ROW(AF38)-1,8)),DATA,AF38)</f>
        <v>0</v>
      </c>
      <c r="AG38" s="87">
        <f ca="1">IF(AND(OP="11",RAMX=DEC2BIN(COLUMN(AG38)-1,8),RAMY=DEC2BIN(ROW(AG38)-1,8)),DATA,AG38)</f>
        <v>0</v>
      </c>
      <c r="AH38" s="87">
        <f ca="1">IF(AND(OP="11",RAMX=DEC2BIN(COLUMN(AH38)-1,8),RAMY=DEC2BIN(ROW(AH38)-1,8)),DATA,AH38)</f>
        <v>0</v>
      </c>
      <c r="AI38" s="87">
        <f ca="1">IF(AND(OP="11",RAMX=DEC2BIN(COLUMN(AI38)-1,8),RAMY=DEC2BIN(ROW(AI38)-1,8)),DATA,AI38)</f>
        <v>0</v>
      </c>
      <c r="AJ38" s="87">
        <f ca="1">IF(AND(OP="11",RAMX=DEC2BIN(COLUMN(AJ38)-1,8),RAMY=DEC2BIN(ROW(AJ38)-1,8)),DATA,AJ38)</f>
        <v>0</v>
      </c>
      <c r="AK38" s="87">
        <f ca="1">IF(AND(OP="11",RAMX=DEC2BIN(COLUMN(AK38)-1,8),RAMY=DEC2BIN(ROW(AK38)-1,8)),DATA,AK38)</f>
        <v>0</v>
      </c>
      <c r="AL38" s="87">
        <f ca="1">IF(AND(OP="11",RAMX=DEC2BIN(COLUMN(AL38)-1,8),RAMY=DEC2BIN(ROW(AL38)-1,8)),DATA,AL38)</f>
        <v>0</v>
      </c>
      <c r="AM38" s="87">
        <f ca="1">IF(AND(OP="11",RAMX=DEC2BIN(COLUMN(AM38)-1,8),RAMY=DEC2BIN(ROW(AM38)-1,8)),DATA,AM38)</f>
        <v>0</v>
      </c>
      <c r="AN38" s="87">
        <f ca="1">IF(AND(OP="11",RAMX=DEC2BIN(COLUMN(AN38)-1,8),RAMY=DEC2BIN(ROW(AN38)-1,8)),DATA,AN38)</f>
        <v>0</v>
      </c>
      <c r="AO38" s="87">
        <f ca="1">IF(AND(OP="11",RAMX=DEC2BIN(COLUMN(AO38)-1,8),RAMY=DEC2BIN(ROW(AO38)-1,8)),DATA,AO38)</f>
        <v>0</v>
      </c>
      <c r="AP38" s="87">
        <f ca="1">IF(AND(OP="11",RAMX=DEC2BIN(COLUMN(AP38)-1,8),RAMY=DEC2BIN(ROW(AP38)-1,8)),DATA,AP38)</f>
        <v>0</v>
      </c>
      <c r="AQ38" s="87">
        <f ca="1">IF(AND(OP="11",RAMX=DEC2BIN(COLUMN(AQ38)-1,8),RAMY=DEC2BIN(ROW(AQ38)-1,8)),DATA,AQ38)</f>
        <v>0</v>
      </c>
      <c r="AR38" s="87">
        <f ca="1">IF(AND(OP="11",RAMX=DEC2BIN(COLUMN(AR38)-1,8),RAMY=DEC2BIN(ROW(AR38)-1,8)),DATA,AR38)</f>
        <v>0</v>
      </c>
      <c r="AS38" s="87">
        <f ca="1">IF(AND(OP="11",RAMX=DEC2BIN(COLUMN(AS38)-1,8),RAMY=DEC2BIN(ROW(AS38)-1,8)),DATA,AS38)</f>
        <v>0</v>
      </c>
      <c r="AT38" s="87">
        <f ca="1">IF(AND(OP="11",RAMX=DEC2BIN(COLUMN(AT38)-1,8),RAMY=DEC2BIN(ROW(AT38)-1,8)),DATA,AT38)</f>
        <v>0</v>
      </c>
      <c r="AU38" s="87">
        <f ca="1">IF(AND(OP="11",RAMX=DEC2BIN(COLUMN(AU38)-1,8),RAMY=DEC2BIN(ROW(AU38)-1,8)),DATA,AU38)</f>
        <v>0</v>
      </c>
      <c r="AV38" s="87">
        <f ca="1">IF(AND(OP="11",RAMX=DEC2BIN(COLUMN(AV38)-1,8),RAMY=DEC2BIN(ROW(AV38)-1,8)),DATA,AV38)</f>
        <v>0</v>
      </c>
      <c r="AW38" s="87">
        <f ca="1">IF(AND(OP="11",RAMX=DEC2BIN(COLUMN(AW38)-1,8),RAMY=DEC2BIN(ROW(AW38)-1,8)),DATA,AW38)</f>
        <v>0</v>
      </c>
      <c r="AX38" s="87">
        <f ca="1">IF(AND(OP="11",RAMX=DEC2BIN(COLUMN(AX38)-1,8),RAMY=DEC2BIN(ROW(AX38)-1,8)),DATA,AX38)</f>
        <v>0</v>
      </c>
      <c r="AY38" s="87">
        <f ca="1">IF(AND(OP="11",RAMX=DEC2BIN(COLUMN(AY38)-1,8),RAMY=DEC2BIN(ROW(AY38)-1,8)),DATA,AY38)</f>
        <v>0</v>
      </c>
      <c r="AZ38" s="87">
        <f ca="1">IF(AND(OP="11",RAMX=DEC2BIN(COLUMN(AZ38)-1,8),RAMY=DEC2BIN(ROW(AZ38)-1,8)),DATA,AZ38)</f>
        <v>0</v>
      </c>
      <c r="BA38" s="87">
        <f ca="1">IF(AND(OP="11",RAMX=DEC2BIN(COLUMN(BA38)-1,8),RAMY=DEC2BIN(ROW(BA38)-1,8)),DATA,BA38)</f>
        <v>0</v>
      </c>
      <c r="BB38" s="87">
        <f ca="1">IF(AND(OP="11",RAMX=DEC2BIN(COLUMN(BB38)-1,8),RAMY=DEC2BIN(ROW(BB38)-1,8)),DATA,BB38)</f>
        <v>0</v>
      </c>
      <c r="BC38" s="87">
        <f ca="1">IF(AND(OP="11",RAMX=DEC2BIN(COLUMN(BC38)-1,8),RAMY=DEC2BIN(ROW(BC38)-1,8)),DATA,BC38)</f>
        <v>0</v>
      </c>
      <c r="BD38" s="87">
        <f ca="1">IF(AND(OP="11",RAMX=DEC2BIN(COLUMN(BD38)-1,8),RAMY=DEC2BIN(ROW(BD38)-1,8)),DATA,BD38)</f>
        <v>0</v>
      </c>
      <c r="BE38" s="87">
        <f ca="1">IF(AND(OP="11",RAMX=DEC2BIN(COLUMN(BE38)-1,8),RAMY=DEC2BIN(ROW(BE38)-1,8)),DATA,BE38)</f>
        <v>0</v>
      </c>
      <c r="BF38" s="87">
        <f ca="1">IF(AND(OP="11",RAMX=DEC2BIN(COLUMN(BF38)-1,8),RAMY=DEC2BIN(ROW(BF38)-1,8)),DATA,BF38)</f>
        <v>0</v>
      </c>
      <c r="BG38" s="87">
        <f ca="1">IF(AND(OP="11",RAMX=DEC2BIN(COLUMN(BG38)-1,8),RAMY=DEC2BIN(ROW(BG38)-1,8)),DATA,BG38)</f>
        <v>0</v>
      </c>
      <c r="BH38" s="87">
        <f ca="1">IF(AND(OP="11",RAMX=DEC2BIN(COLUMN(BH38)-1,8),RAMY=DEC2BIN(ROW(BH38)-1,8)),DATA,BH38)</f>
        <v>0</v>
      </c>
      <c r="BI38" s="87">
        <f ca="1">IF(AND(OP="11",RAMX=DEC2BIN(COLUMN(BI38)-1,8),RAMY=DEC2BIN(ROW(BI38)-1,8)),DATA,BI38)</f>
        <v>0</v>
      </c>
      <c r="BJ38" s="87">
        <f ca="1">IF(AND(OP="11",RAMX=DEC2BIN(COLUMN(BJ38)-1,8),RAMY=DEC2BIN(ROW(BJ38)-1,8)),DATA,BJ38)</f>
        <v>0</v>
      </c>
      <c r="BK38" s="87">
        <f ca="1">IF(AND(OP="11",RAMX=DEC2BIN(COLUMN(BK38)-1,8),RAMY=DEC2BIN(ROW(BK38)-1,8)),DATA,BK38)</f>
        <v>0</v>
      </c>
      <c r="BL38" s="87">
        <f ca="1">IF(AND(OP="11",RAMX=DEC2BIN(COLUMN(BL38)-1,8),RAMY=DEC2BIN(ROW(BL38)-1,8)),DATA,BL38)</f>
        <v>0</v>
      </c>
    </row>
    <row r="39" spans="1:64" x14ac:dyDescent="0.25">
      <c r="A39" s="87">
        <f ca="1">IF(AND(OP="11",RAMX=DEC2BIN(COLUMN(A39)-1,8),RAMY=DEC2BIN(ROW(A39)-1,8)),DATA,A39)</f>
        <v>0</v>
      </c>
      <c r="B39" s="87">
        <f ca="1">IF(AND(OP="11",RAMX=DEC2BIN(COLUMN(B39)-1,8),RAMY=DEC2BIN(ROW(B39)-1,8)),DATA,B39)</f>
        <v>0</v>
      </c>
      <c r="C39" s="87">
        <f ca="1">IF(AND(OP="11",RAMX=DEC2BIN(COLUMN(C39)-1,8),RAMY=DEC2BIN(ROW(C39)-1,8)),DATA,C39)</f>
        <v>0</v>
      </c>
      <c r="D39" s="87">
        <f ca="1">IF(AND(OP="11",RAMX=DEC2BIN(COLUMN(D39)-1,8),RAMY=DEC2BIN(ROW(D39)-1,8)),DATA,D39)</f>
        <v>0</v>
      </c>
      <c r="E39" s="87">
        <f ca="1">IF(AND(OP="11",RAMX=DEC2BIN(COLUMN(E39)-1,8),RAMY=DEC2BIN(ROW(E39)-1,8)),DATA,E39)</f>
        <v>0</v>
      </c>
      <c r="F39" s="87">
        <f ca="1">IF(AND(OP="11",RAMX=DEC2BIN(COLUMN(F39)-1,8),RAMY=DEC2BIN(ROW(F39)-1,8)),DATA,F39)</f>
        <v>0</v>
      </c>
      <c r="G39" s="87">
        <f ca="1">IF(AND(OP="11",RAMX=DEC2BIN(COLUMN(G39)-1,8),RAMY=DEC2BIN(ROW(G39)-1,8)),DATA,G39)</f>
        <v>0</v>
      </c>
      <c r="H39" s="87">
        <f ca="1">IF(AND(OP="11",RAMX=DEC2BIN(COLUMN(H39)-1,8),RAMY=DEC2BIN(ROW(H39)-1,8)),DATA,H39)</f>
        <v>0</v>
      </c>
      <c r="I39" s="87">
        <f ca="1">IF(AND(OP="11",RAMX=DEC2BIN(COLUMN(I39)-1,8),RAMY=DEC2BIN(ROW(I39)-1,8)),DATA,I39)</f>
        <v>0</v>
      </c>
      <c r="J39" s="87">
        <f ca="1">IF(AND(OP="11",RAMX=DEC2BIN(COLUMN(J39)-1,8),RAMY=DEC2BIN(ROW(J39)-1,8)),DATA,J39)</f>
        <v>0</v>
      </c>
      <c r="K39" s="87">
        <f ca="1">IF(AND(OP="11",RAMX=DEC2BIN(COLUMN(K39)-1,8),RAMY=DEC2BIN(ROW(K39)-1,8)),DATA,K39)</f>
        <v>0</v>
      </c>
      <c r="L39" s="87">
        <f ca="1">IF(AND(OP="11",RAMX=DEC2BIN(COLUMN(L39)-1,8),RAMY=DEC2BIN(ROW(L39)-1,8)),DATA,L39)</f>
        <v>0</v>
      </c>
      <c r="M39" s="87">
        <f ca="1">IF(AND(OP="11",RAMX=DEC2BIN(COLUMN(M39)-1,8),RAMY=DEC2BIN(ROW(M39)-1,8)),DATA,M39)</f>
        <v>0</v>
      </c>
      <c r="N39" s="87">
        <f ca="1">IF(AND(OP="11",RAMX=DEC2BIN(COLUMN(N39)-1,8),RAMY=DEC2BIN(ROW(N39)-1,8)),DATA,N39)</f>
        <v>0</v>
      </c>
      <c r="O39" s="87">
        <f ca="1">IF(AND(OP="11",RAMX=DEC2BIN(COLUMN(O39)-1,8),RAMY=DEC2BIN(ROW(O39)-1,8)),DATA,O39)</f>
        <v>0</v>
      </c>
      <c r="P39" s="87">
        <f ca="1">IF(AND(OP="11",RAMX=DEC2BIN(COLUMN(P39)-1,8),RAMY=DEC2BIN(ROW(P39)-1,8)),DATA,P39)</f>
        <v>0</v>
      </c>
      <c r="Q39" s="87">
        <f ca="1">IF(AND(OP="11",RAMX=DEC2BIN(COLUMN(Q39)-1,8),RAMY=DEC2BIN(ROW(Q39)-1,8)),DATA,Q39)</f>
        <v>0</v>
      </c>
      <c r="R39" s="87">
        <f ca="1">IF(AND(OP="11",RAMX=DEC2BIN(COLUMN(R39)-1,8),RAMY=DEC2BIN(ROW(R39)-1,8)),DATA,R39)</f>
        <v>0</v>
      </c>
      <c r="S39" s="87">
        <f ca="1">IF(AND(OP="11",RAMX=DEC2BIN(COLUMN(S39)-1,8),RAMY=DEC2BIN(ROW(S39)-1,8)),DATA,S39)</f>
        <v>0</v>
      </c>
      <c r="T39" s="87">
        <f ca="1">IF(AND(OP="11",RAMX=DEC2BIN(COLUMN(T39)-1,8),RAMY=DEC2BIN(ROW(T39)-1,8)),DATA,T39)</f>
        <v>0</v>
      </c>
      <c r="U39" s="87">
        <f ca="1">IF(AND(OP="11",RAMX=DEC2BIN(COLUMN(U39)-1,8),RAMY=DEC2BIN(ROW(U39)-1,8)),DATA,U39)</f>
        <v>0</v>
      </c>
      <c r="V39" s="87">
        <f ca="1">IF(AND(OP="11",RAMX=DEC2BIN(COLUMN(V39)-1,8),RAMY=DEC2BIN(ROW(V39)-1,8)),DATA,V39)</f>
        <v>0</v>
      </c>
      <c r="W39" s="87">
        <f ca="1">IF(AND(OP="11",RAMX=DEC2BIN(COLUMN(W39)-1,8),RAMY=DEC2BIN(ROW(W39)-1,8)),DATA,W39)</f>
        <v>0</v>
      </c>
      <c r="X39" s="87">
        <f ca="1">IF(AND(OP="11",RAMX=DEC2BIN(COLUMN(X39)-1,8),RAMY=DEC2BIN(ROW(X39)-1,8)),DATA,X39)</f>
        <v>0</v>
      </c>
      <c r="Y39" s="87">
        <f ca="1">IF(AND(OP="11",RAMX=DEC2BIN(COLUMN(Y39)-1,8),RAMY=DEC2BIN(ROW(Y39)-1,8)),DATA,Y39)</f>
        <v>0</v>
      </c>
      <c r="Z39" s="87">
        <f ca="1">IF(AND(OP="11",RAMX=DEC2BIN(COLUMN(Z39)-1,8),RAMY=DEC2BIN(ROW(Z39)-1,8)),DATA,Z39)</f>
        <v>0</v>
      </c>
      <c r="AA39" s="87">
        <f ca="1">IF(AND(OP="11",RAMX=DEC2BIN(COLUMN(AA39)-1,8),RAMY=DEC2BIN(ROW(AA39)-1,8)),DATA,AA39)</f>
        <v>0</v>
      </c>
      <c r="AB39" s="87">
        <f ca="1">IF(AND(OP="11",RAMX=DEC2BIN(COLUMN(AB39)-1,8),RAMY=DEC2BIN(ROW(AB39)-1,8)),DATA,AB39)</f>
        <v>0</v>
      </c>
      <c r="AC39" s="87">
        <f ca="1">IF(AND(OP="11",RAMX=DEC2BIN(COLUMN(AC39)-1,8),RAMY=DEC2BIN(ROW(AC39)-1,8)),DATA,AC39)</f>
        <v>0</v>
      </c>
      <c r="AD39" s="87">
        <f ca="1">IF(AND(OP="11",RAMX=DEC2BIN(COLUMN(AD39)-1,8),RAMY=DEC2BIN(ROW(AD39)-1,8)),DATA,AD39)</f>
        <v>0</v>
      </c>
      <c r="AE39" s="87">
        <f ca="1">IF(AND(OP="11",RAMX=DEC2BIN(COLUMN(AE39)-1,8),RAMY=DEC2BIN(ROW(AE39)-1,8)),DATA,AE39)</f>
        <v>0</v>
      </c>
      <c r="AF39" s="87">
        <f ca="1">IF(AND(OP="11",RAMX=DEC2BIN(COLUMN(AF39)-1,8),RAMY=DEC2BIN(ROW(AF39)-1,8)),DATA,AF39)</f>
        <v>0</v>
      </c>
      <c r="AG39" s="87">
        <f ca="1">IF(AND(OP="11",RAMX=DEC2BIN(COLUMN(AG39)-1,8),RAMY=DEC2BIN(ROW(AG39)-1,8)),DATA,AG39)</f>
        <v>0</v>
      </c>
      <c r="AH39" s="87">
        <f ca="1">IF(AND(OP="11",RAMX=DEC2BIN(COLUMN(AH39)-1,8),RAMY=DEC2BIN(ROW(AH39)-1,8)),DATA,AH39)</f>
        <v>0</v>
      </c>
      <c r="AI39" s="87">
        <f ca="1">IF(AND(OP="11",RAMX=DEC2BIN(COLUMN(AI39)-1,8),RAMY=DEC2BIN(ROW(AI39)-1,8)),DATA,AI39)</f>
        <v>0</v>
      </c>
      <c r="AJ39" s="87">
        <f ca="1">IF(AND(OP="11",RAMX=DEC2BIN(COLUMN(AJ39)-1,8),RAMY=DEC2BIN(ROW(AJ39)-1,8)),DATA,AJ39)</f>
        <v>0</v>
      </c>
      <c r="AK39" s="87">
        <f ca="1">IF(AND(OP="11",RAMX=DEC2BIN(COLUMN(AK39)-1,8),RAMY=DEC2BIN(ROW(AK39)-1,8)),DATA,AK39)</f>
        <v>0</v>
      </c>
      <c r="AL39" s="87">
        <f ca="1">IF(AND(OP="11",RAMX=DEC2BIN(COLUMN(AL39)-1,8),RAMY=DEC2BIN(ROW(AL39)-1,8)),DATA,AL39)</f>
        <v>0</v>
      </c>
      <c r="AM39" s="87">
        <f ca="1">IF(AND(OP="11",RAMX=DEC2BIN(COLUMN(AM39)-1,8),RAMY=DEC2BIN(ROW(AM39)-1,8)),DATA,AM39)</f>
        <v>0</v>
      </c>
      <c r="AN39" s="87">
        <f ca="1">IF(AND(OP="11",RAMX=DEC2BIN(COLUMN(AN39)-1,8),RAMY=DEC2BIN(ROW(AN39)-1,8)),DATA,AN39)</f>
        <v>0</v>
      </c>
      <c r="AO39" s="87">
        <f ca="1">IF(AND(OP="11",RAMX=DEC2BIN(COLUMN(AO39)-1,8),RAMY=DEC2BIN(ROW(AO39)-1,8)),DATA,AO39)</f>
        <v>0</v>
      </c>
      <c r="AP39" s="87">
        <f ca="1">IF(AND(OP="11",RAMX=DEC2BIN(COLUMN(AP39)-1,8),RAMY=DEC2BIN(ROW(AP39)-1,8)),DATA,AP39)</f>
        <v>0</v>
      </c>
      <c r="AQ39" s="87">
        <f ca="1">IF(AND(OP="11",RAMX=DEC2BIN(COLUMN(AQ39)-1,8),RAMY=DEC2BIN(ROW(AQ39)-1,8)),DATA,AQ39)</f>
        <v>0</v>
      </c>
      <c r="AR39" s="87">
        <f ca="1">IF(AND(OP="11",RAMX=DEC2BIN(COLUMN(AR39)-1,8),RAMY=DEC2BIN(ROW(AR39)-1,8)),DATA,AR39)</f>
        <v>0</v>
      </c>
      <c r="AS39" s="87">
        <f ca="1">IF(AND(OP="11",RAMX=DEC2BIN(COLUMN(AS39)-1,8),RAMY=DEC2BIN(ROW(AS39)-1,8)),DATA,AS39)</f>
        <v>0</v>
      </c>
      <c r="AT39" s="87">
        <f ca="1">IF(AND(OP="11",RAMX=DEC2BIN(COLUMN(AT39)-1,8),RAMY=DEC2BIN(ROW(AT39)-1,8)),DATA,AT39)</f>
        <v>0</v>
      </c>
      <c r="AU39" s="87">
        <f ca="1">IF(AND(OP="11",RAMX=DEC2BIN(COLUMN(AU39)-1,8),RAMY=DEC2BIN(ROW(AU39)-1,8)),DATA,AU39)</f>
        <v>0</v>
      </c>
      <c r="AV39" s="87">
        <f ca="1">IF(AND(OP="11",RAMX=DEC2BIN(COLUMN(AV39)-1,8),RAMY=DEC2BIN(ROW(AV39)-1,8)),DATA,AV39)</f>
        <v>0</v>
      </c>
      <c r="AW39" s="87">
        <f ca="1">IF(AND(OP="11",RAMX=DEC2BIN(COLUMN(AW39)-1,8),RAMY=DEC2BIN(ROW(AW39)-1,8)),DATA,AW39)</f>
        <v>0</v>
      </c>
      <c r="AX39" s="87">
        <f ca="1">IF(AND(OP="11",RAMX=DEC2BIN(COLUMN(AX39)-1,8),RAMY=DEC2BIN(ROW(AX39)-1,8)),DATA,AX39)</f>
        <v>0</v>
      </c>
      <c r="AY39" s="87">
        <f ca="1">IF(AND(OP="11",RAMX=DEC2BIN(COLUMN(AY39)-1,8),RAMY=DEC2BIN(ROW(AY39)-1,8)),DATA,AY39)</f>
        <v>0</v>
      </c>
      <c r="AZ39" s="87">
        <f ca="1">IF(AND(OP="11",RAMX=DEC2BIN(COLUMN(AZ39)-1,8),RAMY=DEC2BIN(ROW(AZ39)-1,8)),DATA,AZ39)</f>
        <v>0</v>
      </c>
      <c r="BA39" s="87">
        <f ca="1">IF(AND(OP="11",RAMX=DEC2BIN(COLUMN(BA39)-1,8),RAMY=DEC2BIN(ROW(BA39)-1,8)),DATA,BA39)</f>
        <v>0</v>
      </c>
      <c r="BB39" s="87">
        <f ca="1">IF(AND(OP="11",RAMX=DEC2BIN(COLUMN(BB39)-1,8),RAMY=DEC2BIN(ROW(BB39)-1,8)),DATA,BB39)</f>
        <v>0</v>
      </c>
      <c r="BC39" s="87">
        <f ca="1">IF(AND(OP="11",RAMX=DEC2BIN(COLUMN(BC39)-1,8),RAMY=DEC2BIN(ROW(BC39)-1,8)),DATA,BC39)</f>
        <v>0</v>
      </c>
      <c r="BD39" s="87">
        <f ca="1">IF(AND(OP="11",RAMX=DEC2BIN(COLUMN(BD39)-1,8),RAMY=DEC2BIN(ROW(BD39)-1,8)),DATA,BD39)</f>
        <v>0</v>
      </c>
      <c r="BE39" s="87">
        <f ca="1">IF(AND(OP="11",RAMX=DEC2BIN(COLUMN(BE39)-1,8),RAMY=DEC2BIN(ROW(BE39)-1,8)),DATA,BE39)</f>
        <v>0</v>
      </c>
      <c r="BF39" s="87">
        <f ca="1">IF(AND(OP="11",RAMX=DEC2BIN(COLUMN(BF39)-1,8),RAMY=DEC2BIN(ROW(BF39)-1,8)),DATA,BF39)</f>
        <v>0</v>
      </c>
      <c r="BG39" s="87">
        <f ca="1">IF(AND(OP="11",RAMX=DEC2BIN(COLUMN(BG39)-1,8),RAMY=DEC2BIN(ROW(BG39)-1,8)),DATA,BG39)</f>
        <v>0</v>
      </c>
      <c r="BH39" s="87">
        <f ca="1">IF(AND(OP="11",RAMX=DEC2BIN(COLUMN(BH39)-1,8),RAMY=DEC2BIN(ROW(BH39)-1,8)),DATA,BH39)</f>
        <v>0</v>
      </c>
      <c r="BI39" s="87">
        <f ca="1">IF(AND(OP="11",RAMX=DEC2BIN(COLUMN(BI39)-1,8),RAMY=DEC2BIN(ROW(BI39)-1,8)),DATA,BI39)</f>
        <v>0</v>
      </c>
      <c r="BJ39" s="87">
        <f ca="1">IF(AND(OP="11",RAMX=DEC2BIN(COLUMN(BJ39)-1,8),RAMY=DEC2BIN(ROW(BJ39)-1,8)),DATA,BJ39)</f>
        <v>0</v>
      </c>
      <c r="BK39" s="87">
        <f ca="1">IF(AND(OP="11",RAMX=DEC2BIN(COLUMN(BK39)-1,8),RAMY=DEC2BIN(ROW(BK39)-1,8)),DATA,BK39)</f>
        <v>0</v>
      </c>
      <c r="BL39" s="87">
        <f ca="1">IF(AND(OP="11",RAMX=DEC2BIN(COLUMN(BL39)-1,8),RAMY=DEC2BIN(ROW(BL39)-1,8)),DATA,BL39)</f>
        <v>0</v>
      </c>
    </row>
    <row r="40" spans="1:64" x14ac:dyDescent="0.25">
      <c r="A40" s="87">
        <f ca="1">IF(AND(OP="11",RAMX=DEC2BIN(COLUMN(A40)-1,8),RAMY=DEC2BIN(ROW(A40)-1,8)),DATA,A40)</f>
        <v>0</v>
      </c>
      <c r="B40" s="87">
        <f ca="1">IF(AND(OP="11",RAMX=DEC2BIN(COLUMN(B40)-1,8),RAMY=DEC2BIN(ROW(B40)-1,8)),DATA,B40)</f>
        <v>0</v>
      </c>
      <c r="C40" s="87">
        <f ca="1">IF(AND(OP="11",RAMX=DEC2BIN(COLUMN(C40)-1,8),RAMY=DEC2BIN(ROW(C40)-1,8)),DATA,C40)</f>
        <v>0</v>
      </c>
      <c r="D40" s="87">
        <f ca="1">IF(AND(OP="11",RAMX=DEC2BIN(COLUMN(D40)-1,8),RAMY=DEC2BIN(ROW(D40)-1,8)),DATA,D40)</f>
        <v>0</v>
      </c>
      <c r="E40" s="87">
        <f ca="1">IF(AND(OP="11",RAMX=DEC2BIN(COLUMN(E40)-1,8),RAMY=DEC2BIN(ROW(E40)-1,8)),DATA,E40)</f>
        <v>0</v>
      </c>
      <c r="F40" s="87">
        <f ca="1">IF(AND(OP="11",RAMX=DEC2BIN(COLUMN(F40)-1,8),RAMY=DEC2BIN(ROW(F40)-1,8)),DATA,F40)</f>
        <v>0</v>
      </c>
      <c r="G40" s="87">
        <f ca="1">IF(AND(OP="11",RAMX=DEC2BIN(COLUMN(G40)-1,8),RAMY=DEC2BIN(ROW(G40)-1,8)),DATA,G40)</f>
        <v>0</v>
      </c>
      <c r="H40" s="87">
        <f ca="1">IF(AND(OP="11",RAMX=DEC2BIN(COLUMN(H40)-1,8),RAMY=DEC2BIN(ROW(H40)-1,8)),DATA,H40)</f>
        <v>0</v>
      </c>
      <c r="I40" s="87">
        <f ca="1">IF(AND(OP="11",RAMX=DEC2BIN(COLUMN(I40)-1,8),RAMY=DEC2BIN(ROW(I40)-1,8)),DATA,I40)</f>
        <v>0</v>
      </c>
      <c r="J40" s="87">
        <f ca="1">IF(AND(OP="11",RAMX=DEC2BIN(COLUMN(J40)-1,8),RAMY=DEC2BIN(ROW(J40)-1,8)),DATA,J40)</f>
        <v>0</v>
      </c>
      <c r="K40" s="87">
        <f ca="1">IF(AND(OP="11",RAMX=DEC2BIN(COLUMN(K40)-1,8),RAMY=DEC2BIN(ROW(K40)-1,8)),DATA,K40)</f>
        <v>0</v>
      </c>
      <c r="L40" s="87">
        <f ca="1">IF(AND(OP="11",RAMX=DEC2BIN(COLUMN(L40)-1,8),RAMY=DEC2BIN(ROW(L40)-1,8)),DATA,L40)</f>
        <v>0</v>
      </c>
      <c r="M40" s="87">
        <f ca="1">IF(AND(OP="11",RAMX=DEC2BIN(COLUMN(M40)-1,8),RAMY=DEC2BIN(ROW(M40)-1,8)),DATA,M40)</f>
        <v>0</v>
      </c>
      <c r="N40" s="87">
        <f ca="1">IF(AND(OP="11",RAMX=DEC2BIN(COLUMN(N40)-1,8),RAMY=DEC2BIN(ROW(N40)-1,8)),DATA,N40)</f>
        <v>0</v>
      </c>
      <c r="O40" s="87">
        <f ca="1">IF(AND(OP="11",RAMX=DEC2BIN(COLUMN(O40)-1,8),RAMY=DEC2BIN(ROW(O40)-1,8)),DATA,O40)</f>
        <v>0</v>
      </c>
      <c r="P40" s="87">
        <f ca="1">IF(AND(OP="11",RAMX=DEC2BIN(COLUMN(P40)-1,8),RAMY=DEC2BIN(ROW(P40)-1,8)),DATA,P40)</f>
        <v>0</v>
      </c>
      <c r="Q40" s="87">
        <f ca="1">IF(AND(OP="11",RAMX=DEC2BIN(COLUMN(Q40)-1,8),RAMY=DEC2BIN(ROW(Q40)-1,8)),DATA,Q40)</f>
        <v>0</v>
      </c>
      <c r="R40" s="87">
        <f ca="1">IF(AND(OP="11",RAMX=DEC2BIN(COLUMN(R40)-1,8),RAMY=DEC2BIN(ROW(R40)-1,8)),DATA,R40)</f>
        <v>0</v>
      </c>
      <c r="S40" s="87">
        <f ca="1">IF(AND(OP="11",RAMX=DEC2BIN(COLUMN(S40)-1,8),RAMY=DEC2BIN(ROW(S40)-1,8)),DATA,S40)</f>
        <v>0</v>
      </c>
      <c r="T40" s="87">
        <f ca="1">IF(AND(OP="11",RAMX=DEC2BIN(COLUMN(T40)-1,8),RAMY=DEC2BIN(ROW(T40)-1,8)),DATA,T40)</f>
        <v>0</v>
      </c>
      <c r="U40" s="87">
        <f ca="1">IF(AND(OP="11",RAMX=DEC2BIN(COLUMN(U40)-1,8),RAMY=DEC2BIN(ROW(U40)-1,8)),DATA,U40)</f>
        <v>0</v>
      </c>
      <c r="V40" s="87">
        <f ca="1">IF(AND(OP="11",RAMX=DEC2BIN(COLUMN(V40)-1,8),RAMY=DEC2BIN(ROW(V40)-1,8)),DATA,V40)</f>
        <v>0</v>
      </c>
      <c r="W40" s="87">
        <f ca="1">IF(AND(OP="11",RAMX=DEC2BIN(COLUMN(W40)-1,8),RAMY=DEC2BIN(ROW(W40)-1,8)),DATA,W40)</f>
        <v>0</v>
      </c>
      <c r="X40" s="87">
        <f ca="1">IF(AND(OP="11",RAMX=DEC2BIN(COLUMN(X40)-1,8),RAMY=DEC2BIN(ROW(X40)-1,8)),DATA,X40)</f>
        <v>0</v>
      </c>
      <c r="Y40" s="87">
        <f ca="1">IF(AND(OP="11",RAMX=DEC2BIN(COLUMN(Y40)-1,8),RAMY=DEC2BIN(ROW(Y40)-1,8)),DATA,Y40)</f>
        <v>0</v>
      </c>
      <c r="Z40" s="87">
        <f ca="1">IF(AND(OP="11",RAMX=DEC2BIN(COLUMN(Z40)-1,8),RAMY=DEC2BIN(ROW(Z40)-1,8)),DATA,Z40)</f>
        <v>0</v>
      </c>
      <c r="AA40" s="87">
        <f ca="1">IF(AND(OP="11",RAMX=DEC2BIN(COLUMN(AA40)-1,8),RAMY=DEC2BIN(ROW(AA40)-1,8)),DATA,AA40)</f>
        <v>0</v>
      </c>
      <c r="AB40" s="87">
        <f ca="1">IF(AND(OP="11",RAMX=DEC2BIN(COLUMN(AB40)-1,8),RAMY=DEC2BIN(ROW(AB40)-1,8)),DATA,AB40)</f>
        <v>0</v>
      </c>
      <c r="AC40" s="87">
        <f ca="1">IF(AND(OP="11",RAMX=DEC2BIN(COLUMN(AC40)-1,8),RAMY=DEC2BIN(ROW(AC40)-1,8)),DATA,AC40)</f>
        <v>0</v>
      </c>
      <c r="AD40" s="87">
        <f ca="1">IF(AND(OP="11",RAMX=DEC2BIN(COLUMN(AD40)-1,8),RAMY=DEC2BIN(ROW(AD40)-1,8)),DATA,AD40)</f>
        <v>0</v>
      </c>
      <c r="AE40" s="87">
        <f ca="1">IF(AND(OP="11",RAMX=DEC2BIN(COLUMN(AE40)-1,8),RAMY=DEC2BIN(ROW(AE40)-1,8)),DATA,AE40)</f>
        <v>0</v>
      </c>
      <c r="AF40" s="87">
        <f ca="1">IF(AND(OP="11",RAMX=DEC2BIN(COLUMN(AF40)-1,8),RAMY=DEC2BIN(ROW(AF40)-1,8)),DATA,AF40)</f>
        <v>0</v>
      </c>
      <c r="AG40" s="87">
        <f ca="1">IF(AND(OP="11",RAMX=DEC2BIN(COLUMN(AG40)-1,8),RAMY=DEC2BIN(ROW(AG40)-1,8)),DATA,AG40)</f>
        <v>0</v>
      </c>
      <c r="AH40" s="87">
        <f ca="1">IF(AND(OP="11",RAMX=DEC2BIN(COLUMN(AH40)-1,8),RAMY=DEC2BIN(ROW(AH40)-1,8)),DATA,AH40)</f>
        <v>0</v>
      </c>
      <c r="AI40" s="87">
        <f ca="1">IF(AND(OP="11",RAMX=DEC2BIN(COLUMN(AI40)-1,8),RAMY=DEC2BIN(ROW(AI40)-1,8)),DATA,AI40)</f>
        <v>0</v>
      </c>
      <c r="AJ40" s="87">
        <f ca="1">IF(AND(OP="11",RAMX=DEC2BIN(COLUMN(AJ40)-1,8),RAMY=DEC2BIN(ROW(AJ40)-1,8)),DATA,AJ40)</f>
        <v>0</v>
      </c>
      <c r="AK40" s="87">
        <f ca="1">IF(AND(OP="11",RAMX=DEC2BIN(COLUMN(AK40)-1,8),RAMY=DEC2BIN(ROW(AK40)-1,8)),DATA,AK40)</f>
        <v>0</v>
      </c>
      <c r="AL40" s="87">
        <f ca="1">IF(AND(OP="11",RAMX=DEC2BIN(COLUMN(AL40)-1,8),RAMY=DEC2BIN(ROW(AL40)-1,8)),DATA,AL40)</f>
        <v>0</v>
      </c>
      <c r="AM40" s="87">
        <f ca="1">IF(AND(OP="11",RAMX=DEC2BIN(COLUMN(AM40)-1,8),RAMY=DEC2BIN(ROW(AM40)-1,8)),DATA,AM40)</f>
        <v>0</v>
      </c>
      <c r="AN40" s="87">
        <f ca="1">IF(AND(OP="11",RAMX=DEC2BIN(COLUMN(AN40)-1,8),RAMY=DEC2BIN(ROW(AN40)-1,8)),DATA,AN40)</f>
        <v>0</v>
      </c>
      <c r="AO40" s="87">
        <f ca="1">IF(AND(OP="11",RAMX=DEC2BIN(COLUMN(AO40)-1,8),RAMY=DEC2BIN(ROW(AO40)-1,8)),DATA,AO40)</f>
        <v>0</v>
      </c>
      <c r="AP40" s="87">
        <f ca="1">IF(AND(OP="11",RAMX=DEC2BIN(COLUMN(AP40)-1,8),RAMY=DEC2BIN(ROW(AP40)-1,8)),DATA,AP40)</f>
        <v>0</v>
      </c>
      <c r="AQ40" s="87">
        <f ca="1">IF(AND(OP="11",RAMX=DEC2BIN(COLUMN(AQ40)-1,8),RAMY=DEC2BIN(ROW(AQ40)-1,8)),DATA,AQ40)</f>
        <v>0</v>
      </c>
      <c r="AR40" s="87">
        <f ca="1">IF(AND(OP="11",RAMX=DEC2BIN(COLUMN(AR40)-1,8),RAMY=DEC2BIN(ROW(AR40)-1,8)),DATA,AR40)</f>
        <v>0</v>
      </c>
      <c r="AS40" s="87">
        <f ca="1">IF(AND(OP="11",RAMX=DEC2BIN(COLUMN(AS40)-1,8),RAMY=DEC2BIN(ROW(AS40)-1,8)),DATA,AS40)</f>
        <v>0</v>
      </c>
      <c r="AT40" s="87">
        <f ca="1">IF(AND(OP="11",RAMX=DEC2BIN(COLUMN(AT40)-1,8),RAMY=DEC2BIN(ROW(AT40)-1,8)),DATA,AT40)</f>
        <v>0</v>
      </c>
      <c r="AU40" s="87">
        <f ca="1">IF(AND(OP="11",RAMX=DEC2BIN(COLUMN(AU40)-1,8),RAMY=DEC2BIN(ROW(AU40)-1,8)),DATA,AU40)</f>
        <v>0</v>
      </c>
      <c r="AV40" s="87">
        <f ca="1">IF(AND(OP="11",RAMX=DEC2BIN(COLUMN(AV40)-1,8),RAMY=DEC2BIN(ROW(AV40)-1,8)),DATA,AV40)</f>
        <v>0</v>
      </c>
      <c r="AW40" s="87">
        <f ca="1">IF(AND(OP="11",RAMX=DEC2BIN(COLUMN(AW40)-1,8),RAMY=DEC2BIN(ROW(AW40)-1,8)),DATA,AW40)</f>
        <v>0</v>
      </c>
      <c r="AX40" s="87">
        <f ca="1">IF(AND(OP="11",RAMX=DEC2BIN(COLUMN(AX40)-1,8),RAMY=DEC2BIN(ROW(AX40)-1,8)),DATA,AX40)</f>
        <v>0</v>
      </c>
      <c r="AY40" s="87">
        <f ca="1">IF(AND(OP="11",RAMX=DEC2BIN(COLUMN(AY40)-1,8),RAMY=DEC2BIN(ROW(AY40)-1,8)),DATA,AY40)</f>
        <v>0</v>
      </c>
      <c r="AZ40" s="87">
        <f ca="1">IF(AND(OP="11",RAMX=DEC2BIN(COLUMN(AZ40)-1,8),RAMY=DEC2BIN(ROW(AZ40)-1,8)),DATA,AZ40)</f>
        <v>0</v>
      </c>
      <c r="BA40" s="87">
        <f ca="1">IF(AND(OP="11",RAMX=DEC2BIN(COLUMN(BA40)-1,8),RAMY=DEC2BIN(ROW(BA40)-1,8)),DATA,BA40)</f>
        <v>0</v>
      </c>
      <c r="BB40" s="87">
        <f ca="1">IF(AND(OP="11",RAMX=DEC2BIN(COLUMN(BB40)-1,8),RAMY=DEC2BIN(ROW(BB40)-1,8)),DATA,BB40)</f>
        <v>0</v>
      </c>
      <c r="BC40" s="87">
        <f ca="1">IF(AND(OP="11",RAMX=DEC2BIN(COLUMN(BC40)-1,8),RAMY=DEC2BIN(ROW(BC40)-1,8)),DATA,BC40)</f>
        <v>0</v>
      </c>
      <c r="BD40" s="87">
        <f ca="1">IF(AND(OP="11",RAMX=DEC2BIN(COLUMN(BD40)-1,8),RAMY=DEC2BIN(ROW(BD40)-1,8)),DATA,BD40)</f>
        <v>0</v>
      </c>
      <c r="BE40" s="87">
        <f ca="1">IF(AND(OP="11",RAMX=DEC2BIN(COLUMN(BE40)-1,8),RAMY=DEC2BIN(ROW(BE40)-1,8)),DATA,BE40)</f>
        <v>0</v>
      </c>
      <c r="BF40" s="87">
        <f ca="1">IF(AND(OP="11",RAMX=DEC2BIN(COLUMN(BF40)-1,8),RAMY=DEC2BIN(ROW(BF40)-1,8)),DATA,BF40)</f>
        <v>0</v>
      </c>
      <c r="BG40" s="87">
        <f ca="1">IF(AND(OP="11",RAMX=DEC2BIN(COLUMN(BG40)-1,8),RAMY=DEC2BIN(ROW(BG40)-1,8)),DATA,BG40)</f>
        <v>0</v>
      </c>
      <c r="BH40" s="87">
        <f ca="1">IF(AND(OP="11",RAMX=DEC2BIN(COLUMN(BH40)-1,8),RAMY=DEC2BIN(ROW(BH40)-1,8)),DATA,BH40)</f>
        <v>0</v>
      </c>
      <c r="BI40" s="87">
        <f ca="1">IF(AND(OP="11",RAMX=DEC2BIN(COLUMN(BI40)-1,8),RAMY=DEC2BIN(ROW(BI40)-1,8)),DATA,BI40)</f>
        <v>0</v>
      </c>
      <c r="BJ40" s="87">
        <f ca="1">IF(AND(OP="11",RAMX=DEC2BIN(COLUMN(BJ40)-1,8),RAMY=DEC2BIN(ROW(BJ40)-1,8)),DATA,BJ40)</f>
        <v>0</v>
      </c>
      <c r="BK40" s="87">
        <f ca="1">IF(AND(OP="11",RAMX=DEC2BIN(COLUMN(BK40)-1,8),RAMY=DEC2BIN(ROW(BK40)-1,8)),DATA,BK40)</f>
        <v>0</v>
      </c>
      <c r="BL40" s="87">
        <f ca="1">IF(AND(OP="11",RAMX=DEC2BIN(COLUMN(BL40)-1,8),RAMY=DEC2BIN(ROW(BL40)-1,8)),DATA,BL40)</f>
        <v>0</v>
      </c>
    </row>
    <row r="41" spans="1:64" x14ac:dyDescent="0.25">
      <c r="A41" s="87">
        <f ca="1">IF(AND(OP="11",RAMX=DEC2BIN(COLUMN(A41)-1,8),RAMY=DEC2BIN(ROW(A41)-1,8)),DATA,A41)</f>
        <v>0</v>
      </c>
      <c r="B41" s="87">
        <f ca="1">IF(AND(OP="11",RAMX=DEC2BIN(COLUMN(B41)-1,8),RAMY=DEC2BIN(ROW(B41)-1,8)),DATA,B41)</f>
        <v>0</v>
      </c>
      <c r="C41" s="87">
        <f ca="1">IF(AND(OP="11",RAMX=DEC2BIN(COLUMN(C41)-1,8),RAMY=DEC2BIN(ROW(C41)-1,8)),DATA,C41)</f>
        <v>0</v>
      </c>
      <c r="D41" s="87">
        <f ca="1">IF(AND(OP="11",RAMX=DEC2BIN(COLUMN(D41)-1,8),RAMY=DEC2BIN(ROW(D41)-1,8)),DATA,D41)</f>
        <v>0</v>
      </c>
      <c r="E41" s="87">
        <f ca="1">IF(AND(OP="11",RAMX=DEC2BIN(COLUMN(E41)-1,8),RAMY=DEC2BIN(ROW(E41)-1,8)),DATA,E41)</f>
        <v>0</v>
      </c>
      <c r="F41" s="87">
        <f ca="1">IF(AND(OP="11",RAMX=DEC2BIN(COLUMN(F41)-1,8),RAMY=DEC2BIN(ROW(F41)-1,8)),DATA,F41)</f>
        <v>0</v>
      </c>
      <c r="G41" s="87">
        <f ca="1">IF(AND(OP="11",RAMX=DEC2BIN(COLUMN(G41)-1,8),RAMY=DEC2BIN(ROW(G41)-1,8)),DATA,G41)</f>
        <v>0</v>
      </c>
      <c r="H41" s="87">
        <f ca="1">IF(AND(OP="11",RAMX=DEC2BIN(COLUMN(H41)-1,8),RAMY=DEC2BIN(ROW(H41)-1,8)),DATA,H41)</f>
        <v>0</v>
      </c>
      <c r="I41" s="87">
        <f ca="1">IF(AND(OP="11",RAMX=DEC2BIN(COLUMN(I41)-1,8),RAMY=DEC2BIN(ROW(I41)-1,8)),DATA,I41)</f>
        <v>0</v>
      </c>
      <c r="J41" s="87">
        <f ca="1">IF(AND(OP="11",RAMX=DEC2BIN(COLUMN(J41)-1,8),RAMY=DEC2BIN(ROW(J41)-1,8)),DATA,J41)</f>
        <v>0</v>
      </c>
      <c r="K41" s="87">
        <f ca="1">IF(AND(OP="11",RAMX=DEC2BIN(COLUMN(K41)-1,8),RAMY=DEC2BIN(ROW(K41)-1,8)),DATA,K41)</f>
        <v>0</v>
      </c>
      <c r="L41" s="87">
        <f ca="1">IF(AND(OP="11",RAMX=DEC2BIN(COLUMN(L41)-1,8),RAMY=DEC2BIN(ROW(L41)-1,8)),DATA,L41)</f>
        <v>0</v>
      </c>
      <c r="M41" s="87">
        <f ca="1">IF(AND(OP="11",RAMX=DEC2BIN(COLUMN(M41)-1,8),RAMY=DEC2BIN(ROW(M41)-1,8)),DATA,M41)</f>
        <v>0</v>
      </c>
      <c r="N41" s="87">
        <f ca="1">IF(AND(OP="11",RAMX=DEC2BIN(COLUMN(N41)-1,8),RAMY=DEC2BIN(ROW(N41)-1,8)),DATA,N41)</f>
        <v>0</v>
      </c>
      <c r="O41" s="87">
        <f ca="1">IF(AND(OP="11",RAMX=DEC2BIN(COLUMN(O41)-1,8),RAMY=DEC2BIN(ROW(O41)-1,8)),DATA,O41)</f>
        <v>0</v>
      </c>
      <c r="P41" s="87">
        <f ca="1">IF(AND(OP="11",RAMX=DEC2BIN(COLUMN(P41)-1,8),RAMY=DEC2BIN(ROW(P41)-1,8)),DATA,P41)</f>
        <v>0</v>
      </c>
      <c r="Q41" s="87">
        <f ca="1">IF(AND(OP="11",RAMX=DEC2BIN(COLUMN(Q41)-1,8),RAMY=DEC2BIN(ROW(Q41)-1,8)),DATA,Q41)</f>
        <v>0</v>
      </c>
      <c r="R41" s="87">
        <f ca="1">IF(AND(OP="11",RAMX=DEC2BIN(COLUMN(R41)-1,8),RAMY=DEC2BIN(ROW(R41)-1,8)),DATA,R41)</f>
        <v>0</v>
      </c>
      <c r="S41" s="87">
        <f ca="1">IF(AND(OP="11",RAMX=DEC2BIN(COLUMN(S41)-1,8),RAMY=DEC2BIN(ROW(S41)-1,8)),DATA,S41)</f>
        <v>0</v>
      </c>
      <c r="T41" s="87">
        <f ca="1">IF(AND(OP="11",RAMX=DEC2BIN(COLUMN(T41)-1,8),RAMY=DEC2BIN(ROW(T41)-1,8)),DATA,T41)</f>
        <v>0</v>
      </c>
      <c r="U41" s="87">
        <f ca="1">IF(AND(OP="11",RAMX=DEC2BIN(COLUMN(U41)-1,8),RAMY=DEC2BIN(ROW(U41)-1,8)),DATA,U41)</f>
        <v>0</v>
      </c>
      <c r="V41" s="87">
        <f ca="1">IF(AND(OP="11",RAMX=DEC2BIN(COLUMN(V41)-1,8),RAMY=DEC2BIN(ROW(V41)-1,8)),DATA,V41)</f>
        <v>0</v>
      </c>
      <c r="W41" s="87">
        <f ca="1">IF(AND(OP="11",RAMX=DEC2BIN(COLUMN(W41)-1,8),RAMY=DEC2BIN(ROW(W41)-1,8)),DATA,W41)</f>
        <v>0</v>
      </c>
      <c r="X41" s="87">
        <f ca="1">IF(AND(OP="11",RAMX=DEC2BIN(COLUMN(X41)-1,8),RAMY=DEC2BIN(ROW(X41)-1,8)),DATA,X41)</f>
        <v>0</v>
      </c>
      <c r="Y41" s="87">
        <f ca="1">IF(AND(OP="11",RAMX=DEC2BIN(COLUMN(Y41)-1,8),RAMY=DEC2BIN(ROW(Y41)-1,8)),DATA,Y41)</f>
        <v>0</v>
      </c>
      <c r="Z41" s="87">
        <f ca="1">IF(AND(OP="11",RAMX=DEC2BIN(COLUMN(Z41)-1,8),RAMY=DEC2BIN(ROW(Z41)-1,8)),DATA,Z41)</f>
        <v>0</v>
      </c>
      <c r="AA41" s="87">
        <f ca="1">IF(AND(OP="11",RAMX=DEC2BIN(COLUMN(AA41)-1,8),RAMY=DEC2BIN(ROW(AA41)-1,8)),DATA,AA41)</f>
        <v>0</v>
      </c>
      <c r="AB41" s="87">
        <f ca="1">IF(AND(OP="11",RAMX=DEC2BIN(COLUMN(AB41)-1,8),RAMY=DEC2BIN(ROW(AB41)-1,8)),DATA,AB41)</f>
        <v>0</v>
      </c>
      <c r="AC41" s="87">
        <f ca="1">IF(AND(OP="11",RAMX=DEC2BIN(COLUMN(AC41)-1,8),RAMY=DEC2BIN(ROW(AC41)-1,8)),DATA,AC41)</f>
        <v>0</v>
      </c>
      <c r="AD41" s="87">
        <f ca="1">IF(AND(OP="11",RAMX=DEC2BIN(COLUMN(AD41)-1,8),RAMY=DEC2BIN(ROW(AD41)-1,8)),DATA,AD41)</f>
        <v>0</v>
      </c>
      <c r="AE41" s="87">
        <f ca="1">IF(AND(OP="11",RAMX=DEC2BIN(COLUMN(AE41)-1,8),RAMY=DEC2BIN(ROW(AE41)-1,8)),DATA,AE41)</f>
        <v>0</v>
      </c>
      <c r="AF41" s="87">
        <f ca="1">IF(AND(OP="11",RAMX=DEC2BIN(COLUMN(AF41)-1,8),RAMY=DEC2BIN(ROW(AF41)-1,8)),DATA,AF41)</f>
        <v>0</v>
      </c>
      <c r="AG41" s="87">
        <f ca="1">IF(AND(OP="11",RAMX=DEC2BIN(COLUMN(AG41)-1,8),RAMY=DEC2BIN(ROW(AG41)-1,8)),DATA,AG41)</f>
        <v>0</v>
      </c>
      <c r="AH41" s="87">
        <f ca="1">IF(AND(OP="11",RAMX=DEC2BIN(COLUMN(AH41)-1,8),RAMY=DEC2BIN(ROW(AH41)-1,8)),DATA,AH41)</f>
        <v>0</v>
      </c>
      <c r="AI41" s="87">
        <f ca="1">IF(AND(OP="11",RAMX=DEC2BIN(COLUMN(AI41)-1,8),RAMY=DEC2BIN(ROW(AI41)-1,8)),DATA,AI41)</f>
        <v>0</v>
      </c>
      <c r="AJ41" s="87">
        <f ca="1">IF(AND(OP="11",RAMX=DEC2BIN(COLUMN(AJ41)-1,8),RAMY=DEC2BIN(ROW(AJ41)-1,8)),DATA,AJ41)</f>
        <v>0</v>
      </c>
      <c r="AK41" s="87">
        <f ca="1">IF(AND(OP="11",RAMX=DEC2BIN(COLUMN(AK41)-1,8),RAMY=DEC2BIN(ROW(AK41)-1,8)),DATA,AK41)</f>
        <v>0</v>
      </c>
      <c r="AL41" s="87">
        <f ca="1">IF(AND(OP="11",RAMX=DEC2BIN(COLUMN(AL41)-1,8),RAMY=DEC2BIN(ROW(AL41)-1,8)),DATA,AL41)</f>
        <v>0</v>
      </c>
      <c r="AM41" s="87">
        <f ca="1">IF(AND(OP="11",RAMX=DEC2BIN(COLUMN(AM41)-1,8),RAMY=DEC2BIN(ROW(AM41)-1,8)),DATA,AM41)</f>
        <v>0</v>
      </c>
      <c r="AN41" s="87">
        <f ca="1">IF(AND(OP="11",RAMX=DEC2BIN(COLUMN(AN41)-1,8),RAMY=DEC2BIN(ROW(AN41)-1,8)),DATA,AN41)</f>
        <v>0</v>
      </c>
      <c r="AO41" s="87">
        <f ca="1">IF(AND(OP="11",RAMX=DEC2BIN(COLUMN(AO41)-1,8),RAMY=DEC2BIN(ROW(AO41)-1,8)),DATA,AO41)</f>
        <v>0</v>
      </c>
      <c r="AP41" s="87">
        <f ca="1">IF(AND(OP="11",RAMX=DEC2BIN(COLUMN(AP41)-1,8),RAMY=DEC2BIN(ROW(AP41)-1,8)),DATA,AP41)</f>
        <v>0</v>
      </c>
      <c r="AQ41" s="87">
        <f ca="1">IF(AND(OP="11",RAMX=DEC2BIN(COLUMN(AQ41)-1,8),RAMY=DEC2BIN(ROW(AQ41)-1,8)),DATA,AQ41)</f>
        <v>0</v>
      </c>
      <c r="AR41" s="87">
        <f ca="1">IF(AND(OP="11",RAMX=DEC2BIN(COLUMN(AR41)-1,8),RAMY=DEC2BIN(ROW(AR41)-1,8)),DATA,AR41)</f>
        <v>0</v>
      </c>
      <c r="AS41" s="87">
        <f ca="1">IF(AND(OP="11",RAMX=DEC2BIN(COLUMN(AS41)-1,8),RAMY=DEC2BIN(ROW(AS41)-1,8)),DATA,AS41)</f>
        <v>0</v>
      </c>
      <c r="AT41" s="87">
        <f ca="1">IF(AND(OP="11",RAMX=DEC2BIN(COLUMN(AT41)-1,8),RAMY=DEC2BIN(ROW(AT41)-1,8)),DATA,AT41)</f>
        <v>0</v>
      </c>
      <c r="AU41" s="87">
        <f ca="1">IF(AND(OP="11",RAMX=DEC2BIN(COLUMN(AU41)-1,8),RAMY=DEC2BIN(ROW(AU41)-1,8)),DATA,AU41)</f>
        <v>0</v>
      </c>
      <c r="AV41" s="87">
        <f ca="1">IF(AND(OP="11",RAMX=DEC2BIN(COLUMN(AV41)-1,8),RAMY=DEC2BIN(ROW(AV41)-1,8)),DATA,AV41)</f>
        <v>0</v>
      </c>
      <c r="AW41" s="87">
        <f ca="1">IF(AND(OP="11",RAMX=DEC2BIN(COLUMN(AW41)-1,8),RAMY=DEC2BIN(ROW(AW41)-1,8)),DATA,AW41)</f>
        <v>0</v>
      </c>
      <c r="AX41" s="87">
        <f ca="1">IF(AND(OP="11",RAMX=DEC2BIN(COLUMN(AX41)-1,8),RAMY=DEC2BIN(ROW(AX41)-1,8)),DATA,AX41)</f>
        <v>0</v>
      </c>
      <c r="AY41" s="87">
        <f ca="1">IF(AND(OP="11",RAMX=DEC2BIN(COLUMN(AY41)-1,8),RAMY=DEC2BIN(ROW(AY41)-1,8)),DATA,AY41)</f>
        <v>0</v>
      </c>
      <c r="AZ41" s="87">
        <f ca="1">IF(AND(OP="11",RAMX=DEC2BIN(COLUMN(AZ41)-1,8),RAMY=DEC2BIN(ROW(AZ41)-1,8)),DATA,AZ41)</f>
        <v>0</v>
      </c>
      <c r="BA41" s="87">
        <f ca="1">IF(AND(OP="11",RAMX=DEC2BIN(COLUMN(BA41)-1,8),RAMY=DEC2BIN(ROW(BA41)-1,8)),DATA,BA41)</f>
        <v>0</v>
      </c>
      <c r="BB41" s="87">
        <f ca="1">IF(AND(OP="11",RAMX=DEC2BIN(COLUMN(BB41)-1,8),RAMY=DEC2BIN(ROW(BB41)-1,8)),DATA,BB41)</f>
        <v>0</v>
      </c>
      <c r="BC41" s="87">
        <f ca="1">IF(AND(OP="11",RAMX=DEC2BIN(COLUMN(BC41)-1,8),RAMY=DEC2BIN(ROW(BC41)-1,8)),DATA,BC41)</f>
        <v>0</v>
      </c>
      <c r="BD41" s="87">
        <f ca="1">IF(AND(OP="11",RAMX=DEC2BIN(COLUMN(BD41)-1,8),RAMY=DEC2BIN(ROW(BD41)-1,8)),DATA,BD41)</f>
        <v>0</v>
      </c>
      <c r="BE41" s="87">
        <f ca="1">IF(AND(OP="11",RAMX=DEC2BIN(COLUMN(BE41)-1,8),RAMY=DEC2BIN(ROW(BE41)-1,8)),DATA,BE41)</f>
        <v>0</v>
      </c>
      <c r="BF41" s="87">
        <f ca="1">IF(AND(OP="11",RAMX=DEC2BIN(COLUMN(BF41)-1,8),RAMY=DEC2BIN(ROW(BF41)-1,8)),DATA,BF41)</f>
        <v>0</v>
      </c>
      <c r="BG41" s="87">
        <f ca="1">IF(AND(OP="11",RAMX=DEC2BIN(COLUMN(BG41)-1,8),RAMY=DEC2BIN(ROW(BG41)-1,8)),DATA,BG41)</f>
        <v>0</v>
      </c>
      <c r="BH41" s="87">
        <f ca="1">IF(AND(OP="11",RAMX=DEC2BIN(COLUMN(BH41)-1,8),RAMY=DEC2BIN(ROW(BH41)-1,8)),DATA,BH41)</f>
        <v>0</v>
      </c>
      <c r="BI41" s="87">
        <f ca="1">IF(AND(OP="11",RAMX=DEC2BIN(COLUMN(BI41)-1,8),RAMY=DEC2BIN(ROW(BI41)-1,8)),DATA,BI41)</f>
        <v>0</v>
      </c>
      <c r="BJ41" s="87">
        <f ca="1">IF(AND(OP="11",RAMX=DEC2BIN(COLUMN(BJ41)-1,8),RAMY=DEC2BIN(ROW(BJ41)-1,8)),DATA,BJ41)</f>
        <v>0</v>
      </c>
      <c r="BK41" s="87">
        <f ca="1">IF(AND(OP="11",RAMX=DEC2BIN(COLUMN(BK41)-1,8),RAMY=DEC2BIN(ROW(BK41)-1,8)),DATA,BK41)</f>
        <v>0</v>
      </c>
      <c r="BL41" s="87">
        <f ca="1">IF(AND(OP="11",RAMX=DEC2BIN(COLUMN(BL41)-1,8),RAMY=DEC2BIN(ROW(BL41)-1,8)),DATA,BL41)</f>
        <v>0</v>
      </c>
    </row>
    <row r="42" spans="1:64" x14ac:dyDescent="0.25">
      <c r="A42" s="87">
        <f ca="1">IF(AND(OP="11",RAMX=DEC2BIN(COLUMN(A42)-1,8),RAMY=DEC2BIN(ROW(A42)-1,8)),DATA,A42)</f>
        <v>0</v>
      </c>
      <c r="B42" s="87">
        <f ca="1">IF(AND(OP="11",RAMX=DEC2BIN(COLUMN(B42)-1,8),RAMY=DEC2BIN(ROW(B42)-1,8)),DATA,B42)</f>
        <v>0</v>
      </c>
      <c r="C42" s="87">
        <f ca="1">IF(AND(OP="11",RAMX=DEC2BIN(COLUMN(C42)-1,8),RAMY=DEC2BIN(ROW(C42)-1,8)),DATA,C42)</f>
        <v>0</v>
      </c>
      <c r="D42" s="87">
        <f ca="1">IF(AND(OP="11",RAMX=DEC2BIN(COLUMN(D42)-1,8),RAMY=DEC2BIN(ROW(D42)-1,8)),DATA,D42)</f>
        <v>0</v>
      </c>
      <c r="E42" s="87">
        <f ca="1">IF(AND(OP="11",RAMX=DEC2BIN(COLUMN(E42)-1,8),RAMY=DEC2BIN(ROW(E42)-1,8)),DATA,E42)</f>
        <v>0</v>
      </c>
      <c r="F42" s="87">
        <f ca="1">IF(AND(OP="11",RAMX=DEC2BIN(COLUMN(F42)-1,8),RAMY=DEC2BIN(ROW(F42)-1,8)),DATA,F42)</f>
        <v>0</v>
      </c>
      <c r="G42" s="87">
        <f ca="1">IF(AND(OP="11",RAMX=DEC2BIN(COLUMN(G42)-1,8),RAMY=DEC2BIN(ROW(G42)-1,8)),DATA,G42)</f>
        <v>0</v>
      </c>
      <c r="H42" s="87">
        <f ca="1">IF(AND(OP="11",RAMX=DEC2BIN(COLUMN(H42)-1,8),RAMY=DEC2BIN(ROW(H42)-1,8)),DATA,H42)</f>
        <v>0</v>
      </c>
      <c r="I42" s="87">
        <f ca="1">IF(AND(OP="11",RAMX=DEC2BIN(COLUMN(I42)-1,8),RAMY=DEC2BIN(ROW(I42)-1,8)),DATA,I42)</f>
        <v>0</v>
      </c>
      <c r="J42" s="87">
        <f ca="1">IF(AND(OP="11",RAMX=DEC2BIN(COLUMN(J42)-1,8),RAMY=DEC2BIN(ROW(J42)-1,8)),DATA,J42)</f>
        <v>0</v>
      </c>
      <c r="K42" s="87">
        <f ca="1">IF(AND(OP="11",RAMX=DEC2BIN(COLUMN(K42)-1,8),RAMY=DEC2BIN(ROW(K42)-1,8)),DATA,K42)</f>
        <v>0</v>
      </c>
      <c r="L42" s="87">
        <f ca="1">IF(AND(OP="11",RAMX=DEC2BIN(COLUMN(L42)-1,8),RAMY=DEC2BIN(ROW(L42)-1,8)),DATA,L42)</f>
        <v>0</v>
      </c>
      <c r="M42" s="87">
        <f ca="1">IF(AND(OP="11",RAMX=DEC2BIN(COLUMN(M42)-1,8),RAMY=DEC2BIN(ROW(M42)-1,8)),DATA,M42)</f>
        <v>0</v>
      </c>
      <c r="N42" s="87">
        <f ca="1">IF(AND(OP="11",RAMX=DEC2BIN(COLUMN(N42)-1,8),RAMY=DEC2BIN(ROW(N42)-1,8)),DATA,N42)</f>
        <v>0</v>
      </c>
      <c r="O42" s="87">
        <f ca="1">IF(AND(OP="11",RAMX=DEC2BIN(COLUMN(O42)-1,8),RAMY=DEC2BIN(ROW(O42)-1,8)),DATA,O42)</f>
        <v>0</v>
      </c>
      <c r="P42" s="87">
        <f ca="1">IF(AND(OP="11",RAMX=DEC2BIN(COLUMN(P42)-1,8),RAMY=DEC2BIN(ROW(P42)-1,8)),DATA,P42)</f>
        <v>0</v>
      </c>
      <c r="Q42" s="87">
        <f ca="1">IF(AND(OP="11",RAMX=DEC2BIN(COLUMN(Q42)-1,8),RAMY=DEC2BIN(ROW(Q42)-1,8)),DATA,Q42)</f>
        <v>0</v>
      </c>
      <c r="R42" s="87">
        <f ca="1">IF(AND(OP="11",RAMX=DEC2BIN(COLUMN(R42)-1,8),RAMY=DEC2BIN(ROW(R42)-1,8)),DATA,R42)</f>
        <v>0</v>
      </c>
      <c r="S42" s="87">
        <f ca="1">IF(AND(OP="11",RAMX=DEC2BIN(COLUMN(S42)-1,8),RAMY=DEC2BIN(ROW(S42)-1,8)),DATA,S42)</f>
        <v>0</v>
      </c>
      <c r="T42" s="87">
        <f ca="1">IF(AND(OP="11",RAMX=DEC2BIN(COLUMN(T42)-1,8),RAMY=DEC2BIN(ROW(T42)-1,8)),DATA,T42)</f>
        <v>0</v>
      </c>
      <c r="U42" s="87">
        <f ca="1">IF(AND(OP="11",RAMX=DEC2BIN(COLUMN(U42)-1,8),RAMY=DEC2BIN(ROW(U42)-1,8)),DATA,U42)</f>
        <v>0</v>
      </c>
      <c r="V42" s="87">
        <f ca="1">IF(AND(OP="11",RAMX=DEC2BIN(COLUMN(V42)-1,8),RAMY=DEC2BIN(ROW(V42)-1,8)),DATA,V42)</f>
        <v>0</v>
      </c>
      <c r="W42" s="87">
        <f ca="1">IF(AND(OP="11",RAMX=DEC2BIN(COLUMN(W42)-1,8),RAMY=DEC2BIN(ROW(W42)-1,8)),DATA,W42)</f>
        <v>0</v>
      </c>
      <c r="X42" s="87">
        <f ca="1">IF(AND(OP="11",RAMX=DEC2BIN(COLUMN(X42)-1,8),RAMY=DEC2BIN(ROW(X42)-1,8)),DATA,X42)</f>
        <v>0</v>
      </c>
      <c r="Y42" s="87">
        <f ca="1">IF(AND(OP="11",RAMX=DEC2BIN(COLUMN(Y42)-1,8),RAMY=DEC2BIN(ROW(Y42)-1,8)),DATA,Y42)</f>
        <v>0</v>
      </c>
      <c r="Z42" s="87">
        <f ca="1">IF(AND(OP="11",RAMX=DEC2BIN(COLUMN(Z42)-1,8),RAMY=DEC2BIN(ROW(Z42)-1,8)),DATA,Z42)</f>
        <v>0</v>
      </c>
      <c r="AA42" s="87">
        <f ca="1">IF(AND(OP="11",RAMX=DEC2BIN(COLUMN(AA42)-1,8),RAMY=DEC2BIN(ROW(AA42)-1,8)),DATA,AA42)</f>
        <v>0</v>
      </c>
      <c r="AB42" s="87">
        <f ca="1">IF(AND(OP="11",RAMX=DEC2BIN(COLUMN(AB42)-1,8),RAMY=DEC2BIN(ROW(AB42)-1,8)),DATA,AB42)</f>
        <v>0</v>
      </c>
      <c r="AC42" s="87">
        <f ca="1">IF(AND(OP="11",RAMX=DEC2BIN(COLUMN(AC42)-1,8),RAMY=DEC2BIN(ROW(AC42)-1,8)),DATA,AC42)</f>
        <v>0</v>
      </c>
      <c r="AD42" s="87">
        <f ca="1">IF(AND(OP="11",RAMX=DEC2BIN(COLUMN(AD42)-1,8),RAMY=DEC2BIN(ROW(AD42)-1,8)),DATA,AD42)</f>
        <v>0</v>
      </c>
      <c r="AE42" s="87">
        <f ca="1">IF(AND(OP="11",RAMX=DEC2BIN(COLUMN(AE42)-1,8),RAMY=DEC2BIN(ROW(AE42)-1,8)),DATA,AE42)</f>
        <v>0</v>
      </c>
      <c r="AF42" s="87">
        <f ca="1">IF(AND(OP="11",RAMX=DEC2BIN(COLUMN(AF42)-1,8),RAMY=DEC2BIN(ROW(AF42)-1,8)),DATA,AF42)</f>
        <v>0</v>
      </c>
      <c r="AG42" s="87">
        <f ca="1">IF(AND(OP="11",RAMX=DEC2BIN(COLUMN(AG42)-1,8),RAMY=DEC2BIN(ROW(AG42)-1,8)),DATA,AG42)</f>
        <v>0</v>
      </c>
      <c r="AH42" s="87">
        <f ca="1">IF(AND(OP="11",RAMX=DEC2BIN(COLUMN(AH42)-1,8),RAMY=DEC2BIN(ROW(AH42)-1,8)),DATA,AH42)</f>
        <v>0</v>
      </c>
      <c r="AI42" s="87">
        <f ca="1">IF(AND(OP="11",RAMX=DEC2BIN(COLUMN(AI42)-1,8),RAMY=DEC2BIN(ROW(AI42)-1,8)),DATA,AI42)</f>
        <v>0</v>
      </c>
      <c r="AJ42" s="87">
        <f ca="1">IF(AND(OP="11",RAMX=DEC2BIN(COLUMN(AJ42)-1,8),RAMY=DEC2BIN(ROW(AJ42)-1,8)),DATA,AJ42)</f>
        <v>0</v>
      </c>
      <c r="AK42" s="87">
        <f ca="1">IF(AND(OP="11",RAMX=DEC2BIN(COLUMN(AK42)-1,8),RAMY=DEC2BIN(ROW(AK42)-1,8)),DATA,AK42)</f>
        <v>0</v>
      </c>
      <c r="AL42" s="87">
        <f ca="1">IF(AND(OP="11",RAMX=DEC2BIN(COLUMN(AL42)-1,8),RAMY=DEC2BIN(ROW(AL42)-1,8)),DATA,AL42)</f>
        <v>0</v>
      </c>
      <c r="AM42" s="87">
        <f ca="1">IF(AND(OP="11",RAMX=DEC2BIN(COLUMN(AM42)-1,8),RAMY=DEC2BIN(ROW(AM42)-1,8)),DATA,AM42)</f>
        <v>0</v>
      </c>
      <c r="AN42" s="87">
        <f ca="1">IF(AND(OP="11",RAMX=DEC2BIN(COLUMN(AN42)-1,8),RAMY=DEC2BIN(ROW(AN42)-1,8)),DATA,AN42)</f>
        <v>0</v>
      </c>
      <c r="AO42" s="87">
        <f ca="1">IF(AND(OP="11",RAMX=DEC2BIN(COLUMN(AO42)-1,8),RAMY=DEC2BIN(ROW(AO42)-1,8)),DATA,AO42)</f>
        <v>0</v>
      </c>
      <c r="AP42" s="87">
        <f ca="1">IF(AND(OP="11",RAMX=DEC2BIN(COLUMN(AP42)-1,8),RAMY=DEC2BIN(ROW(AP42)-1,8)),DATA,AP42)</f>
        <v>0</v>
      </c>
      <c r="AQ42" s="87">
        <f ca="1">IF(AND(OP="11",RAMX=DEC2BIN(COLUMN(AQ42)-1,8),RAMY=DEC2BIN(ROW(AQ42)-1,8)),DATA,AQ42)</f>
        <v>0</v>
      </c>
      <c r="AR42" s="87">
        <f ca="1">IF(AND(OP="11",RAMX=DEC2BIN(COLUMN(AR42)-1,8),RAMY=DEC2BIN(ROW(AR42)-1,8)),DATA,AR42)</f>
        <v>0</v>
      </c>
      <c r="AS42" s="87">
        <f ca="1">IF(AND(OP="11",RAMX=DEC2BIN(COLUMN(AS42)-1,8),RAMY=DEC2BIN(ROW(AS42)-1,8)),DATA,AS42)</f>
        <v>0</v>
      </c>
      <c r="AT42" s="87">
        <f ca="1">IF(AND(OP="11",RAMX=DEC2BIN(COLUMN(AT42)-1,8),RAMY=DEC2BIN(ROW(AT42)-1,8)),DATA,AT42)</f>
        <v>0</v>
      </c>
      <c r="AU42" s="87">
        <f ca="1">IF(AND(OP="11",RAMX=DEC2BIN(COLUMN(AU42)-1,8),RAMY=DEC2BIN(ROW(AU42)-1,8)),DATA,AU42)</f>
        <v>0</v>
      </c>
      <c r="AV42" s="87">
        <f ca="1">IF(AND(OP="11",RAMX=DEC2BIN(COLUMN(AV42)-1,8),RAMY=DEC2BIN(ROW(AV42)-1,8)),DATA,AV42)</f>
        <v>0</v>
      </c>
      <c r="AW42" s="87">
        <f ca="1">IF(AND(OP="11",RAMX=DEC2BIN(COLUMN(AW42)-1,8),RAMY=DEC2BIN(ROW(AW42)-1,8)),DATA,AW42)</f>
        <v>0</v>
      </c>
      <c r="AX42" s="87">
        <f ca="1">IF(AND(OP="11",RAMX=DEC2BIN(COLUMN(AX42)-1,8),RAMY=DEC2BIN(ROW(AX42)-1,8)),DATA,AX42)</f>
        <v>0</v>
      </c>
      <c r="AY42" s="87">
        <f ca="1">IF(AND(OP="11",RAMX=DEC2BIN(COLUMN(AY42)-1,8),RAMY=DEC2BIN(ROW(AY42)-1,8)),DATA,AY42)</f>
        <v>0</v>
      </c>
      <c r="AZ42" s="87">
        <f ca="1">IF(AND(OP="11",RAMX=DEC2BIN(COLUMN(AZ42)-1,8),RAMY=DEC2BIN(ROW(AZ42)-1,8)),DATA,AZ42)</f>
        <v>0</v>
      </c>
      <c r="BA42" s="87">
        <f ca="1">IF(AND(OP="11",RAMX=DEC2BIN(COLUMN(BA42)-1,8),RAMY=DEC2BIN(ROW(BA42)-1,8)),DATA,BA42)</f>
        <v>0</v>
      </c>
      <c r="BB42" s="87">
        <f ca="1">IF(AND(OP="11",RAMX=DEC2BIN(COLUMN(BB42)-1,8),RAMY=DEC2BIN(ROW(BB42)-1,8)),DATA,BB42)</f>
        <v>0</v>
      </c>
      <c r="BC42" s="87">
        <f ca="1">IF(AND(OP="11",RAMX=DEC2BIN(COLUMN(BC42)-1,8),RAMY=DEC2BIN(ROW(BC42)-1,8)),DATA,BC42)</f>
        <v>0</v>
      </c>
      <c r="BD42" s="87">
        <f ca="1">IF(AND(OP="11",RAMX=DEC2BIN(COLUMN(BD42)-1,8),RAMY=DEC2BIN(ROW(BD42)-1,8)),DATA,BD42)</f>
        <v>0</v>
      </c>
      <c r="BE42" s="87">
        <f ca="1">IF(AND(OP="11",RAMX=DEC2BIN(COLUMN(BE42)-1,8),RAMY=DEC2BIN(ROW(BE42)-1,8)),DATA,BE42)</f>
        <v>0</v>
      </c>
      <c r="BF42" s="87">
        <f ca="1">IF(AND(OP="11",RAMX=DEC2BIN(COLUMN(BF42)-1,8),RAMY=DEC2BIN(ROW(BF42)-1,8)),DATA,BF42)</f>
        <v>0</v>
      </c>
      <c r="BG42" s="87">
        <f ca="1">IF(AND(OP="11",RAMX=DEC2BIN(COLUMN(BG42)-1,8),RAMY=DEC2BIN(ROW(BG42)-1,8)),DATA,BG42)</f>
        <v>0</v>
      </c>
      <c r="BH42" s="87">
        <f ca="1">IF(AND(OP="11",RAMX=DEC2BIN(COLUMN(BH42)-1,8),RAMY=DEC2BIN(ROW(BH42)-1,8)),DATA,BH42)</f>
        <v>0</v>
      </c>
      <c r="BI42" s="87">
        <f ca="1">IF(AND(OP="11",RAMX=DEC2BIN(COLUMN(BI42)-1,8),RAMY=DEC2BIN(ROW(BI42)-1,8)),DATA,BI42)</f>
        <v>0</v>
      </c>
      <c r="BJ42" s="87">
        <f ca="1">IF(AND(OP="11",RAMX=DEC2BIN(COLUMN(BJ42)-1,8),RAMY=DEC2BIN(ROW(BJ42)-1,8)),DATA,BJ42)</f>
        <v>0</v>
      </c>
      <c r="BK42" s="87">
        <f ca="1">IF(AND(OP="11",RAMX=DEC2BIN(COLUMN(BK42)-1,8),RAMY=DEC2BIN(ROW(BK42)-1,8)),DATA,BK42)</f>
        <v>0</v>
      </c>
      <c r="BL42" s="87">
        <f ca="1">IF(AND(OP="11",RAMX=DEC2BIN(COLUMN(BL42)-1,8),RAMY=DEC2BIN(ROW(BL42)-1,8)),DATA,BL42)</f>
        <v>0</v>
      </c>
    </row>
    <row r="43" spans="1:64" x14ac:dyDescent="0.25">
      <c r="A43" s="87">
        <f ca="1">IF(AND(OP="11",RAMX=DEC2BIN(COLUMN(A43)-1,8),RAMY=DEC2BIN(ROW(A43)-1,8)),DATA,A43)</f>
        <v>0</v>
      </c>
      <c r="B43" s="87">
        <f ca="1">IF(AND(OP="11",RAMX=DEC2BIN(COLUMN(B43)-1,8),RAMY=DEC2BIN(ROW(B43)-1,8)),DATA,B43)</f>
        <v>0</v>
      </c>
      <c r="C43" s="87">
        <f ca="1">IF(AND(OP="11",RAMX=DEC2BIN(COLUMN(C43)-1,8),RAMY=DEC2BIN(ROW(C43)-1,8)),DATA,C43)</f>
        <v>0</v>
      </c>
      <c r="D43" s="87">
        <f ca="1">IF(AND(OP="11",RAMX=DEC2BIN(COLUMN(D43)-1,8),RAMY=DEC2BIN(ROW(D43)-1,8)),DATA,D43)</f>
        <v>0</v>
      </c>
      <c r="E43" s="87">
        <f ca="1">IF(AND(OP="11",RAMX=DEC2BIN(COLUMN(E43)-1,8),RAMY=DEC2BIN(ROW(E43)-1,8)),DATA,E43)</f>
        <v>0</v>
      </c>
      <c r="F43" s="87">
        <f ca="1">IF(AND(OP="11",RAMX=DEC2BIN(COLUMN(F43)-1,8),RAMY=DEC2BIN(ROW(F43)-1,8)),DATA,F43)</f>
        <v>0</v>
      </c>
      <c r="G43" s="87">
        <f ca="1">IF(AND(OP="11",RAMX=DEC2BIN(COLUMN(G43)-1,8),RAMY=DEC2BIN(ROW(G43)-1,8)),DATA,G43)</f>
        <v>0</v>
      </c>
      <c r="H43" s="87">
        <f ca="1">IF(AND(OP="11",RAMX=DEC2BIN(COLUMN(H43)-1,8),RAMY=DEC2BIN(ROW(H43)-1,8)),DATA,H43)</f>
        <v>0</v>
      </c>
      <c r="I43" s="87">
        <f ca="1">IF(AND(OP="11",RAMX=DEC2BIN(COLUMN(I43)-1,8),RAMY=DEC2BIN(ROW(I43)-1,8)),DATA,I43)</f>
        <v>0</v>
      </c>
      <c r="J43" s="87">
        <f ca="1">IF(AND(OP="11",RAMX=DEC2BIN(COLUMN(J43)-1,8),RAMY=DEC2BIN(ROW(J43)-1,8)),DATA,J43)</f>
        <v>0</v>
      </c>
      <c r="K43" s="87">
        <f ca="1">IF(AND(OP="11",RAMX=DEC2BIN(COLUMN(K43)-1,8),RAMY=DEC2BIN(ROW(K43)-1,8)),DATA,K43)</f>
        <v>0</v>
      </c>
      <c r="L43" s="87">
        <f ca="1">IF(AND(OP="11",RAMX=DEC2BIN(COLUMN(L43)-1,8),RAMY=DEC2BIN(ROW(L43)-1,8)),DATA,L43)</f>
        <v>0</v>
      </c>
      <c r="M43" s="87">
        <f ca="1">IF(AND(OP="11",RAMX=DEC2BIN(COLUMN(M43)-1,8),RAMY=DEC2BIN(ROW(M43)-1,8)),DATA,M43)</f>
        <v>0</v>
      </c>
      <c r="N43" s="87">
        <f ca="1">IF(AND(OP="11",RAMX=DEC2BIN(COLUMN(N43)-1,8),RAMY=DEC2BIN(ROW(N43)-1,8)),DATA,N43)</f>
        <v>0</v>
      </c>
      <c r="O43" s="87">
        <f ca="1">IF(AND(OP="11",RAMX=DEC2BIN(COLUMN(O43)-1,8),RAMY=DEC2BIN(ROW(O43)-1,8)),DATA,O43)</f>
        <v>0</v>
      </c>
      <c r="P43" s="87">
        <f ca="1">IF(AND(OP="11",RAMX=DEC2BIN(COLUMN(P43)-1,8),RAMY=DEC2BIN(ROW(P43)-1,8)),DATA,P43)</f>
        <v>0</v>
      </c>
      <c r="Q43" s="87">
        <f ca="1">IF(AND(OP="11",RAMX=DEC2BIN(COLUMN(Q43)-1,8),RAMY=DEC2BIN(ROW(Q43)-1,8)),DATA,Q43)</f>
        <v>0</v>
      </c>
      <c r="R43" s="87">
        <f ca="1">IF(AND(OP="11",RAMX=DEC2BIN(COLUMN(R43)-1,8),RAMY=DEC2BIN(ROW(R43)-1,8)),DATA,R43)</f>
        <v>0</v>
      </c>
      <c r="S43" s="87">
        <f ca="1">IF(AND(OP="11",RAMX=DEC2BIN(COLUMN(S43)-1,8),RAMY=DEC2BIN(ROW(S43)-1,8)),DATA,S43)</f>
        <v>0</v>
      </c>
      <c r="T43" s="87">
        <f ca="1">IF(AND(OP="11",RAMX=DEC2BIN(COLUMN(T43)-1,8),RAMY=DEC2BIN(ROW(T43)-1,8)),DATA,T43)</f>
        <v>0</v>
      </c>
      <c r="U43" s="87">
        <f ca="1">IF(AND(OP="11",RAMX=DEC2BIN(COLUMN(U43)-1,8),RAMY=DEC2BIN(ROW(U43)-1,8)),DATA,U43)</f>
        <v>0</v>
      </c>
      <c r="V43" s="87">
        <f ca="1">IF(AND(OP="11",RAMX=DEC2BIN(COLUMN(V43)-1,8),RAMY=DEC2BIN(ROW(V43)-1,8)),DATA,V43)</f>
        <v>0</v>
      </c>
      <c r="W43" s="87">
        <f ca="1">IF(AND(OP="11",RAMX=DEC2BIN(COLUMN(W43)-1,8),RAMY=DEC2BIN(ROW(W43)-1,8)),DATA,W43)</f>
        <v>0</v>
      </c>
      <c r="X43" s="87">
        <f ca="1">IF(AND(OP="11",RAMX=DEC2BIN(COLUMN(X43)-1,8),RAMY=DEC2BIN(ROW(X43)-1,8)),DATA,X43)</f>
        <v>0</v>
      </c>
      <c r="Y43" s="87">
        <f ca="1">IF(AND(OP="11",RAMX=DEC2BIN(COLUMN(Y43)-1,8),RAMY=DEC2BIN(ROW(Y43)-1,8)),DATA,Y43)</f>
        <v>0</v>
      </c>
      <c r="Z43" s="87">
        <f ca="1">IF(AND(OP="11",RAMX=DEC2BIN(COLUMN(Z43)-1,8),RAMY=DEC2BIN(ROW(Z43)-1,8)),DATA,Z43)</f>
        <v>0</v>
      </c>
      <c r="AA43" s="87">
        <f ca="1">IF(AND(OP="11",RAMX=DEC2BIN(COLUMN(AA43)-1,8),RAMY=DEC2BIN(ROW(AA43)-1,8)),DATA,AA43)</f>
        <v>0</v>
      </c>
      <c r="AB43" s="87">
        <f ca="1">IF(AND(OP="11",RAMX=DEC2BIN(COLUMN(AB43)-1,8),RAMY=DEC2BIN(ROW(AB43)-1,8)),DATA,AB43)</f>
        <v>0</v>
      </c>
      <c r="AC43" s="87">
        <f ca="1">IF(AND(OP="11",RAMX=DEC2BIN(COLUMN(AC43)-1,8),RAMY=DEC2BIN(ROW(AC43)-1,8)),DATA,AC43)</f>
        <v>0</v>
      </c>
      <c r="AD43" s="87">
        <f ca="1">IF(AND(OP="11",RAMX=DEC2BIN(COLUMN(AD43)-1,8),RAMY=DEC2BIN(ROW(AD43)-1,8)),DATA,AD43)</f>
        <v>0</v>
      </c>
      <c r="AE43" s="87">
        <f ca="1">IF(AND(OP="11",RAMX=DEC2BIN(COLUMN(AE43)-1,8),RAMY=DEC2BIN(ROW(AE43)-1,8)),DATA,AE43)</f>
        <v>0</v>
      </c>
      <c r="AF43" s="87">
        <f ca="1">IF(AND(OP="11",RAMX=DEC2BIN(COLUMN(AF43)-1,8),RAMY=DEC2BIN(ROW(AF43)-1,8)),DATA,AF43)</f>
        <v>0</v>
      </c>
      <c r="AG43" s="87">
        <f ca="1">IF(AND(OP="11",RAMX=DEC2BIN(COLUMN(AG43)-1,8),RAMY=DEC2BIN(ROW(AG43)-1,8)),DATA,AG43)</f>
        <v>0</v>
      </c>
      <c r="AH43" s="87">
        <f ca="1">IF(AND(OP="11",RAMX=DEC2BIN(COLUMN(AH43)-1,8),RAMY=DEC2BIN(ROW(AH43)-1,8)),DATA,AH43)</f>
        <v>0</v>
      </c>
      <c r="AI43" s="87">
        <f ca="1">IF(AND(OP="11",RAMX=DEC2BIN(COLUMN(AI43)-1,8),RAMY=DEC2BIN(ROW(AI43)-1,8)),DATA,AI43)</f>
        <v>0</v>
      </c>
      <c r="AJ43" s="87">
        <f ca="1">IF(AND(OP="11",RAMX=DEC2BIN(COLUMN(AJ43)-1,8),RAMY=DEC2BIN(ROW(AJ43)-1,8)),DATA,AJ43)</f>
        <v>0</v>
      </c>
      <c r="AK43" s="87">
        <f ca="1">IF(AND(OP="11",RAMX=DEC2BIN(COLUMN(AK43)-1,8),RAMY=DEC2BIN(ROW(AK43)-1,8)),DATA,AK43)</f>
        <v>0</v>
      </c>
      <c r="AL43" s="87">
        <f ca="1">IF(AND(OP="11",RAMX=DEC2BIN(COLUMN(AL43)-1,8),RAMY=DEC2BIN(ROW(AL43)-1,8)),DATA,AL43)</f>
        <v>0</v>
      </c>
      <c r="AM43" s="87">
        <f ca="1">IF(AND(OP="11",RAMX=DEC2BIN(COLUMN(AM43)-1,8),RAMY=DEC2BIN(ROW(AM43)-1,8)),DATA,AM43)</f>
        <v>0</v>
      </c>
      <c r="AN43" s="87">
        <f ca="1">IF(AND(OP="11",RAMX=DEC2BIN(COLUMN(AN43)-1,8),RAMY=DEC2BIN(ROW(AN43)-1,8)),DATA,AN43)</f>
        <v>0</v>
      </c>
      <c r="AO43" s="87">
        <f ca="1">IF(AND(OP="11",RAMX=DEC2BIN(COLUMN(AO43)-1,8),RAMY=DEC2BIN(ROW(AO43)-1,8)),DATA,AO43)</f>
        <v>0</v>
      </c>
      <c r="AP43" s="87">
        <f ca="1">IF(AND(OP="11",RAMX=DEC2BIN(COLUMN(AP43)-1,8),RAMY=DEC2BIN(ROW(AP43)-1,8)),DATA,AP43)</f>
        <v>0</v>
      </c>
      <c r="AQ43" s="87">
        <f ca="1">IF(AND(OP="11",RAMX=DEC2BIN(COLUMN(AQ43)-1,8),RAMY=DEC2BIN(ROW(AQ43)-1,8)),DATA,AQ43)</f>
        <v>0</v>
      </c>
      <c r="AR43" s="87">
        <f ca="1">IF(AND(OP="11",RAMX=DEC2BIN(COLUMN(AR43)-1,8),RAMY=DEC2BIN(ROW(AR43)-1,8)),DATA,AR43)</f>
        <v>0</v>
      </c>
      <c r="AS43" s="87">
        <f ca="1">IF(AND(OP="11",RAMX=DEC2BIN(COLUMN(AS43)-1,8),RAMY=DEC2BIN(ROW(AS43)-1,8)),DATA,AS43)</f>
        <v>0</v>
      </c>
      <c r="AT43" s="87">
        <f ca="1">IF(AND(OP="11",RAMX=DEC2BIN(COLUMN(AT43)-1,8),RAMY=DEC2BIN(ROW(AT43)-1,8)),DATA,AT43)</f>
        <v>0</v>
      </c>
      <c r="AU43" s="87">
        <f ca="1">IF(AND(OP="11",RAMX=DEC2BIN(COLUMN(AU43)-1,8),RAMY=DEC2BIN(ROW(AU43)-1,8)),DATA,AU43)</f>
        <v>0</v>
      </c>
      <c r="AV43" s="87">
        <f ca="1">IF(AND(OP="11",RAMX=DEC2BIN(COLUMN(AV43)-1,8),RAMY=DEC2BIN(ROW(AV43)-1,8)),DATA,AV43)</f>
        <v>0</v>
      </c>
      <c r="AW43" s="87">
        <f ca="1">IF(AND(OP="11",RAMX=DEC2BIN(COLUMN(AW43)-1,8),RAMY=DEC2BIN(ROW(AW43)-1,8)),DATA,AW43)</f>
        <v>0</v>
      </c>
      <c r="AX43" s="87">
        <f ca="1">IF(AND(OP="11",RAMX=DEC2BIN(COLUMN(AX43)-1,8),RAMY=DEC2BIN(ROW(AX43)-1,8)),DATA,AX43)</f>
        <v>0</v>
      </c>
      <c r="AY43" s="87">
        <f ca="1">IF(AND(OP="11",RAMX=DEC2BIN(COLUMN(AY43)-1,8),RAMY=DEC2BIN(ROW(AY43)-1,8)),DATA,AY43)</f>
        <v>0</v>
      </c>
      <c r="AZ43" s="87">
        <f ca="1">IF(AND(OP="11",RAMX=DEC2BIN(COLUMN(AZ43)-1,8),RAMY=DEC2BIN(ROW(AZ43)-1,8)),DATA,AZ43)</f>
        <v>0</v>
      </c>
      <c r="BA43" s="87">
        <f ca="1">IF(AND(OP="11",RAMX=DEC2BIN(COLUMN(BA43)-1,8),RAMY=DEC2BIN(ROW(BA43)-1,8)),DATA,BA43)</f>
        <v>0</v>
      </c>
      <c r="BB43" s="87">
        <f ca="1">IF(AND(OP="11",RAMX=DEC2BIN(COLUMN(BB43)-1,8),RAMY=DEC2BIN(ROW(BB43)-1,8)),DATA,BB43)</f>
        <v>0</v>
      </c>
      <c r="BC43" s="87">
        <f ca="1">IF(AND(OP="11",RAMX=DEC2BIN(COLUMN(BC43)-1,8),RAMY=DEC2BIN(ROW(BC43)-1,8)),DATA,BC43)</f>
        <v>0</v>
      </c>
      <c r="BD43" s="87">
        <f ca="1">IF(AND(OP="11",RAMX=DEC2BIN(COLUMN(BD43)-1,8),RAMY=DEC2BIN(ROW(BD43)-1,8)),DATA,BD43)</f>
        <v>0</v>
      </c>
      <c r="BE43" s="87">
        <f ca="1">IF(AND(OP="11",RAMX=DEC2BIN(COLUMN(BE43)-1,8),RAMY=DEC2BIN(ROW(BE43)-1,8)),DATA,BE43)</f>
        <v>0</v>
      </c>
      <c r="BF43" s="87">
        <f ca="1">IF(AND(OP="11",RAMX=DEC2BIN(COLUMN(BF43)-1,8),RAMY=DEC2BIN(ROW(BF43)-1,8)),DATA,BF43)</f>
        <v>0</v>
      </c>
      <c r="BG43" s="87">
        <f ca="1">IF(AND(OP="11",RAMX=DEC2BIN(COLUMN(BG43)-1,8),RAMY=DEC2BIN(ROW(BG43)-1,8)),DATA,BG43)</f>
        <v>0</v>
      </c>
      <c r="BH43" s="87">
        <f ca="1">IF(AND(OP="11",RAMX=DEC2BIN(COLUMN(BH43)-1,8),RAMY=DEC2BIN(ROW(BH43)-1,8)),DATA,BH43)</f>
        <v>0</v>
      </c>
      <c r="BI43" s="87">
        <f ca="1">IF(AND(OP="11",RAMX=DEC2BIN(COLUMN(BI43)-1,8),RAMY=DEC2BIN(ROW(BI43)-1,8)),DATA,BI43)</f>
        <v>0</v>
      </c>
      <c r="BJ43" s="87">
        <f ca="1">IF(AND(OP="11",RAMX=DEC2BIN(COLUMN(BJ43)-1,8),RAMY=DEC2BIN(ROW(BJ43)-1,8)),DATA,BJ43)</f>
        <v>0</v>
      </c>
      <c r="BK43" s="87">
        <f ca="1">IF(AND(OP="11",RAMX=DEC2BIN(COLUMN(BK43)-1,8),RAMY=DEC2BIN(ROW(BK43)-1,8)),DATA,BK43)</f>
        <v>0</v>
      </c>
      <c r="BL43" s="87">
        <f ca="1">IF(AND(OP="11",RAMX=DEC2BIN(COLUMN(BL43)-1,8),RAMY=DEC2BIN(ROW(BL43)-1,8)),DATA,BL43)</f>
        <v>0</v>
      </c>
    </row>
    <row r="44" spans="1:64" x14ac:dyDescent="0.25">
      <c r="A44" s="87">
        <f ca="1">IF(AND(OP="11",RAMX=DEC2BIN(COLUMN(A44)-1,8),RAMY=DEC2BIN(ROW(A44)-1,8)),DATA,A44)</f>
        <v>0</v>
      </c>
      <c r="B44" s="87">
        <f ca="1">IF(AND(OP="11",RAMX=DEC2BIN(COLUMN(B44)-1,8),RAMY=DEC2BIN(ROW(B44)-1,8)),DATA,B44)</f>
        <v>0</v>
      </c>
      <c r="C44" s="87">
        <f ca="1">IF(AND(OP="11",RAMX=DEC2BIN(COLUMN(C44)-1,8),RAMY=DEC2BIN(ROW(C44)-1,8)),DATA,C44)</f>
        <v>0</v>
      </c>
      <c r="D44" s="87">
        <f ca="1">IF(AND(OP="11",RAMX=DEC2BIN(COLUMN(D44)-1,8),RAMY=DEC2BIN(ROW(D44)-1,8)),DATA,D44)</f>
        <v>0</v>
      </c>
      <c r="E44" s="87">
        <f ca="1">IF(AND(OP="11",RAMX=DEC2BIN(COLUMN(E44)-1,8),RAMY=DEC2BIN(ROW(E44)-1,8)),DATA,E44)</f>
        <v>0</v>
      </c>
      <c r="F44" s="87">
        <f ca="1">IF(AND(OP="11",RAMX=DEC2BIN(COLUMN(F44)-1,8),RAMY=DEC2BIN(ROW(F44)-1,8)),DATA,F44)</f>
        <v>0</v>
      </c>
      <c r="G44" s="87">
        <f ca="1">IF(AND(OP="11",RAMX=DEC2BIN(COLUMN(G44)-1,8),RAMY=DEC2BIN(ROW(G44)-1,8)),DATA,G44)</f>
        <v>0</v>
      </c>
      <c r="H44" s="87">
        <f ca="1">IF(AND(OP="11",RAMX=DEC2BIN(COLUMN(H44)-1,8),RAMY=DEC2BIN(ROW(H44)-1,8)),DATA,H44)</f>
        <v>0</v>
      </c>
      <c r="I44" s="87">
        <f ca="1">IF(AND(OP="11",RAMX=DEC2BIN(COLUMN(I44)-1,8),RAMY=DEC2BIN(ROW(I44)-1,8)),DATA,I44)</f>
        <v>0</v>
      </c>
      <c r="J44" s="87">
        <f ca="1">IF(AND(OP="11",RAMX=DEC2BIN(COLUMN(J44)-1,8),RAMY=DEC2BIN(ROW(J44)-1,8)),DATA,J44)</f>
        <v>0</v>
      </c>
      <c r="K44" s="87">
        <f ca="1">IF(AND(OP="11",RAMX=DEC2BIN(COLUMN(K44)-1,8),RAMY=DEC2BIN(ROW(K44)-1,8)),DATA,K44)</f>
        <v>0</v>
      </c>
      <c r="L44" s="87">
        <f ca="1">IF(AND(OP="11",RAMX=DEC2BIN(COLUMN(L44)-1,8),RAMY=DEC2BIN(ROW(L44)-1,8)),DATA,L44)</f>
        <v>0</v>
      </c>
      <c r="M44" s="87">
        <f ca="1">IF(AND(OP="11",RAMX=DEC2BIN(COLUMN(M44)-1,8),RAMY=DEC2BIN(ROW(M44)-1,8)),DATA,M44)</f>
        <v>0</v>
      </c>
      <c r="N44" s="87">
        <f ca="1">IF(AND(OP="11",RAMX=DEC2BIN(COLUMN(N44)-1,8),RAMY=DEC2BIN(ROW(N44)-1,8)),DATA,N44)</f>
        <v>0</v>
      </c>
      <c r="O44" s="87">
        <f ca="1">IF(AND(OP="11",RAMX=DEC2BIN(COLUMN(O44)-1,8),RAMY=DEC2BIN(ROW(O44)-1,8)),DATA,O44)</f>
        <v>0</v>
      </c>
      <c r="P44" s="87">
        <f ca="1">IF(AND(OP="11",RAMX=DEC2BIN(COLUMN(P44)-1,8),RAMY=DEC2BIN(ROW(P44)-1,8)),DATA,P44)</f>
        <v>0</v>
      </c>
      <c r="Q44" s="87">
        <f ca="1">IF(AND(OP="11",RAMX=DEC2BIN(COLUMN(Q44)-1,8),RAMY=DEC2BIN(ROW(Q44)-1,8)),DATA,Q44)</f>
        <v>0</v>
      </c>
      <c r="R44" s="87">
        <f ca="1">IF(AND(OP="11",RAMX=DEC2BIN(COLUMN(R44)-1,8),RAMY=DEC2BIN(ROW(R44)-1,8)),DATA,R44)</f>
        <v>0</v>
      </c>
      <c r="S44" s="87">
        <f ca="1">IF(AND(OP="11",RAMX=DEC2BIN(COLUMN(S44)-1,8),RAMY=DEC2BIN(ROW(S44)-1,8)),DATA,S44)</f>
        <v>0</v>
      </c>
      <c r="T44" s="87">
        <f ca="1">IF(AND(OP="11",RAMX=DEC2BIN(COLUMN(T44)-1,8),RAMY=DEC2BIN(ROW(T44)-1,8)),DATA,T44)</f>
        <v>0</v>
      </c>
      <c r="U44" s="87">
        <f ca="1">IF(AND(OP="11",RAMX=DEC2BIN(COLUMN(U44)-1,8),RAMY=DEC2BIN(ROW(U44)-1,8)),DATA,U44)</f>
        <v>0</v>
      </c>
      <c r="V44" s="87">
        <f ca="1">IF(AND(OP="11",RAMX=DEC2BIN(COLUMN(V44)-1,8),RAMY=DEC2BIN(ROW(V44)-1,8)),DATA,V44)</f>
        <v>0</v>
      </c>
      <c r="W44" s="87">
        <f ca="1">IF(AND(OP="11",RAMX=DEC2BIN(COLUMN(W44)-1,8),RAMY=DEC2BIN(ROW(W44)-1,8)),DATA,W44)</f>
        <v>0</v>
      </c>
      <c r="X44" s="87">
        <f ca="1">IF(AND(OP="11",RAMX=DEC2BIN(COLUMN(X44)-1,8),RAMY=DEC2BIN(ROW(X44)-1,8)),DATA,X44)</f>
        <v>0</v>
      </c>
      <c r="Y44" s="87">
        <f ca="1">IF(AND(OP="11",RAMX=DEC2BIN(COLUMN(Y44)-1,8),RAMY=DEC2BIN(ROW(Y44)-1,8)),DATA,Y44)</f>
        <v>0</v>
      </c>
      <c r="Z44" s="87">
        <f ca="1">IF(AND(OP="11",RAMX=DEC2BIN(COLUMN(Z44)-1,8),RAMY=DEC2BIN(ROW(Z44)-1,8)),DATA,Z44)</f>
        <v>0</v>
      </c>
      <c r="AA44" s="87">
        <f ca="1">IF(AND(OP="11",RAMX=DEC2BIN(COLUMN(AA44)-1,8),RAMY=DEC2BIN(ROW(AA44)-1,8)),DATA,AA44)</f>
        <v>0</v>
      </c>
      <c r="AB44" s="87">
        <f ca="1">IF(AND(OP="11",RAMX=DEC2BIN(COLUMN(AB44)-1,8),RAMY=DEC2BIN(ROW(AB44)-1,8)),DATA,AB44)</f>
        <v>0</v>
      </c>
      <c r="AC44" s="87">
        <f ca="1">IF(AND(OP="11",RAMX=DEC2BIN(COLUMN(AC44)-1,8),RAMY=DEC2BIN(ROW(AC44)-1,8)),DATA,AC44)</f>
        <v>0</v>
      </c>
      <c r="AD44" s="87">
        <f ca="1">IF(AND(OP="11",RAMX=DEC2BIN(COLUMN(AD44)-1,8),RAMY=DEC2BIN(ROW(AD44)-1,8)),DATA,AD44)</f>
        <v>0</v>
      </c>
      <c r="AE44" s="87">
        <f ca="1">IF(AND(OP="11",RAMX=DEC2BIN(COLUMN(AE44)-1,8),RAMY=DEC2BIN(ROW(AE44)-1,8)),DATA,AE44)</f>
        <v>0</v>
      </c>
      <c r="AF44" s="87">
        <f ca="1">IF(AND(OP="11",RAMX=DEC2BIN(COLUMN(AF44)-1,8),RAMY=DEC2BIN(ROW(AF44)-1,8)),DATA,AF44)</f>
        <v>0</v>
      </c>
      <c r="AG44" s="87">
        <f ca="1">IF(AND(OP="11",RAMX=DEC2BIN(COLUMN(AG44)-1,8),RAMY=DEC2BIN(ROW(AG44)-1,8)),DATA,AG44)</f>
        <v>0</v>
      </c>
      <c r="AH44" s="87">
        <f ca="1">IF(AND(OP="11",RAMX=DEC2BIN(COLUMN(AH44)-1,8),RAMY=DEC2BIN(ROW(AH44)-1,8)),DATA,AH44)</f>
        <v>0</v>
      </c>
      <c r="AI44" s="87">
        <f ca="1">IF(AND(OP="11",RAMX=DEC2BIN(COLUMN(AI44)-1,8),RAMY=DEC2BIN(ROW(AI44)-1,8)),DATA,AI44)</f>
        <v>0</v>
      </c>
      <c r="AJ44" s="87">
        <f ca="1">IF(AND(OP="11",RAMX=DEC2BIN(COLUMN(AJ44)-1,8),RAMY=DEC2BIN(ROW(AJ44)-1,8)),DATA,AJ44)</f>
        <v>0</v>
      </c>
      <c r="AK44" s="87">
        <f ca="1">IF(AND(OP="11",RAMX=DEC2BIN(COLUMN(AK44)-1,8),RAMY=DEC2BIN(ROW(AK44)-1,8)),DATA,AK44)</f>
        <v>0</v>
      </c>
      <c r="AL44" s="87">
        <f ca="1">IF(AND(OP="11",RAMX=DEC2BIN(COLUMN(AL44)-1,8),RAMY=DEC2BIN(ROW(AL44)-1,8)),DATA,AL44)</f>
        <v>0</v>
      </c>
      <c r="AM44" s="87">
        <f ca="1">IF(AND(OP="11",RAMX=DEC2BIN(COLUMN(AM44)-1,8),RAMY=DEC2BIN(ROW(AM44)-1,8)),DATA,AM44)</f>
        <v>0</v>
      </c>
      <c r="AN44" s="87">
        <f ca="1">IF(AND(OP="11",RAMX=DEC2BIN(COLUMN(AN44)-1,8),RAMY=DEC2BIN(ROW(AN44)-1,8)),DATA,AN44)</f>
        <v>0</v>
      </c>
      <c r="AO44" s="87">
        <f ca="1">IF(AND(OP="11",RAMX=DEC2BIN(COLUMN(AO44)-1,8),RAMY=DEC2BIN(ROW(AO44)-1,8)),DATA,AO44)</f>
        <v>0</v>
      </c>
      <c r="AP44" s="87">
        <f ca="1">IF(AND(OP="11",RAMX=DEC2BIN(COLUMN(AP44)-1,8),RAMY=DEC2BIN(ROW(AP44)-1,8)),DATA,AP44)</f>
        <v>0</v>
      </c>
      <c r="AQ44" s="87">
        <f ca="1">IF(AND(OP="11",RAMX=DEC2BIN(COLUMN(AQ44)-1,8),RAMY=DEC2BIN(ROW(AQ44)-1,8)),DATA,AQ44)</f>
        <v>0</v>
      </c>
      <c r="AR44" s="87">
        <f ca="1">IF(AND(OP="11",RAMX=DEC2BIN(COLUMN(AR44)-1,8),RAMY=DEC2BIN(ROW(AR44)-1,8)),DATA,AR44)</f>
        <v>0</v>
      </c>
      <c r="AS44" s="87">
        <f ca="1">IF(AND(OP="11",RAMX=DEC2BIN(COLUMN(AS44)-1,8),RAMY=DEC2BIN(ROW(AS44)-1,8)),DATA,AS44)</f>
        <v>0</v>
      </c>
      <c r="AT44" s="87">
        <f ca="1">IF(AND(OP="11",RAMX=DEC2BIN(COLUMN(AT44)-1,8),RAMY=DEC2BIN(ROW(AT44)-1,8)),DATA,AT44)</f>
        <v>0</v>
      </c>
      <c r="AU44" s="87">
        <f ca="1">IF(AND(OP="11",RAMX=DEC2BIN(COLUMN(AU44)-1,8),RAMY=DEC2BIN(ROW(AU44)-1,8)),DATA,AU44)</f>
        <v>0</v>
      </c>
      <c r="AV44" s="87">
        <f ca="1">IF(AND(OP="11",RAMX=DEC2BIN(COLUMN(AV44)-1,8),RAMY=DEC2BIN(ROW(AV44)-1,8)),DATA,AV44)</f>
        <v>0</v>
      </c>
      <c r="AW44" s="87">
        <f ca="1">IF(AND(OP="11",RAMX=DEC2BIN(COLUMN(AW44)-1,8),RAMY=DEC2BIN(ROW(AW44)-1,8)),DATA,AW44)</f>
        <v>0</v>
      </c>
      <c r="AX44" s="87">
        <f ca="1">IF(AND(OP="11",RAMX=DEC2BIN(COLUMN(AX44)-1,8),RAMY=DEC2BIN(ROW(AX44)-1,8)),DATA,AX44)</f>
        <v>0</v>
      </c>
      <c r="AY44" s="87">
        <f ca="1">IF(AND(OP="11",RAMX=DEC2BIN(COLUMN(AY44)-1,8),RAMY=DEC2BIN(ROW(AY44)-1,8)),DATA,AY44)</f>
        <v>0</v>
      </c>
      <c r="AZ44" s="87">
        <f ca="1">IF(AND(OP="11",RAMX=DEC2BIN(COLUMN(AZ44)-1,8),RAMY=DEC2BIN(ROW(AZ44)-1,8)),DATA,AZ44)</f>
        <v>0</v>
      </c>
      <c r="BA44" s="87">
        <f ca="1">IF(AND(OP="11",RAMX=DEC2BIN(COLUMN(BA44)-1,8),RAMY=DEC2BIN(ROW(BA44)-1,8)),DATA,BA44)</f>
        <v>0</v>
      </c>
      <c r="BB44" s="87">
        <f ca="1">IF(AND(OP="11",RAMX=DEC2BIN(COLUMN(BB44)-1,8),RAMY=DEC2BIN(ROW(BB44)-1,8)),DATA,BB44)</f>
        <v>0</v>
      </c>
      <c r="BC44" s="87">
        <f ca="1">IF(AND(OP="11",RAMX=DEC2BIN(COLUMN(BC44)-1,8),RAMY=DEC2BIN(ROW(BC44)-1,8)),DATA,BC44)</f>
        <v>0</v>
      </c>
      <c r="BD44" s="87">
        <f ca="1">IF(AND(OP="11",RAMX=DEC2BIN(COLUMN(BD44)-1,8),RAMY=DEC2BIN(ROW(BD44)-1,8)),DATA,BD44)</f>
        <v>0</v>
      </c>
      <c r="BE44" s="87">
        <f ca="1">IF(AND(OP="11",RAMX=DEC2BIN(COLUMN(BE44)-1,8),RAMY=DEC2BIN(ROW(BE44)-1,8)),DATA,BE44)</f>
        <v>0</v>
      </c>
      <c r="BF44" s="87">
        <f ca="1">IF(AND(OP="11",RAMX=DEC2BIN(COLUMN(BF44)-1,8),RAMY=DEC2BIN(ROW(BF44)-1,8)),DATA,BF44)</f>
        <v>0</v>
      </c>
      <c r="BG44" s="87">
        <f ca="1">IF(AND(OP="11",RAMX=DEC2BIN(COLUMN(BG44)-1,8),RAMY=DEC2BIN(ROW(BG44)-1,8)),DATA,BG44)</f>
        <v>0</v>
      </c>
      <c r="BH44" s="87">
        <f ca="1">IF(AND(OP="11",RAMX=DEC2BIN(COLUMN(BH44)-1,8),RAMY=DEC2BIN(ROW(BH44)-1,8)),DATA,BH44)</f>
        <v>0</v>
      </c>
      <c r="BI44" s="87">
        <f ca="1">IF(AND(OP="11",RAMX=DEC2BIN(COLUMN(BI44)-1,8),RAMY=DEC2BIN(ROW(BI44)-1,8)),DATA,BI44)</f>
        <v>0</v>
      </c>
      <c r="BJ44" s="87">
        <f ca="1">IF(AND(OP="11",RAMX=DEC2BIN(COLUMN(BJ44)-1,8),RAMY=DEC2BIN(ROW(BJ44)-1,8)),DATA,BJ44)</f>
        <v>0</v>
      </c>
      <c r="BK44" s="87">
        <f ca="1">IF(AND(OP="11",RAMX=DEC2BIN(COLUMN(BK44)-1,8),RAMY=DEC2BIN(ROW(BK44)-1,8)),DATA,BK44)</f>
        <v>0</v>
      </c>
      <c r="BL44" s="87">
        <f ca="1">IF(AND(OP="11",RAMX=DEC2BIN(COLUMN(BL44)-1,8),RAMY=DEC2BIN(ROW(BL44)-1,8)),DATA,BL44)</f>
        <v>0</v>
      </c>
    </row>
    <row r="45" spans="1:64" x14ac:dyDescent="0.25">
      <c r="A45" s="87">
        <f ca="1">IF(AND(OP="11",RAMX=DEC2BIN(COLUMN(A45)-1,8),RAMY=DEC2BIN(ROW(A45)-1,8)),DATA,A45)</f>
        <v>0</v>
      </c>
      <c r="B45" s="87">
        <f ca="1">IF(AND(OP="11",RAMX=DEC2BIN(COLUMN(B45)-1,8),RAMY=DEC2BIN(ROW(B45)-1,8)),DATA,B45)</f>
        <v>0</v>
      </c>
      <c r="C45" s="87">
        <f ca="1">IF(AND(OP="11",RAMX=DEC2BIN(COLUMN(C45)-1,8),RAMY=DEC2BIN(ROW(C45)-1,8)),DATA,C45)</f>
        <v>0</v>
      </c>
      <c r="D45" s="87">
        <f ca="1">IF(AND(OP="11",RAMX=DEC2BIN(COLUMN(D45)-1,8),RAMY=DEC2BIN(ROW(D45)-1,8)),DATA,D45)</f>
        <v>0</v>
      </c>
      <c r="E45" s="87">
        <f ca="1">IF(AND(OP="11",RAMX=DEC2BIN(COLUMN(E45)-1,8),RAMY=DEC2BIN(ROW(E45)-1,8)),DATA,E45)</f>
        <v>0</v>
      </c>
      <c r="F45" s="87">
        <f ca="1">IF(AND(OP="11",RAMX=DEC2BIN(COLUMN(F45)-1,8),RAMY=DEC2BIN(ROW(F45)-1,8)),DATA,F45)</f>
        <v>0</v>
      </c>
      <c r="G45" s="87">
        <f ca="1">IF(AND(OP="11",RAMX=DEC2BIN(COLUMN(G45)-1,8),RAMY=DEC2BIN(ROW(G45)-1,8)),DATA,G45)</f>
        <v>0</v>
      </c>
      <c r="H45" s="87">
        <f ca="1">IF(AND(OP="11",RAMX=DEC2BIN(COLUMN(H45)-1,8),RAMY=DEC2BIN(ROW(H45)-1,8)),DATA,H45)</f>
        <v>0</v>
      </c>
      <c r="I45" s="87">
        <f ca="1">IF(AND(OP="11",RAMX=DEC2BIN(COLUMN(I45)-1,8),RAMY=DEC2BIN(ROW(I45)-1,8)),DATA,I45)</f>
        <v>0</v>
      </c>
      <c r="J45" s="87">
        <f ca="1">IF(AND(OP="11",RAMX=DEC2BIN(COLUMN(J45)-1,8),RAMY=DEC2BIN(ROW(J45)-1,8)),DATA,J45)</f>
        <v>0</v>
      </c>
      <c r="K45" s="87">
        <f ca="1">IF(AND(OP="11",RAMX=DEC2BIN(COLUMN(K45)-1,8),RAMY=DEC2BIN(ROW(K45)-1,8)),DATA,K45)</f>
        <v>0</v>
      </c>
      <c r="L45" s="87">
        <f ca="1">IF(AND(OP="11",RAMX=DEC2BIN(COLUMN(L45)-1,8),RAMY=DEC2BIN(ROW(L45)-1,8)),DATA,L45)</f>
        <v>0</v>
      </c>
      <c r="M45" s="87">
        <f ca="1">IF(AND(OP="11",RAMX=DEC2BIN(COLUMN(M45)-1,8),RAMY=DEC2BIN(ROW(M45)-1,8)),DATA,M45)</f>
        <v>0</v>
      </c>
      <c r="N45" s="87">
        <f ca="1">IF(AND(OP="11",RAMX=DEC2BIN(COLUMN(N45)-1,8),RAMY=DEC2BIN(ROW(N45)-1,8)),DATA,N45)</f>
        <v>0</v>
      </c>
      <c r="O45" s="87">
        <f ca="1">IF(AND(OP="11",RAMX=DEC2BIN(COLUMN(O45)-1,8),RAMY=DEC2BIN(ROW(O45)-1,8)),DATA,O45)</f>
        <v>0</v>
      </c>
      <c r="P45" s="87">
        <f ca="1">IF(AND(OP="11",RAMX=DEC2BIN(COLUMN(P45)-1,8),RAMY=DEC2BIN(ROW(P45)-1,8)),DATA,P45)</f>
        <v>0</v>
      </c>
      <c r="Q45" s="87">
        <f ca="1">IF(AND(OP="11",RAMX=DEC2BIN(COLUMN(Q45)-1,8),RAMY=DEC2BIN(ROW(Q45)-1,8)),DATA,Q45)</f>
        <v>0</v>
      </c>
      <c r="R45" s="87">
        <f ca="1">IF(AND(OP="11",RAMX=DEC2BIN(COLUMN(R45)-1,8),RAMY=DEC2BIN(ROW(R45)-1,8)),DATA,R45)</f>
        <v>0</v>
      </c>
      <c r="S45" s="87">
        <f ca="1">IF(AND(OP="11",RAMX=DEC2BIN(COLUMN(S45)-1,8),RAMY=DEC2BIN(ROW(S45)-1,8)),DATA,S45)</f>
        <v>0</v>
      </c>
      <c r="T45" s="87">
        <f ca="1">IF(AND(OP="11",RAMX=DEC2BIN(COLUMN(T45)-1,8),RAMY=DEC2BIN(ROW(T45)-1,8)),DATA,T45)</f>
        <v>0</v>
      </c>
      <c r="U45" s="87">
        <f ca="1">IF(AND(OP="11",RAMX=DEC2BIN(COLUMN(U45)-1,8),RAMY=DEC2BIN(ROW(U45)-1,8)),DATA,U45)</f>
        <v>0</v>
      </c>
      <c r="V45" s="87">
        <f ca="1">IF(AND(OP="11",RAMX=DEC2BIN(COLUMN(V45)-1,8),RAMY=DEC2BIN(ROW(V45)-1,8)),DATA,V45)</f>
        <v>0</v>
      </c>
      <c r="W45" s="87">
        <f ca="1">IF(AND(OP="11",RAMX=DEC2BIN(COLUMN(W45)-1,8),RAMY=DEC2BIN(ROW(W45)-1,8)),DATA,W45)</f>
        <v>0</v>
      </c>
      <c r="X45" s="87">
        <f ca="1">IF(AND(OP="11",RAMX=DEC2BIN(COLUMN(X45)-1,8),RAMY=DEC2BIN(ROW(X45)-1,8)),DATA,X45)</f>
        <v>0</v>
      </c>
      <c r="Y45" s="87">
        <f ca="1">IF(AND(OP="11",RAMX=DEC2BIN(COLUMN(Y45)-1,8),RAMY=DEC2BIN(ROW(Y45)-1,8)),DATA,Y45)</f>
        <v>0</v>
      </c>
      <c r="Z45" s="87">
        <f ca="1">IF(AND(OP="11",RAMX=DEC2BIN(COLUMN(Z45)-1,8),RAMY=DEC2BIN(ROW(Z45)-1,8)),DATA,Z45)</f>
        <v>0</v>
      </c>
      <c r="AA45" s="87">
        <f ca="1">IF(AND(OP="11",RAMX=DEC2BIN(COLUMN(AA45)-1,8),RAMY=DEC2BIN(ROW(AA45)-1,8)),DATA,AA45)</f>
        <v>0</v>
      </c>
      <c r="AB45" s="87">
        <f ca="1">IF(AND(OP="11",RAMX=DEC2BIN(COLUMN(AB45)-1,8),RAMY=DEC2BIN(ROW(AB45)-1,8)),DATA,AB45)</f>
        <v>0</v>
      </c>
      <c r="AC45" s="87">
        <f ca="1">IF(AND(OP="11",RAMX=DEC2BIN(COLUMN(AC45)-1,8),RAMY=DEC2BIN(ROW(AC45)-1,8)),DATA,AC45)</f>
        <v>0</v>
      </c>
      <c r="AD45" s="87">
        <f ca="1">IF(AND(OP="11",RAMX=DEC2BIN(COLUMN(AD45)-1,8),RAMY=DEC2BIN(ROW(AD45)-1,8)),DATA,AD45)</f>
        <v>0</v>
      </c>
      <c r="AE45" s="87">
        <f ca="1">IF(AND(OP="11",RAMX=DEC2BIN(COLUMN(AE45)-1,8),RAMY=DEC2BIN(ROW(AE45)-1,8)),DATA,AE45)</f>
        <v>0</v>
      </c>
      <c r="AF45" s="87">
        <f ca="1">IF(AND(OP="11",RAMX=DEC2BIN(COLUMN(AF45)-1,8),RAMY=DEC2BIN(ROW(AF45)-1,8)),DATA,AF45)</f>
        <v>0</v>
      </c>
      <c r="AG45" s="87">
        <f ca="1">IF(AND(OP="11",RAMX=DEC2BIN(COLUMN(AG45)-1,8),RAMY=DEC2BIN(ROW(AG45)-1,8)),DATA,AG45)</f>
        <v>0</v>
      </c>
      <c r="AH45" s="87">
        <f ca="1">IF(AND(OP="11",RAMX=DEC2BIN(COLUMN(AH45)-1,8),RAMY=DEC2BIN(ROW(AH45)-1,8)),DATA,AH45)</f>
        <v>0</v>
      </c>
      <c r="AI45" s="87">
        <f ca="1">IF(AND(OP="11",RAMX=DEC2BIN(COLUMN(AI45)-1,8),RAMY=DEC2BIN(ROW(AI45)-1,8)),DATA,AI45)</f>
        <v>0</v>
      </c>
      <c r="AJ45" s="87">
        <f ca="1">IF(AND(OP="11",RAMX=DEC2BIN(COLUMN(AJ45)-1,8),RAMY=DEC2BIN(ROW(AJ45)-1,8)),DATA,AJ45)</f>
        <v>0</v>
      </c>
      <c r="AK45" s="87">
        <f ca="1">IF(AND(OP="11",RAMX=DEC2BIN(COLUMN(AK45)-1,8),RAMY=DEC2BIN(ROW(AK45)-1,8)),DATA,AK45)</f>
        <v>0</v>
      </c>
      <c r="AL45" s="87">
        <f ca="1">IF(AND(OP="11",RAMX=DEC2BIN(COLUMN(AL45)-1,8),RAMY=DEC2BIN(ROW(AL45)-1,8)),DATA,AL45)</f>
        <v>0</v>
      </c>
      <c r="AM45" s="87">
        <f ca="1">IF(AND(OP="11",RAMX=DEC2BIN(COLUMN(AM45)-1,8),RAMY=DEC2BIN(ROW(AM45)-1,8)),DATA,AM45)</f>
        <v>0</v>
      </c>
      <c r="AN45" s="87">
        <f ca="1">IF(AND(OP="11",RAMX=DEC2BIN(COLUMN(AN45)-1,8),RAMY=DEC2BIN(ROW(AN45)-1,8)),DATA,AN45)</f>
        <v>0</v>
      </c>
      <c r="AO45" s="87">
        <f ca="1">IF(AND(OP="11",RAMX=DEC2BIN(COLUMN(AO45)-1,8),RAMY=DEC2BIN(ROW(AO45)-1,8)),DATA,AO45)</f>
        <v>0</v>
      </c>
      <c r="AP45" s="87">
        <f ca="1">IF(AND(OP="11",RAMX=DEC2BIN(COLUMN(AP45)-1,8),RAMY=DEC2BIN(ROW(AP45)-1,8)),DATA,AP45)</f>
        <v>0</v>
      </c>
      <c r="AQ45" s="87">
        <f ca="1">IF(AND(OP="11",RAMX=DEC2BIN(COLUMN(AQ45)-1,8),RAMY=DEC2BIN(ROW(AQ45)-1,8)),DATA,AQ45)</f>
        <v>0</v>
      </c>
      <c r="AR45" s="87">
        <f ca="1">IF(AND(OP="11",RAMX=DEC2BIN(COLUMN(AR45)-1,8),RAMY=DEC2BIN(ROW(AR45)-1,8)),DATA,AR45)</f>
        <v>0</v>
      </c>
      <c r="AS45" s="87">
        <f ca="1">IF(AND(OP="11",RAMX=DEC2BIN(COLUMN(AS45)-1,8),RAMY=DEC2BIN(ROW(AS45)-1,8)),DATA,AS45)</f>
        <v>0</v>
      </c>
      <c r="AT45" s="87">
        <f ca="1">IF(AND(OP="11",RAMX=DEC2BIN(COLUMN(AT45)-1,8),RAMY=DEC2BIN(ROW(AT45)-1,8)),DATA,AT45)</f>
        <v>0</v>
      </c>
      <c r="AU45" s="87">
        <f ca="1">IF(AND(OP="11",RAMX=DEC2BIN(COLUMN(AU45)-1,8),RAMY=DEC2BIN(ROW(AU45)-1,8)),DATA,AU45)</f>
        <v>0</v>
      </c>
      <c r="AV45" s="87">
        <f ca="1">IF(AND(OP="11",RAMX=DEC2BIN(COLUMN(AV45)-1,8),RAMY=DEC2BIN(ROW(AV45)-1,8)),DATA,AV45)</f>
        <v>0</v>
      </c>
      <c r="AW45" s="87">
        <f ca="1">IF(AND(OP="11",RAMX=DEC2BIN(COLUMN(AW45)-1,8),RAMY=DEC2BIN(ROW(AW45)-1,8)),DATA,AW45)</f>
        <v>0</v>
      </c>
      <c r="AX45" s="87">
        <f ca="1">IF(AND(OP="11",RAMX=DEC2BIN(COLUMN(AX45)-1,8),RAMY=DEC2BIN(ROW(AX45)-1,8)),DATA,AX45)</f>
        <v>0</v>
      </c>
      <c r="AY45" s="87">
        <f ca="1">IF(AND(OP="11",RAMX=DEC2BIN(COLUMN(AY45)-1,8),RAMY=DEC2BIN(ROW(AY45)-1,8)),DATA,AY45)</f>
        <v>0</v>
      </c>
      <c r="AZ45" s="87">
        <f ca="1">IF(AND(OP="11",RAMX=DEC2BIN(COLUMN(AZ45)-1,8),RAMY=DEC2BIN(ROW(AZ45)-1,8)),DATA,AZ45)</f>
        <v>0</v>
      </c>
      <c r="BA45" s="87">
        <f ca="1">IF(AND(OP="11",RAMX=DEC2BIN(COLUMN(BA45)-1,8),RAMY=DEC2BIN(ROW(BA45)-1,8)),DATA,BA45)</f>
        <v>0</v>
      </c>
      <c r="BB45" s="87">
        <f ca="1">IF(AND(OP="11",RAMX=DEC2BIN(COLUMN(BB45)-1,8),RAMY=DEC2BIN(ROW(BB45)-1,8)),DATA,BB45)</f>
        <v>0</v>
      </c>
      <c r="BC45" s="87">
        <f ca="1">IF(AND(OP="11",RAMX=DEC2BIN(COLUMN(BC45)-1,8),RAMY=DEC2BIN(ROW(BC45)-1,8)),DATA,BC45)</f>
        <v>0</v>
      </c>
      <c r="BD45" s="87">
        <f ca="1">IF(AND(OP="11",RAMX=DEC2BIN(COLUMN(BD45)-1,8),RAMY=DEC2BIN(ROW(BD45)-1,8)),DATA,BD45)</f>
        <v>0</v>
      </c>
      <c r="BE45" s="87">
        <f ca="1">IF(AND(OP="11",RAMX=DEC2BIN(COLUMN(BE45)-1,8),RAMY=DEC2BIN(ROW(BE45)-1,8)),DATA,BE45)</f>
        <v>0</v>
      </c>
      <c r="BF45" s="87">
        <f ca="1">IF(AND(OP="11",RAMX=DEC2BIN(COLUMN(BF45)-1,8),RAMY=DEC2BIN(ROW(BF45)-1,8)),DATA,BF45)</f>
        <v>0</v>
      </c>
      <c r="BG45" s="87">
        <f ca="1">IF(AND(OP="11",RAMX=DEC2BIN(COLUMN(BG45)-1,8),RAMY=DEC2BIN(ROW(BG45)-1,8)),DATA,BG45)</f>
        <v>0</v>
      </c>
      <c r="BH45" s="87">
        <f ca="1">IF(AND(OP="11",RAMX=DEC2BIN(COLUMN(BH45)-1,8),RAMY=DEC2BIN(ROW(BH45)-1,8)),DATA,BH45)</f>
        <v>0</v>
      </c>
      <c r="BI45" s="87">
        <f ca="1">IF(AND(OP="11",RAMX=DEC2BIN(COLUMN(BI45)-1,8),RAMY=DEC2BIN(ROW(BI45)-1,8)),DATA,BI45)</f>
        <v>0</v>
      </c>
      <c r="BJ45" s="87">
        <f ca="1">IF(AND(OP="11",RAMX=DEC2BIN(COLUMN(BJ45)-1,8),RAMY=DEC2BIN(ROW(BJ45)-1,8)),DATA,BJ45)</f>
        <v>0</v>
      </c>
      <c r="BK45" s="87">
        <f ca="1">IF(AND(OP="11",RAMX=DEC2BIN(COLUMN(BK45)-1,8),RAMY=DEC2BIN(ROW(BK45)-1,8)),DATA,BK45)</f>
        <v>0</v>
      </c>
      <c r="BL45" s="87">
        <f ca="1">IF(AND(OP="11",RAMX=DEC2BIN(COLUMN(BL45)-1,8),RAMY=DEC2BIN(ROW(BL45)-1,8)),DATA,BL45)</f>
        <v>0</v>
      </c>
    </row>
    <row r="46" spans="1:64" x14ac:dyDescent="0.25">
      <c r="A46" s="87">
        <f ca="1">IF(AND(OP="11",RAMX=DEC2BIN(COLUMN(A46)-1,8),RAMY=DEC2BIN(ROW(A46)-1,8)),DATA,A46)</f>
        <v>0</v>
      </c>
      <c r="B46" s="87">
        <f ca="1">IF(AND(OP="11",RAMX=DEC2BIN(COLUMN(B46)-1,8),RAMY=DEC2BIN(ROW(B46)-1,8)),DATA,B46)</f>
        <v>0</v>
      </c>
      <c r="C46" s="87">
        <f ca="1">IF(AND(OP="11",RAMX=DEC2BIN(COLUMN(C46)-1,8),RAMY=DEC2BIN(ROW(C46)-1,8)),DATA,C46)</f>
        <v>0</v>
      </c>
      <c r="D46" s="87">
        <f ca="1">IF(AND(OP="11",RAMX=DEC2BIN(COLUMN(D46)-1,8),RAMY=DEC2BIN(ROW(D46)-1,8)),DATA,D46)</f>
        <v>0</v>
      </c>
      <c r="E46" s="87">
        <f ca="1">IF(AND(OP="11",RAMX=DEC2BIN(COLUMN(E46)-1,8),RAMY=DEC2BIN(ROW(E46)-1,8)),DATA,E46)</f>
        <v>0</v>
      </c>
      <c r="F46" s="87">
        <f ca="1">IF(AND(OP="11",RAMX=DEC2BIN(COLUMN(F46)-1,8),RAMY=DEC2BIN(ROW(F46)-1,8)),DATA,F46)</f>
        <v>0</v>
      </c>
      <c r="G46" s="87">
        <f ca="1">IF(AND(OP="11",RAMX=DEC2BIN(COLUMN(G46)-1,8),RAMY=DEC2BIN(ROW(G46)-1,8)),DATA,G46)</f>
        <v>0</v>
      </c>
      <c r="H46" s="87">
        <f ca="1">IF(AND(OP="11",RAMX=DEC2BIN(COLUMN(H46)-1,8),RAMY=DEC2BIN(ROW(H46)-1,8)),DATA,H46)</f>
        <v>0</v>
      </c>
      <c r="I46" s="87">
        <f ca="1">IF(AND(OP="11",RAMX=DEC2BIN(COLUMN(I46)-1,8),RAMY=DEC2BIN(ROW(I46)-1,8)),DATA,I46)</f>
        <v>0</v>
      </c>
      <c r="J46" s="87">
        <f ca="1">IF(AND(OP="11",RAMX=DEC2BIN(COLUMN(J46)-1,8),RAMY=DEC2BIN(ROW(J46)-1,8)),DATA,J46)</f>
        <v>0</v>
      </c>
      <c r="K46" s="87">
        <f ca="1">IF(AND(OP="11",RAMX=DEC2BIN(COLUMN(K46)-1,8),RAMY=DEC2BIN(ROW(K46)-1,8)),DATA,K46)</f>
        <v>0</v>
      </c>
      <c r="L46" s="87">
        <f ca="1">IF(AND(OP="11",RAMX=DEC2BIN(COLUMN(L46)-1,8),RAMY=DEC2BIN(ROW(L46)-1,8)),DATA,L46)</f>
        <v>0</v>
      </c>
      <c r="M46" s="87">
        <f ca="1">IF(AND(OP="11",RAMX=DEC2BIN(COLUMN(M46)-1,8),RAMY=DEC2BIN(ROW(M46)-1,8)),DATA,M46)</f>
        <v>0</v>
      </c>
      <c r="N46" s="87">
        <f ca="1">IF(AND(OP="11",RAMX=DEC2BIN(COLUMN(N46)-1,8),RAMY=DEC2BIN(ROW(N46)-1,8)),DATA,N46)</f>
        <v>0</v>
      </c>
      <c r="O46" s="87">
        <f ca="1">IF(AND(OP="11",RAMX=DEC2BIN(COLUMN(O46)-1,8),RAMY=DEC2BIN(ROW(O46)-1,8)),DATA,O46)</f>
        <v>0</v>
      </c>
      <c r="P46" s="87">
        <f ca="1">IF(AND(OP="11",RAMX=DEC2BIN(COLUMN(P46)-1,8),RAMY=DEC2BIN(ROW(P46)-1,8)),DATA,P46)</f>
        <v>0</v>
      </c>
      <c r="Q46" s="87">
        <f ca="1">IF(AND(OP="11",RAMX=DEC2BIN(COLUMN(Q46)-1,8),RAMY=DEC2BIN(ROW(Q46)-1,8)),DATA,Q46)</f>
        <v>0</v>
      </c>
      <c r="R46" s="87">
        <f ca="1">IF(AND(OP="11",RAMX=DEC2BIN(COLUMN(R46)-1,8),RAMY=DEC2BIN(ROW(R46)-1,8)),DATA,R46)</f>
        <v>0</v>
      </c>
      <c r="S46" s="87">
        <f ca="1">IF(AND(OP="11",RAMX=DEC2BIN(COLUMN(S46)-1,8),RAMY=DEC2BIN(ROW(S46)-1,8)),DATA,S46)</f>
        <v>0</v>
      </c>
      <c r="T46" s="87">
        <f ca="1">IF(AND(OP="11",RAMX=DEC2BIN(COLUMN(T46)-1,8),RAMY=DEC2BIN(ROW(T46)-1,8)),DATA,T46)</f>
        <v>0</v>
      </c>
      <c r="U46" s="87">
        <f ca="1">IF(AND(OP="11",RAMX=DEC2BIN(COLUMN(U46)-1,8),RAMY=DEC2BIN(ROW(U46)-1,8)),DATA,U46)</f>
        <v>0</v>
      </c>
      <c r="V46" s="87">
        <f ca="1">IF(AND(OP="11",RAMX=DEC2BIN(COLUMN(V46)-1,8),RAMY=DEC2BIN(ROW(V46)-1,8)),DATA,V46)</f>
        <v>0</v>
      </c>
      <c r="W46" s="87">
        <f ca="1">IF(AND(OP="11",RAMX=DEC2BIN(COLUMN(W46)-1,8),RAMY=DEC2BIN(ROW(W46)-1,8)),DATA,W46)</f>
        <v>0</v>
      </c>
      <c r="X46" s="87">
        <f ca="1">IF(AND(OP="11",RAMX=DEC2BIN(COLUMN(X46)-1,8),RAMY=DEC2BIN(ROW(X46)-1,8)),DATA,X46)</f>
        <v>0</v>
      </c>
      <c r="Y46" s="87">
        <f ca="1">IF(AND(OP="11",RAMX=DEC2BIN(COLUMN(Y46)-1,8),RAMY=DEC2BIN(ROW(Y46)-1,8)),DATA,Y46)</f>
        <v>0</v>
      </c>
      <c r="Z46" s="87">
        <f ca="1">IF(AND(OP="11",RAMX=DEC2BIN(COLUMN(Z46)-1,8),RAMY=DEC2BIN(ROW(Z46)-1,8)),DATA,Z46)</f>
        <v>0</v>
      </c>
      <c r="AA46" s="87">
        <f ca="1">IF(AND(OP="11",RAMX=DEC2BIN(COLUMN(AA46)-1,8),RAMY=DEC2BIN(ROW(AA46)-1,8)),DATA,AA46)</f>
        <v>0</v>
      </c>
      <c r="AB46" s="87">
        <f ca="1">IF(AND(OP="11",RAMX=DEC2BIN(COLUMN(AB46)-1,8),RAMY=DEC2BIN(ROW(AB46)-1,8)),DATA,AB46)</f>
        <v>0</v>
      </c>
      <c r="AC46" s="87">
        <f ca="1">IF(AND(OP="11",RAMX=DEC2BIN(COLUMN(AC46)-1,8),RAMY=DEC2BIN(ROW(AC46)-1,8)),DATA,AC46)</f>
        <v>0</v>
      </c>
      <c r="AD46" s="87">
        <f ca="1">IF(AND(OP="11",RAMX=DEC2BIN(COLUMN(AD46)-1,8),RAMY=DEC2BIN(ROW(AD46)-1,8)),DATA,AD46)</f>
        <v>0</v>
      </c>
      <c r="AE46" s="87">
        <f ca="1">IF(AND(OP="11",RAMX=DEC2BIN(COLUMN(AE46)-1,8),RAMY=DEC2BIN(ROW(AE46)-1,8)),DATA,AE46)</f>
        <v>0</v>
      </c>
      <c r="AF46" s="87">
        <f ca="1">IF(AND(OP="11",RAMX=DEC2BIN(COLUMN(AF46)-1,8),RAMY=DEC2BIN(ROW(AF46)-1,8)),DATA,AF46)</f>
        <v>0</v>
      </c>
      <c r="AG46" s="87">
        <f ca="1">IF(AND(OP="11",RAMX=DEC2BIN(COLUMN(AG46)-1,8),RAMY=DEC2BIN(ROW(AG46)-1,8)),DATA,AG46)</f>
        <v>0</v>
      </c>
      <c r="AH46" s="87">
        <f ca="1">IF(AND(OP="11",RAMX=DEC2BIN(COLUMN(AH46)-1,8),RAMY=DEC2BIN(ROW(AH46)-1,8)),DATA,AH46)</f>
        <v>0</v>
      </c>
      <c r="AI46" s="87">
        <f ca="1">IF(AND(OP="11",RAMX=DEC2BIN(COLUMN(AI46)-1,8),RAMY=DEC2BIN(ROW(AI46)-1,8)),DATA,AI46)</f>
        <v>0</v>
      </c>
      <c r="AJ46" s="87">
        <f ca="1">IF(AND(OP="11",RAMX=DEC2BIN(COLUMN(AJ46)-1,8),RAMY=DEC2BIN(ROW(AJ46)-1,8)),DATA,AJ46)</f>
        <v>0</v>
      </c>
      <c r="AK46" s="87">
        <f ca="1">IF(AND(OP="11",RAMX=DEC2BIN(COLUMN(AK46)-1,8),RAMY=DEC2BIN(ROW(AK46)-1,8)),DATA,AK46)</f>
        <v>0</v>
      </c>
      <c r="AL46" s="87">
        <f ca="1">IF(AND(OP="11",RAMX=DEC2BIN(COLUMN(AL46)-1,8),RAMY=DEC2BIN(ROW(AL46)-1,8)),DATA,AL46)</f>
        <v>0</v>
      </c>
      <c r="AM46" s="87">
        <f ca="1">IF(AND(OP="11",RAMX=DEC2BIN(COLUMN(AM46)-1,8),RAMY=DEC2BIN(ROW(AM46)-1,8)),DATA,AM46)</f>
        <v>0</v>
      </c>
      <c r="AN46" s="87">
        <f ca="1">IF(AND(OP="11",RAMX=DEC2BIN(COLUMN(AN46)-1,8),RAMY=DEC2BIN(ROW(AN46)-1,8)),DATA,AN46)</f>
        <v>0</v>
      </c>
      <c r="AO46" s="87">
        <f ca="1">IF(AND(OP="11",RAMX=DEC2BIN(COLUMN(AO46)-1,8),RAMY=DEC2BIN(ROW(AO46)-1,8)),DATA,AO46)</f>
        <v>0</v>
      </c>
      <c r="AP46" s="87">
        <f ca="1">IF(AND(OP="11",RAMX=DEC2BIN(COLUMN(AP46)-1,8),RAMY=DEC2BIN(ROW(AP46)-1,8)),DATA,AP46)</f>
        <v>0</v>
      </c>
      <c r="AQ46" s="87">
        <f ca="1">IF(AND(OP="11",RAMX=DEC2BIN(COLUMN(AQ46)-1,8),RAMY=DEC2BIN(ROW(AQ46)-1,8)),DATA,AQ46)</f>
        <v>0</v>
      </c>
      <c r="AR46" s="87">
        <f ca="1">IF(AND(OP="11",RAMX=DEC2BIN(COLUMN(AR46)-1,8),RAMY=DEC2BIN(ROW(AR46)-1,8)),DATA,AR46)</f>
        <v>0</v>
      </c>
      <c r="AS46" s="87">
        <f ca="1">IF(AND(OP="11",RAMX=DEC2BIN(COLUMN(AS46)-1,8),RAMY=DEC2BIN(ROW(AS46)-1,8)),DATA,AS46)</f>
        <v>0</v>
      </c>
      <c r="AT46" s="87">
        <f ca="1">IF(AND(OP="11",RAMX=DEC2BIN(COLUMN(AT46)-1,8),RAMY=DEC2BIN(ROW(AT46)-1,8)),DATA,AT46)</f>
        <v>0</v>
      </c>
      <c r="AU46" s="87">
        <f ca="1">IF(AND(OP="11",RAMX=DEC2BIN(COLUMN(AU46)-1,8),RAMY=DEC2BIN(ROW(AU46)-1,8)),DATA,AU46)</f>
        <v>0</v>
      </c>
      <c r="AV46" s="87">
        <f ca="1">IF(AND(OP="11",RAMX=DEC2BIN(COLUMN(AV46)-1,8),RAMY=DEC2BIN(ROW(AV46)-1,8)),DATA,AV46)</f>
        <v>0</v>
      </c>
      <c r="AW46" s="87">
        <f ca="1">IF(AND(OP="11",RAMX=DEC2BIN(COLUMN(AW46)-1,8),RAMY=DEC2BIN(ROW(AW46)-1,8)),DATA,AW46)</f>
        <v>0</v>
      </c>
      <c r="AX46" s="87">
        <f ca="1">IF(AND(OP="11",RAMX=DEC2BIN(COLUMN(AX46)-1,8),RAMY=DEC2BIN(ROW(AX46)-1,8)),DATA,AX46)</f>
        <v>0</v>
      </c>
      <c r="AY46" s="87">
        <f ca="1">IF(AND(OP="11",RAMX=DEC2BIN(COLUMN(AY46)-1,8),RAMY=DEC2BIN(ROW(AY46)-1,8)),DATA,AY46)</f>
        <v>0</v>
      </c>
      <c r="AZ46" s="87">
        <f ca="1">IF(AND(OP="11",RAMX=DEC2BIN(COLUMN(AZ46)-1,8),RAMY=DEC2BIN(ROW(AZ46)-1,8)),DATA,AZ46)</f>
        <v>0</v>
      </c>
      <c r="BA46" s="87">
        <f ca="1">IF(AND(OP="11",RAMX=DEC2BIN(COLUMN(BA46)-1,8),RAMY=DEC2BIN(ROW(BA46)-1,8)),DATA,BA46)</f>
        <v>0</v>
      </c>
      <c r="BB46" s="87">
        <f ca="1">IF(AND(OP="11",RAMX=DEC2BIN(COLUMN(BB46)-1,8),RAMY=DEC2BIN(ROW(BB46)-1,8)),DATA,BB46)</f>
        <v>0</v>
      </c>
      <c r="BC46" s="87">
        <f ca="1">IF(AND(OP="11",RAMX=DEC2BIN(COLUMN(BC46)-1,8),RAMY=DEC2BIN(ROW(BC46)-1,8)),DATA,BC46)</f>
        <v>0</v>
      </c>
      <c r="BD46" s="87">
        <f ca="1">IF(AND(OP="11",RAMX=DEC2BIN(COLUMN(BD46)-1,8),RAMY=DEC2BIN(ROW(BD46)-1,8)),DATA,BD46)</f>
        <v>0</v>
      </c>
      <c r="BE46" s="87">
        <f ca="1">IF(AND(OP="11",RAMX=DEC2BIN(COLUMN(BE46)-1,8),RAMY=DEC2BIN(ROW(BE46)-1,8)),DATA,BE46)</f>
        <v>0</v>
      </c>
      <c r="BF46" s="87">
        <f ca="1">IF(AND(OP="11",RAMX=DEC2BIN(COLUMN(BF46)-1,8),RAMY=DEC2BIN(ROW(BF46)-1,8)),DATA,BF46)</f>
        <v>0</v>
      </c>
      <c r="BG46" s="87">
        <f ca="1">IF(AND(OP="11",RAMX=DEC2BIN(COLUMN(BG46)-1,8),RAMY=DEC2BIN(ROW(BG46)-1,8)),DATA,BG46)</f>
        <v>0</v>
      </c>
      <c r="BH46" s="87">
        <f ca="1">IF(AND(OP="11",RAMX=DEC2BIN(COLUMN(BH46)-1,8),RAMY=DEC2BIN(ROW(BH46)-1,8)),DATA,BH46)</f>
        <v>0</v>
      </c>
      <c r="BI46" s="87">
        <f ca="1">IF(AND(OP="11",RAMX=DEC2BIN(COLUMN(BI46)-1,8),RAMY=DEC2BIN(ROW(BI46)-1,8)),DATA,BI46)</f>
        <v>0</v>
      </c>
      <c r="BJ46" s="87">
        <f ca="1">IF(AND(OP="11",RAMX=DEC2BIN(COLUMN(BJ46)-1,8),RAMY=DEC2BIN(ROW(BJ46)-1,8)),DATA,BJ46)</f>
        <v>0</v>
      </c>
      <c r="BK46" s="87">
        <f ca="1">IF(AND(OP="11",RAMX=DEC2BIN(COLUMN(BK46)-1,8),RAMY=DEC2BIN(ROW(BK46)-1,8)),DATA,BK46)</f>
        <v>0</v>
      </c>
      <c r="BL46" s="87">
        <f ca="1">IF(AND(OP="11",RAMX=DEC2BIN(COLUMN(BL46)-1,8),RAMY=DEC2BIN(ROW(BL46)-1,8)),DATA,BL46)</f>
        <v>0</v>
      </c>
    </row>
    <row r="47" spans="1:64" x14ac:dyDescent="0.25">
      <c r="A47" s="87">
        <f ca="1">IF(AND(OP="11",RAMX=DEC2BIN(COLUMN(A47)-1,8),RAMY=DEC2BIN(ROW(A47)-1,8)),DATA,A47)</f>
        <v>0</v>
      </c>
      <c r="B47" s="87">
        <f ca="1">IF(AND(OP="11",RAMX=DEC2BIN(COLUMN(B47)-1,8),RAMY=DEC2BIN(ROW(B47)-1,8)),DATA,B47)</f>
        <v>0</v>
      </c>
      <c r="C47" s="87">
        <f ca="1">IF(AND(OP="11",RAMX=DEC2BIN(COLUMN(C47)-1,8),RAMY=DEC2BIN(ROW(C47)-1,8)),DATA,C47)</f>
        <v>0</v>
      </c>
      <c r="D47" s="87">
        <f ca="1">IF(AND(OP="11",RAMX=DEC2BIN(COLUMN(D47)-1,8),RAMY=DEC2BIN(ROW(D47)-1,8)),DATA,D47)</f>
        <v>0</v>
      </c>
      <c r="E47" s="87">
        <f ca="1">IF(AND(OP="11",RAMX=DEC2BIN(COLUMN(E47)-1,8),RAMY=DEC2BIN(ROW(E47)-1,8)),DATA,E47)</f>
        <v>0</v>
      </c>
      <c r="F47" s="87">
        <f ca="1">IF(AND(OP="11",RAMX=DEC2BIN(COLUMN(F47)-1,8),RAMY=DEC2BIN(ROW(F47)-1,8)),DATA,F47)</f>
        <v>0</v>
      </c>
      <c r="G47" s="87">
        <f ca="1">IF(AND(OP="11",RAMX=DEC2BIN(COLUMN(G47)-1,8),RAMY=DEC2BIN(ROW(G47)-1,8)),DATA,G47)</f>
        <v>0</v>
      </c>
      <c r="H47" s="87">
        <f ca="1">IF(AND(OP="11",RAMX=DEC2BIN(COLUMN(H47)-1,8),RAMY=DEC2BIN(ROW(H47)-1,8)),DATA,H47)</f>
        <v>0</v>
      </c>
      <c r="I47" s="87">
        <f ca="1">IF(AND(OP="11",RAMX=DEC2BIN(COLUMN(I47)-1,8),RAMY=DEC2BIN(ROW(I47)-1,8)),DATA,I47)</f>
        <v>0</v>
      </c>
      <c r="J47" s="87">
        <f ca="1">IF(AND(OP="11",RAMX=DEC2BIN(COLUMN(J47)-1,8),RAMY=DEC2BIN(ROW(J47)-1,8)),DATA,J47)</f>
        <v>0</v>
      </c>
      <c r="K47" s="87">
        <f ca="1">IF(AND(OP="11",RAMX=DEC2BIN(COLUMN(K47)-1,8),RAMY=DEC2BIN(ROW(K47)-1,8)),DATA,K47)</f>
        <v>0</v>
      </c>
      <c r="L47" s="87">
        <f ca="1">IF(AND(OP="11",RAMX=DEC2BIN(COLUMN(L47)-1,8),RAMY=DEC2BIN(ROW(L47)-1,8)),DATA,L47)</f>
        <v>0</v>
      </c>
      <c r="M47" s="87">
        <f ca="1">IF(AND(OP="11",RAMX=DEC2BIN(COLUMN(M47)-1,8),RAMY=DEC2BIN(ROW(M47)-1,8)),DATA,M47)</f>
        <v>0</v>
      </c>
      <c r="N47" s="87">
        <f ca="1">IF(AND(OP="11",RAMX=DEC2BIN(COLUMN(N47)-1,8),RAMY=DEC2BIN(ROW(N47)-1,8)),DATA,N47)</f>
        <v>0</v>
      </c>
      <c r="O47" s="87">
        <f ca="1">IF(AND(OP="11",RAMX=DEC2BIN(COLUMN(O47)-1,8),RAMY=DEC2BIN(ROW(O47)-1,8)),DATA,O47)</f>
        <v>0</v>
      </c>
      <c r="P47" s="87">
        <f ca="1">IF(AND(OP="11",RAMX=DEC2BIN(COLUMN(P47)-1,8),RAMY=DEC2BIN(ROW(P47)-1,8)),DATA,P47)</f>
        <v>0</v>
      </c>
      <c r="Q47" s="87">
        <f ca="1">IF(AND(OP="11",RAMX=DEC2BIN(COLUMN(Q47)-1,8),RAMY=DEC2BIN(ROW(Q47)-1,8)),DATA,Q47)</f>
        <v>0</v>
      </c>
      <c r="R47" s="87">
        <f ca="1">IF(AND(OP="11",RAMX=DEC2BIN(COLUMN(R47)-1,8),RAMY=DEC2BIN(ROW(R47)-1,8)),DATA,R47)</f>
        <v>0</v>
      </c>
      <c r="S47" s="87">
        <f ca="1">IF(AND(OP="11",RAMX=DEC2BIN(COLUMN(S47)-1,8),RAMY=DEC2BIN(ROW(S47)-1,8)),DATA,S47)</f>
        <v>0</v>
      </c>
      <c r="T47" s="87">
        <f ca="1">IF(AND(OP="11",RAMX=DEC2BIN(COLUMN(T47)-1,8),RAMY=DEC2BIN(ROW(T47)-1,8)),DATA,T47)</f>
        <v>0</v>
      </c>
      <c r="U47" s="87">
        <f ca="1">IF(AND(OP="11",RAMX=DEC2BIN(COLUMN(U47)-1,8),RAMY=DEC2BIN(ROW(U47)-1,8)),DATA,U47)</f>
        <v>0</v>
      </c>
      <c r="V47" s="87">
        <f ca="1">IF(AND(OP="11",RAMX=DEC2BIN(COLUMN(V47)-1,8),RAMY=DEC2BIN(ROW(V47)-1,8)),DATA,V47)</f>
        <v>0</v>
      </c>
      <c r="W47" s="87">
        <f ca="1">IF(AND(OP="11",RAMX=DEC2BIN(COLUMN(W47)-1,8),RAMY=DEC2BIN(ROW(W47)-1,8)),DATA,W47)</f>
        <v>0</v>
      </c>
      <c r="X47" s="87">
        <f ca="1">IF(AND(OP="11",RAMX=DEC2BIN(COLUMN(X47)-1,8),RAMY=DEC2BIN(ROW(X47)-1,8)),DATA,X47)</f>
        <v>0</v>
      </c>
      <c r="Y47" s="87">
        <f ca="1">IF(AND(OP="11",RAMX=DEC2BIN(COLUMN(Y47)-1,8),RAMY=DEC2BIN(ROW(Y47)-1,8)),DATA,Y47)</f>
        <v>0</v>
      </c>
      <c r="Z47" s="87">
        <f ca="1">IF(AND(OP="11",RAMX=DEC2BIN(COLUMN(Z47)-1,8),RAMY=DEC2BIN(ROW(Z47)-1,8)),DATA,Z47)</f>
        <v>0</v>
      </c>
      <c r="AA47" s="87">
        <f ca="1">IF(AND(OP="11",RAMX=DEC2BIN(COLUMN(AA47)-1,8),RAMY=DEC2BIN(ROW(AA47)-1,8)),DATA,AA47)</f>
        <v>0</v>
      </c>
      <c r="AB47" s="87">
        <f ca="1">IF(AND(OP="11",RAMX=DEC2BIN(COLUMN(AB47)-1,8),RAMY=DEC2BIN(ROW(AB47)-1,8)),DATA,AB47)</f>
        <v>0</v>
      </c>
      <c r="AC47" s="87">
        <f ca="1">IF(AND(OP="11",RAMX=DEC2BIN(COLUMN(AC47)-1,8),RAMY=DEC2BIN(ROW(AC47)-1,8)),DATA,AC47)</f>
        <v>0</v>
      </c>
      <c r="AD47" s="87">
        <f ca="1">IF(AND(OP="11",RAMX=DEC2BIN(COLUMN(AD47)-1,8),RAMY=DEC2BIN(ROW(AD47)-1,8)),DATA,AD47)</f>
        <v>0</v>
      </c>
      <c r="AE47" s="87">
        <f ca="1">IF(AND(OP="11",RAMX=DEC2BIN(COLUMN(AE47)-1,8),RAMY=DEC2BIN(ROW(AE47)-1,8)),DATA,AE47)</f>
        <v>0</v>
      </c>
      <c r="AF47" s="87">
        <f ca="1">IF(AND(OP="11",RAMX=DEC2BIN(COLUMN(AF47)-1,8),RAMY=DEC2BIN(ROW(AF47)-1,8)),DATA,AF47)</f>
        <v>0</v>
      </c>
      <c r="AG47" s="87">
        <f ca="1">IF(AND(OP="11",RAMX=DEC2BIN(COLUMN(AG47)-1,8),RAMY=DEC2BIN(ROW(AG47)-1,8)),DATA,AG47)</f>
        <v>0</v>
      </c>
      <c r="AH47" s="87">
        <f ca="1">IF(AND(OP="11",RAMX=DEC2BIN(COLUMN(AH47)-1,8),RAMY=DEC2BIN(ROW(AH47)-1,8)),DATA,AH47)</f>
        <v>0</v>
      </c>
      <c r="AI47" s="87">
        <f ca="1">IF(AND(OP="11",RAMX=DEC2BIN(COLUMN(AI47)-1,8),RAMY=DEC2BIN(ROW(AI47)-1,8)),DATA,AI47)</f>
        <v>0</v>
      </c>
      <c r="AJ47" s="87">
        <f ca="1">IF(AND(OP="11",RAMX=DEC2BIN(COLUMN(AJ47)-1,8),RAMY=DEC2BIN(ROW(AJ47)-1,8)),DATA,AJ47)</f>
        <v>0</v>
      </c>
      <c r="AK47" s="87">
        <f ca="1">IF(AND(OP="11",RAMX=DEC2BIN(COLUMN(AK47)-1,8),RAMY=DEC2BIN(ROW(AK47)-1,8)),DATA,AK47)</f>
        <v>0</v>
      </c>
      <c r="AL47" s="87">
        <f ca="1">IF(AND(OP="11",RAMX=DEC2BIN(COLUMN(AL47)-1,8),RAMY=DEC2BIN(ROW(AL47)-1,8)),DATA,AL47)</f>
        <v>0</v>
      </c>
      <c r="AM47" s="87">
        <f ca="1">IF(AND(OP="11",RAMX=DEC2BIN(COLUMN(AM47)-1,8),RAMY=DEC2BIN(ROW(AM47)-1,8)),DATA,AM47)</f>
        <v>0</v>
      </c>
      <c r="AN47" s="87">
        <f ca="1">IF(AND(OP="11",RAMX=DEC2BIN(COLUMN(AN47)-1,8),RAMY=DEC2BIN(ROW(AN47)-1,8)),DATA,AN47)</f>
        <v>0</v>
      </c>
      <c r="AO47" s="87">
        <f ca="1">IF(AND(OP="11",RAMX=DEC2BIN(COLUMN(AO47)-1,8),RAMY=DEC2BIN(ROW(AO47)-1,8)),DATA,AO47)</f>
        <v>0</v>
      </c>
      <c r="AP47" s="87">
        <f ca="1">IF(AND(OP="11",RAMX=DEC2BIN(COLUMN(AP47)-1,8),RAMY=DEC2BIN(ROW(AP47)-1,8)),DATA,AP47)</f>
        <v>0</v>
      </c>
      <c r="AQ47" s="87">
        <f ca="1">IF(AND(OP="11",RAMX=DEC2BIN(COLUMN(AQ47)-1,8),RAMY=DEC2BIN(ROW(AQ47)-1,8)),DATA,AQ47)</f>
        <v>0</v>
      </c>
      <c r="AR47" s="87">
        <f ca="1">IF(AND(OP="11",RAMX=DEC2BIN(COLUMN(AR47)-1,8),RAMY=DEC2BIN(ROW(AR47)-1,8)),DATA,AR47)</f>
        <v>0</v>
      </c>
      <c r="AS47" s="87">
        <f ca="1">IF(AND(OP="11",RAMX=DEC2BIN(COLUMN(AS47)-1,8),RAMY=DEC2BIN(ROW(AS47)-1,8)),DATA,AS47)</f>
        <v>0</v>
      </c>
      <c r="AT47" s="87">
        <f ca="1">IF(AND(OP="11",RAMX=DEC2BIN(COLUMN(AT47)-1,8),RAMY=DEC2BIN(ROW(AT47)-1,8)),DATA,AT47)</f>
        <v>0</v>
      </c>
      <c r="AU47" s="87">
        <f ca="1">IF(AND(OP="11",RAMX=DEC2BIN(COLUMN(AU47)-1,8),RAMY=DEC2BIN(ROW(AU47)-1,8)),DATA,AU47)</f>
        <v>0</v>
      </c>
      <c r="AV47" s="87">
        <f ca="1">IF(AND(OP="11",RAMX=DEC2BIN(COLUMN(AV47)-1,8),RAMY=DEC2BIN(ROW(AV47)-1,8)),DATA,AV47)</f>
        <v>0</v>
      </c>
      <c r="AW47" s="87">
        <f ca="1">IF(AND(OP="11",RAMX=DEC2BIN(COLUMN(AW47)-1,8),RAMY=DEC2BIN(ROW(AW47)-1,8)),DATA,AW47)</f>
        <v>0</v>
      </c>
      <c r="AX47" s="87">
        <f ca="1">IF(AND(OP="11",RAMX=DEC2BIN(COLUMN(AX47)-1,8),RAMY=DEC2BIN(ROW(AX47)-1,8)),DATA,AX47)</f>
        <v>0</v>
      </c>
      <c r="AY47" s="87">
        <f ca="1">IF(AND(OP="11",RAMX=DEC2BIN(COLUMN(AY47)-1,8),RAMY=DEC2BIN(ROW(AY47)-1,8)),DATA,AY47)</f>
        <v>0</v>
      </c>
      <c r="AZ47" s="87">
        <f ca="1">IF(AND(OP="11",RAMX=DEC2BIN(COLUMN(AZ47)-1,8),RAMY=DEC2BIN(ROW(AZ47)-1,8)),DATA,AZ47)</f>
        <v>0</v>
      </c>
      <c r="BA47" s="87">
        <f ca="1">IF(AND(OP="11",RAMX=DEC2BIN(COLUMN(BA47)-1,8),RAMY=DEC2BIN(ROW(BA47)-1,8)),DATA,BA47)</f>
        <v>0</v>
      </c>
      <c r="BB47" s="87">
        <f ca="1">IF(AND(OP="11",RAMX=DEC2BIN(COLUMN(BB47)-1,8),RAMY=DEC2BIN(ROW(BB47)-1,8)),DATA,BB47)</f>
        <v>0</v>
      </c>
      <c r="BC47" s="87">
        <f ca="1">IF(AND(OP="11",RAMX=DEC2BIN(COLUMN(BC47)-1,8),RAMY=DEC2BIN(ROW(BC47)-1,8)),DATA,BC47)</f>
        <v>0</v>
      </c>
      <c r="BD47" s="87">
        <f ca="1">IF(AND(OP="11",RAMX=DEC2BIN(COLUMN(BD47)-1,8),RAMY=DEC2BIN(ROW(BD47)-1,8)),DATA,BD47)</f>
        <v>0</v>
      </c>
      <c r="BE47" s="87">
        <f ca="1">IF(AND(OP="11",RAMX=DEC2BIN(COLUMN(BE47)-1,8),RAMY=DEC2BIN(ROW(BE47)-1,8)),DATA,BE47)</f>
        <v>0</v>
      </c>
      <c r="BF47" s="87">
        <f ca="1">IF(AND(OP="11",RAMX=DEC2BIN(COLUMN(BF47)-1,8),RAMY=DEC2BIN(ROW(BF47)-1,8)),DATA,BF47)</f>
        <v>0</v>
      </c>
      <c r="BG47" s="87">
        <f ca="1">IF(AND(OP="11",RAMX=DEC2BIN(COLUMN(BG47)-1,8),RAMY=DEC2BIN(ROW(BG47)-1,8)),DATA,BG47)</f>
        <v>0</v>
      </c>
      <c r="BH47" s="87">
        <f ca="1">IF(AND(OP="11",RAMX=DEC2BIN(COLUMN(BH47)-1,8),RAMY=DEC2BIN(ROW(BH47)-1,8)),DATA,BH47)</f>
        <v>0</v>
      </c>
      <c r="BI47" s="87">
        <f ca="1">IF(AND(OP="11",RAMX=DEC2BIN(COLUMN(BI47)-1,8),RAMY=DEC2BIN(ROW(BI47)-1,8)),DATA,BI47)</f>
        <v>0</v>
      </c>
      <c r="BJ47" s="87">
        <f ca="1">IF(AND(OP="11",RAMX=DEC2BIN(COLUMN(BJ47)-1,8),RAMY=DEC2BIN(ROW(BJ47)-1,8)),DATA,BJ47)</f>
        <v>0</v>
      </c>
      <c r="BK47" s="87">
        <f ca="1">IF(AND(OP="11",RAMX=DEC2BIN(COLUMN(BK47)-1,8),RAMY=DEC2BIN(ROW(BK47)-1,8)),DATA,BK47)</f>
        <v>0</v>
      </c>
      <c r="BL47" s="87">
        <f ca="1">IF(AND(OP="11",RAMX=DEC2BIN(COLUMN(BL47)-1,8),RAMY=DEC2BIN(ROW(BL47)-1,8)),DATA,BL47)</f>
        <v>0</v>
      </c>
    </row>
    <row r="48" spans="1:64" x14ac:dyDescent="0.25">
      <c r="A48" s="87">
        <f ca="1">IF(AND(OP="11",RAMX=DEC2BIN(COLUMN(A48)-1,8),RAMY=DEC2BIN(ROW(A48)-1,8)),DATA,A48)</f>
        <v>0</v>
      </c>
      <c r="B48" s="87">
        <f ca="1">IF(AND(OP="11",RAMX=DEC2BIN(COLUMN(B48)-1,8),RAMY=DEC2BIN(ROW(B48)-1,8)),DATA,B48)</f>
        <v>0</v>
      </c>
      <c r="C48" s="87">
        <f ca="1">IF(AND(OP="11",RAMX=DEC2BIN(COLUMN(C48)-1,8),RAMY=DEC2BIN(ROW(C48)-1,8)),DATA,C48)</f>
        <v>0</v>
      </c>
      <c r="D48" s="87">
        <f ca="1">IF(AND(OP="11",RAMX=DEC2BIN(COLUMN(D48)-1,8),RAMY=DEC2BIN(ROW(D48)-1,8)),DATA,D48)</f>
        <v>0</v>
      </c>
      <c r="E48" s="87">
        <f ca="1">IF(AND(OP="11",RAMX=DEC2BIN(COLUMN(E48)-1,8),RAMY=DEC2BIN(ROW(E48)-1,8)),DATA,E48)</f>
        <v>0</v>
      </c>
      <c r="F48" s="87">
        <f ca="1">IF(AND(OP="11",RAMX=DEC2BIN(COLUMN(F48)-1,8),RAMY=DEC2BIN(ROW(F48)-1,8)),DATA,F48)</f>
        <v>0</v>
      </c>
      <c r="G48" s="87">
        <f ca="1">IF(AND(OP="11",RAMX=DEC2BIN(COLUMN(G48)-1,8),RAMY=DEC2BIN(ROW(G48)-1,8)),DATA,G48)</f>
        <v>0</v>
      </c>
      <c r="H48" s="87">
        <f ca="1">IF(AND(OP="11",RAMX=DEC2BIN(COLUMN(H48)-1,8),RAMY=DEC2BIN(ROW(H48)-1,8)),DATA,H48)</f>
        <v>0</v>
      </c>
      <c r="I48" s="87">
        <f ca="1">IF(AND(OP="11",RAMX=DEC2BIN(COLUMN(I48)-1,8),RAMY=DEC2BIN(ROW(I48)-1,8)),DATA,I48)</f>
        <v>0</v>
      </c>
      <c r="J48" s="87">
        <f ca="1">IF(AND(OP="11",RAMX=DEC2BIN(COLUMN(J48)-1,8),RAMY=DEC2BIN(ROW(J48)-1,8)),DATA,J48)</f>
        <v>0</v>
      </c>
      <c r="K48" s="87">
        <f ca="1">IF(AND(OP="11",RAMX=DEC2BIN(COLUMN(K48)-1,8),RAMY=DEC2BIN(ROW(K48)-1,8)),DATA,K48)</f>
        <v>0</v>
      </c>
      <c r="L48" s="87">
        <f ca="1">IF(AND(OP="11",RAMX=DEC2BIN(COLUMN(L48)-1,8),RAMY=DEC2BIN(ROW(L48)-1,8)),DATA,L48)</f>
        <v>0</v>
      </c>
      <c r="M48" s="87">
        <f ca="1">IF(AND(OP="11",RAMX=DEC2BIN(COLUMN(M48)-1,8),RAMY=DEC2BIN(ROW(M48)-1,8)),DATA,M48)</f>
        <v>0</v>
      </c>
      <c r="N48" s="87">
        <f ca="1">IF(AND(OP="11",RAMX=DEC2BIN(COLUMN(N48)-1,8),RAMY=DEC2BIN(ROW(N48)-1,8)),DATA,N48)</f>
        <v>0</v>
      </c>
      <c r="O48" s="87">
        <f ca="1">IF(AND(OP="11",RAMX=DEC2BIN(COLUMN(O48)-1,8),RAMY=DEC2BIN(ROW(O48)-1,8)),DATA,O48)</f>
        <v>0</v>
      </c>
      <c r="P48" s="87">
        <f ca="1">IF(AND(OP="11",RAMX=DEC2BIN(COLUMN(P48)-1,8),RAMY=DEC2BIN(ROW(P48)-1,8)),DATA,P48)</f>
        <v>0</v>
      </c>
      <c r="Q48" s="87">
        <f ca="1">IF(AND(OP="11",RAMX=DEC2BIN(COLUMN(Q48)-1,8),RAMY=DEC2BIN(ROW(Q48)-1,8)),DATA,Q48)</f>
        <v>0</v>
      </c>
      <c r="R48" s="87">
        <f ca="1">IF(AND(OP="11",RAMX=DEC2BIN(COLUMN(R48)-1,8),RAMY=DEC2BIN(ROW(R48)-1,8)),DATA,R48)</f>
        <v>0</v>
      </c>
      <c r="S48" s="87">
        <f ca="1">IF(AND(OP="11",RAMX=DEC2BIN(COLUMN(S48)-1,8),RAMY=DEC2BIN(ROW(S48)-1,8)),DATA,S48)</f>
        <v>0</v>
      </c>
      <c r="T48" s="87">
        <f ca="1">IF(AND(OP="11",RAMX=DEC2BIN(COLUMN(T48)-1,8),RAMY=DEC2BIN(ROW(T48)-1,8)),DATA,T48)</f>
        <v>0</v>
      </c>
      <c r="U48" s="87">
        <f ca="1">IF(AND(OP="11",RAMX=DEC2BIN(COLUMN(U48)-1,8),RAMY=DEC2BIN(ROW(U48)-1,8)),DATA,U48)</f>
        <v>0</v>
      </c>
      <c r="V48" s="87">
        <f ca="1">IF(AND(OP="11",RAMX=DEC2BIN(COLUMN(V48)-1,8),RAMY=DEC2BIN(ROW(V48)-1,8)),DATA,V48)</f>
        <v>0</v>
      </c>
      <c r="W48" s="87">
        <f ca="1">IF(AND(OP="11",RAMX=DEC2BIN(COLUMN(W48)-1,8),RAMY=DEC2BIN(ROW(W48)-1,8)),DATA,W48)</f>
        <v>0</v>
      </c>
      <c r="X48" s="87">
        <f ca="1">IF(AND(OP="11",RAMX=DEC2BIN(COLUMN(X48)-1,8),RAMY=DEC2BIN(ROW(X48)-1,8)),DATA,X48)</f>
        <v>0</v>
      </c>
      <c r="Y48" s="87">
        <f ca="1">IF(AND(OP="11",RAMX=DEC2BIN(COLUMN(Y48)-1,8),RAMY=DEC2BIN(ROW(Y48)-1,8)),DATA,Y48)</f>
        <v>0</v>
      </c>
      <c r="Z48" s="87">
        <f ca="1">IF(AND(OP="11",RAMX=DEC2BIN(COLUMN(Z48)-1,8),RAMY=DEC2BIN(ROW(Z48)-1,8)),DATA,Z48)</f>
        <v>0</v>
      </c>
      <c r="AA48" s="87">
        <f ca="1">IF(AND(OP="11",RAMX=DEC2BIN(COLUMN(AA48)-1,8),RAMY=DEC2BIN(ROW(AA48)-1,8)),DATA,AA48)</f>
        <v>0</v>
      </c>
      <c r="AB48" s="87">
        <f ca="1">IF(AND(OP="11",RAMX=DEC2BIN(COLUMN(AB48)-1,8),RAMY=DEC2BIN(ROW(AB48)-1,8)),DATA,AB48)</f>
        <v>0</v>
      </c>
      <c r="AC48" s="87">
        <f ca="1">IF(AND(OP="11",RAMX=DEC2BIN(COLUMN(AC48)-1,8),RAMY=DEC2BIN(ROW(AC48)-1,8)),DATA,AC48)</f>
        <v>0</v>
      </c>
      <c r="AD48" s="87">
        <f ca="1">IF(AND(OP="11",RAMX=DEC2BIN(COLUMN(AD48)-1,8),RAMY=DEC2BIN(ROW(AD48)-1,8)),DATA,AD48)</f>
        <v>0</v>
      </c>
      <c r="AE48" s="87">
        <f ca="1">IF(AND(OP="11",RAMX=DEC2BIN(COLUMN(AE48)-1,8),RAMY=DEC2BIN(ROW(AE48)-1,8)),DATA,AE48)</f>
        <v>0</v>
      </c>
      <c r="AF48" s="87">
        <f ca="1">IF(AND(OP="11",RAMX=DEC2BIN(COLUMN(AF48)-1,8),RAMY=DEC2BIN(ROW(AF48)-1,8)),DATA,AF48)</f>
        <v>0</v>
      </c>
      <c r="AG48" s="87">
        <f ca="1">IF(AND(OP="11",RAMX=DEC2BIN(COLUMN(AG48)-1,8),RAMY=DEC2BIN(ROW(AG48)-1,8)),DATA,AG48)</f>
        <v>0</v>
      </c>
      <c r="AH48" s="87">
        <f ca="1">IF(AND(OP="11",RAMX=DEC2BIN(COLUMN(AH48)-1,8),RAMY=DEC2BIN(ROW(AH48)-1,8)),DATA,AH48)</f>
        <v>0</v>
      </c>
      <c r="AI48" s="87">
        <f ca="1">IF(AND(OP="11",RAMX=DEC2BIN(COLUMN(AI48)-1,8),RAMY=DEC2BIN(ROW(AI48)-1,8)),DATA,AI48)</f>
        <v>0</v>
      </c>
      <c r="AJ48" s="87">
        <f ca="1">IF(AND(OP="11",RAMX=DEC2BIN(COLUMN(AJ48)-1,8),RAMY=DEC2BIN(ROW(AJ48)-1,8)),DATA,AJ48)</f>
        <v>0</v>
      </c>
      <c r="AK48" s="87">
        <f ca="1">IF(AND(OP="11",RAMX=DEC2BIN(COLUMN(AK48)-1,8),RAMY=DEC2BIN(ROW(AK48)-1,8)),DATA,AK48)</f>
        <v>0</v>
      </c>
      <c r="AL48" s="87">
        <f ca="1">IF(AND(OP="11",RAMX=DEC2BIN(COLUMN(AL48)-1,8),RAMY=DEC2BIN(ROW(AL48)-1,8)),DATA,AL48)</f>
        <v>0</v>
      </c>
      <c r="AM48" s="87">
        <f ca="1">IF(AND(OP="11",RAMX=DEC2BIN(COLUMN(AM48)-1,8),RAMY=DEC2BIN(ROW(AM48)-1,8)),DATA,AM48)</f>
        <v>0</v>
      </c>
      <c r="AN48" s="87">
        <f ca="1">IF(AND(OP="11",RAMX=DEC2BIN(COLUMN(AN48)-1,8),RAMY=DEC2BIN(ROW(AN48)-1,8)),DATA,AN48)</f>
        <v>0</v>
      </c>
      <c r="AO48" s="87">
        <f ca="1">IF(AND(OP="11",RAMX=DEC2BIN(COLUMN(AO48)-1,8),RAMY=DEC2BIN(ROW(AO48)-1,8)),DATA,AO48)</f>
        <v>0</v>
      </c>
      <c r="AP48" s="87">
        <f ca="1">IF(AND(OP="11",RAMX=DEC2BIN(COLUMN(AP48)-1,8),RAMY=DEC2BIN(ROW(AP48)-1,8)),DATA,AP48)</f>
        <v>0</v>
      </c>
      <c r="AQ48" s="87">
        <f ca="1">IF(AND(OP="11",RAMX=DEC2BIN(COLUMN(AQ48)-1,8),RAMY=DEC2BIN(ROW(AQ48)-1,8)),DATA,AQ48)</f>
        <v>0</v>
      </c>
      <c r="AR48" s="87">
        <f ca="1">IF(AND(OP="11",RAMX=DEC2BIN(COLUMN(AR48)-1,8),RAMY=DEC2BIN(ROW(AR48)-1,8)),DATA,AR48)</f>
        <v>0</v>
      </c>
      <c r="AS48" s="87">
        <f ca="1">IF(AND(OP="11",RAMX=DEC2BIN(COLUMN(AS48)-1,8),RAMY=DEC2BIN(ROW(AS48)-1,8)),DATA,AS48)</f>
        <v>0</v>
      </c>
      <c r="AT48" s="87">
        <f ca="1">IF(AND(OP="11",RAMX=DEC2BIN(COLUMN(AT48)-1,8),RAMY=DEC2BIN(ROW(AT48)-1,8)),DATA,AT48)</f>
        <v>0</v>
      </c>
      <c r="AU48" s="87">
        <f ca="1">IF(AND(OP="11",RAMX=DEC2BIN(COLUMN(AU48)-1,8),RAMY=DEC2BIN(ROW(AU48)-1,8)),DATA,AU48)</f>
        <v>0</v>
      </c>
      <c r="AV48" s="87">
        <f ca="1">IF(AND(OP="11",RAMX=DEC2BIN(COLUMN(AV48)-1,8),RAMY=DEC2BIN(ROW(AV48)-1,8)),DATA,AV48)</f>
        <v>0</v>
      </c>
      <c r="AW48" s="87">
        <f ca="1">IF(AND(OP="11",RAMX=DEC2BIN(COLUMN(AW48)-1,8),RAMY=DEC2BIN(ROW(AW48)-1,8)),DATA,AW48)</f>
        <v>0</v>
      </c>
      <c r="AX48" s="87">
        <f ca="1">IF(AND(OP="11",RAMX=DEC2BIN(COLUMN(AX48)-1,8),RAMY=DEC2BIN(ROW(AX48)-1,8)),DATA,AX48)</f>
        <v>0</v>
      </c>
      <c r="AY48" s="87">
        <f ca="1">IF(AND(OP="11",RAMX=DEC2BIN(COLUMN(AY48)-1,8),RAMY=DEC2BIN(ROW(AY48)-1,8)),DATA,AY48)</f>
        <v>0</v>
      </c>
      <c r="AZ48" s="87">
        <f ca="1">IF(AND(OP="11",RAMX=DEC2BIN(COLUMN(AZ48)-1,8),RAMY=DEC2BIN(ROW(AZ48)-1,8)),DATA,AZ48)</f>
        <v>0</v>
      </c>
      <c r="BA48" s="87">
        <f ca="1">IF(AND(OP="11",RAMX=DEC2BIN(COLUMN(BA48)-1,8),RAMY=DEC2BIN(ROW(BA48)-1,8)),DATA,BA48)</f>
        <v>0</v>
      </c>
      <c r="BB48" s="87">
        <f ca="1">IF(AND(OP="11",RAMX=DEC2BIN(COLUMN(BB48)-1,8),RAMY=DEC2BIN(ROW(BB48)-1,8)),DATA,BB48)</f>
        <v>0</v>
      </c>
      <c r="BC48" s="87">
        <f ca="1">IF(AND(OP="11",RAMX=DEC2BIN(COLUMN(BC48)-1,8),RAMY=DEC2BIN(ROW(BC48)-1,8)),DATA,BC48)</f>
        <v>0</v>
      </c>
      <c r="BD48" s="87">
        <f ca="1">IF(AND(OP="11",RAMX=DEC2BIN(COLUMN(BD48)-1,8),RAMY=DEC2BIN(ROW(BD48)-1,8)),DATA,BD48)</f>
        <v>0</v>
      </c>
      <c r="BE48" s="87">
        <f ca="1">IF(AND(OP="11",RAMX=DEC2BIN(COLUMN(BE48)-1,8),RAMY=DEC2BIN(ROW(BE48)-1,8)),DATA,BE48)</f>
        <v>0</v>
      </c>
      <c r="BF48" s="87">
        <f ca="1">IF(AND(OP="11",RAMX=DEC2BIN(COLUMN(BF48)-1,8),RAMY=DEC2BIN(ROW(BF48)-1,8)),DATA,BF48)</f>
        <v>0</v>
      </c>
      <c r="BG48" s="87">
        <f ca="1">IF(AND(OP="11",RAMX=DEC2BIN(COLUMN(BG48)-1,8),RAMY=DEC2BIN(ROW(BG48)-1,8)),DATA,BG48)</f>
        <v>0</v>
      </c>
      <c r="BH48" s="87">
        <f ca="1">IF(AND(OP="11",RAMX=DEC2BIN(COLUMN(BH48)-1,8),RAMY=DEC2BIN(ROW(BH48)-1,8)),DATA,BH48)</f>
        <v>0</v>
      </c>
      <c r="BI48" s="87">
        <f ca="1">IF(AND(OP="11",RAMX=DEC2BIN(COLUMN(BI48)-1,8),RAMY=DEC2BIN(ROW(BI48)-1,8)),DATA,BI48)</f>
        <v>0</v>
      </c>
      <c r="BJ48" s="87">
        <f ca="1">IF(AND(OP="11",RAMX=DEC2BIN(COLUMN(BJ48)-1,8),RAMY=DEC2BIN(ROW(BJ48)-1,8)),DATA,BJ48)</f>
        <v>0</v>
      </c>
      <c r="BK48" s="87">
        <f ca="1">IF(AND(OP="11",RAMX=DEC2BIN(COLUMN(BK48)-1,8),RAMY=DEC2BIN(ROW(BK48)-1,8)),DATA,BK48)</f>
        <v>0</v>
      </c>
      <c r="BL48" s="87">
        <f ca="1">IF(AND(OP="11",RAMX=DEC2BIN(COLUMN(BL48)-1,8),RAMY=DEC2BIN(ROW(BL48)-1,8)),DATA,BL48)</f>
        <v>0</v>
      </c>
    </row>
    <row r="49" spans="1:64" x14ac:dyDescent="0.25">
      <c r="A49" s="87">
        <f ca="1">IF(AND(OP="11",RAMX=DEC2BIN(COLUMN(A49)-1,8),RAMY=DEC2BIN(ROW(A49)-1,8)),DATA,A49)</f>
        <v>0</v>
      </c>
      <c r="B49" s="87">
        <f ca="1">IF(AND(OP="11",RAMX=DEC2BIN(COLUMN(B49)-1,8),RAMY=DEC2BIN(ROW(B49)-1,8)),DATA,B49)</f>
        <v>0</v>
      </c>
      <c r="C49" s="87">
        <f ca="1">IF(AND(OP="11",RAMX=DEC2BIN(COLUMN(C49)-1,8),RAMY=DEC2BIN(ROW(C49)-1,8)),DATA,C49)</f>
        <v>0</v>
      </c>
      <c r="D49" s="87">
        <f ca="1">IF(AND(OP="11",RAMX=DEC2BIN(COLUMN(D49)-1,8),RAMY=DEC2BIN(ROW(D49)-1,8)),DATA,D49)</f>
        <v>0</v>
      </c>
      <c r="E49" s="87">
        <f ca="1">IF(AND(OP="11",RAMX=DEC2BIN(COLUMN(E49)-1,8),RAMY=DEC2BIN(ROW(E49)-1,8)),DATA,E49)</f>
        <v>0</v>
      </c>
      <c r="F49" s="87">
        <f ca="1">IF(AND(OP="11",RAMX=DEC2BIN(COLUMN(F49)-1,8),RAMY=DEC2BIN(ROW(F49)-1,8)),DATA,F49)</f>
        <v>0</v>
      </c>
      <c r="G49" s="87">
        <f ca="1">IF(AND(OP="11",RAMX=DEC2BIN(COLUMN(G49)-1,8),RAMY=DEC2BIN(ROW(G49)-1,8)),DATA,G49)</f>
        <v>0</v>
      </c>
      <c r="H49" s="87">
        <f ca="1">IF(AND(OP="11",RAMX=DEC2BIN(COLUMN(H49)-1,8),RAMY=DEC2BIN(ROW(H49)-1,8)),DATA,H49)</f>
        <v>0</v>
      </c>
      <c r="I49" s="87">
        <f ca="1">IF(AND(OP="11",RAMX=DEC2BIN(COLUMN(I49)-1,8),RAMY=DEC2BIN(ROW(I49)-1,8)),DATA,I49)</f>
        <v>0</v>
      </c>
      <c r="J49" s="87">
        <f ca="1">IF(AND(OP="11",RAMX=DEC2BIN(COLUMN(J49)-1,8),RAMY=DEC2BIN(ROW(J49)-1,8)),DATA,J49)</f>
        <v>0</v>
      </c>
      <c r="K49" s="87">
        <f ca="1">IF(AND(OP="11",RAMX=DEC2BIN(COLUMN(K49)-1,8),RAMY=DEC2BIN(ROW(K49)-1,8)),DATA,K49)</f>
        <v>0</v>
      </c>
      <c r="L49" s="87">
        <f ca="1">IF(AND(OP="11",RAMX=DEC2BIN(COLUMN(L49)-1,8),RAMY=DEC2BIN(ROW(L49)-1,8)),DATA,L49)</f>
        <v>0</v>
      </c>
      <c r="M49" s="87">
        <f ca="1">IF(AND(OP="11",RAMX=DEC2BIN(COLUMN(M49)-1,8),RAMY=DEC2BIN(ROW(M49)-1,8)),DATA,M49)</f>
        <v>0</v>
      </c>
      <c r="N49" s="87">
        <f ca="1">IF(AND(OP="11",RAMX=DEC2BIN(COLUMN(N49)-1,8),RAMY=DEC2BIN(ROW(N49)-1,8)),DATA,N49)</f>
        <v>0</v>
      </c>
      <c r="O49" s="87">
        <f ca="1">IF(AND(OP="11",RAMX=DEC2BIN(COLUMN(O49)-1,8),RAMY=DEC2BIN(ROW(O49)-1,8)),DATA,O49)</f>
        <v>0</v>
      </c>
      <c r="P49" s="87">
        <f ca="1">IF(AND(OP="11",RAMX=DEC2BIN(COLUMN(P49)-1,8),RAMY=DEC2BIN(ROW(P49)-1,8)),DATA,P49)</f>
        <v>0</v>
      </c>
      <c r="Q49" s="87">
        <f ca="1">IF(AND(OP="11",RAMX=DEC2BIN(COLUMN(Q49)-1,8),RAMY=DEC2BIN(ROW(Q49)-1,8)),DATA,Q49)</f>
        <v>0</v>
      </c>
      <c r="R49" s="87">
        <f ca="1">IF(AND(OP="11",RAMX=DEC2BIN(COLUMN(R49)-1,8),RAMY=DEC2BIN(ROW(R49)-1,8)),DATA,R49)</f>
        <v>0</v>
      </c>
      <c r="S49" s="87">
        <f ca="1">IF(AND(OP="11",RAMX=DEC2BIN(COLUMN(S49)-1,8),RAMY=DEC2BIN(ROW(S49)-1,8)),DATA,S49)</f>
        <v>0</v>
      </c>
      <c r="T49" s="87">
        <f ca="1">IF(AND(OP="11",RAMX=DEC2BIN(COLUMN(T49)-1,8),RAMY=DEC2BIN(ROW(T49)-1,8)),DATA,T49)</f>
        <v>0</v>
      </c>
      <c r="U49" s="87">
        <f ca="1">IF(AND(OP="11",RAMX=DEC2BIN(COLUMN(U49)-1,8),RAMY=DEC2BIN(ROW(U49)-1,8)),DATA,U49)</f>
        <v>0</v>
      </c>
      <c r="V49" s="87">
        <f ca="1">IF(AND(OP="11",RAMX=DEC2BIN(COLUMN(V49)-1,8),RAMY=DEC2BIN(ROW(V49)-1,8)),DATA,V49)</f>
        <v>0</v>
      </c>
      <c r="W49" s="87">
        <f ca="1">IF(AND(OP="11",RAMX=DEC2BIN(COLUMN(W49)-1,8),RAMY=DEC2BIN(ROW(W49)-1,8)),DATA,W49)</f>
        <v>0</v>
      </c>
      <c r="X49" s="87">
        <f ca="1">IF(AND(OP="11",RAMX=DEC2BIN(COLUMN(X49)-1,8),RAMY=DEC2BIN(ROW(X49)-1,8)),DATA,X49)</f>
        <v>0</v>
      </c>
      <c r="Y49" s="87">
        <f ca="1">IF(AND(OP="11",RAMX=DEC2BIN(COLUMN(Y49)-1,8),RAMY=DEC2BIN(ROW(Y49)-1,8)),DATA,Y49)</f>
        <v>0</v>
      </c>
      <c r="Z49" s="87">
        <f ca="1">IF(AND(OP="11",RAMX=DEC2BIN(COLUMN(Z49)-1,8),RAMY=DEC2BIN(ROW(Z49)-1,8)),DATA,Z49)</f>
        <v>0</v>
      </c>
      <c r="AA49" s="87">
        <f ca="1">IF(AND(OP="11",RAMX=DEC2BIN(COLUMN(AA49)-1,8),RAMY=DEC2BIN(ROW(AA49)-1,8)),DATA,AA49)</f>
        <v>0</v>
      </c>
      <c r="AB49" s="87">
        <f ca="1">IF(AND(OP="11",RAMX=DEC2BIN(COLUMN(AB49)-1,8),RAMY=DEC2BIN(ROW(AB49)-1,8)),DATA,AB49)</f>
        <v>0</v>
      </c>
      <c r="AC49" s="87">
        <f ca="1">IF(AND(OP="11",RAMX=DEC2BIN(COLUMN(AC49)-1,8),RAMY=DEC2BIN(ROW(AC49)-1,8)),DATA,AC49)</f>
        <v>0</v>
      </c>
      <c r="AD49" s="87">
        <f ca="1">IF(AND(OP="11",RAMX=DEC2BIN(COLUMN(AD49)-1,8),RAMY=DEC2BIN(ROW(AD49)-1,8)),DATA,AD49)</f>
        <v>0</v>
      </c>
      <c r="AE49" s="87">
        <f ca="1">IF(AND(OP="11",RAMX=DEC2BIN(COLUMN(AE49)-1,8),RAMY=DEC2BIN(ROW(AE49)-1,8)),DATA,AE49)</f>
        <v>0</v>
      </c>
      <c r="AF49" s="87">
        <f ca="1">IF(AND(OP="11",RAMX=DEC2BIN(COLUMN(AF49)-1,8),RAMY=DEC2BIN(ROW(AF49)-1,8)),DATA,AF49)</f>
        <v>0</v>
      </c>
      <c r="AG49" s="87">
        <f ca="1">IF(AND(OP="11",RAMX=DEC2BIN(COLUMN(AG49)-1,8),RAMY=DEC2BIN(ROW(AG49)-1,8)),DATA,AG49)</f>
        <v>0</v>
      </c>
      <c r="AH49" s="87">
        <f ca="1">IF(AND(OP="11",RAMX=DEC2BIN(COLUMN(AH49)-1,8),RAMY=DEC2BIN(ROW(AH49)-1,8)),DATA,AH49)</f>
        <v>0</v>
      </c>
      <c r="AI49" s="87">
        <f ca="1">IF(AND(OP="11",RAMX=DEC2BIN(COLUMN(AI49)-1,8),RAMY=DEC2BIN(ROW(AI49)-1,8)),DATA,AI49)</f>
        <v>0</v>
      </c>
      <c r="AJ49" s="87">
        <f ca="1">IF(AND(OP="11",RAMX=DEC2BIN(COLUMN(AJ49)-1,8),RAMY=DEC2BIN(ROW(AJ49)-1,8)),DATA,AJ49)</f>
        <v>0</v>
      </c>
      <c r="AK49" s="87">
        <f ca="1">IF(AND(OP="11",RAMX=DEC2BIN(COLUMN(AK49)-1,8),RAMY=DEC2BIN(ROW(AK49)-1,8)),DATA,AK49)</f>
        <v>0</v>
      </c>
      <c r="AL49" s="87">
        <f ca="1">IF(AND(OP="11",RAMX=DEC2BIN(COLUMN(AL49)-1,8),RAMY=DEC2BIN(ROW(AL49)-1,8)),DATA,AL49)</f>
        <v>0</v>
      </c>
      <c r="AM49" s="87">
        <f ca="1">IF(AND(OP="11",RAMX=DEC2BIN(COLUMN(AM49)-1,8),RAMY=DEC2BIN(ROW(AM49)-1,8)),DATA,AM49)</f>
        <v>0</v>
      </c>
      <c r="AN49" s="87">
        <f ca="1">IF(AND(OP="11",RAMX=DEC2BIN(COLUMN(AN49)-1,8),RAMY=DEC2BIN(ROW(AN49)-1,8)),DATA,AN49)</f>
        <v>0</v>
      </c>
      <c r="AO49" s="87">
        <f ca="1">IF(AND(OP="11",RAMX=DEC2BIN(COLUMN(AO49)-1,8),RAMY=DEC2BIN(ROW(AO49)-1,8)),DATA,AO49)</f>
        <v>0</v>
      </c>
      <c r="AP49" s="87">
        <f ca="1">IF(AND(OP="11",RAMX=DEC2BIN(COLUMN(AP49)-1,8),RAMY=DEC2BIN(ROW(AP49)-1,8)),DATA,AP49)</f>
        <v>0</v>
      </c>
      <c r="AQ49" s="87">
        <f ca="1">IF(AND(OP="11",RAMX=DEC2BIN(COLUMN(AQ49)-1,8),RAMY=DEC2BIN(ROW(AQ49)-1,8)),DATA,AQ49)</f>
        <v>0</v>
      </c>
      <c r="AR49" s="87">
        <f ca="1">IF(AND(OP="11",RAMX=DEC2BIN(COLUMN(AR49)-1,8),RAMY=DEC2BIN(ROW(AR49)-1,8)),DATA,AR49)</f>
        <v>0</v>
      </c>
      <c r="AS49" s="87">
        <f ca="1">IF(AND(OP="11",RAMX=DEC2BIN(COLUMN(AS49)-1,8),RAMY=DEC2BIN(ROW(AS49)-1,8)),DATA,AS49)</f>
        <v>0</v>
      </c>
      <c r="AT49" s="87">
        <f ca="1">IF(AND(OP="11",RAMX=DEC2BIN(COLUMN(AT49)-1,8),RAMY=DEC2BIN(ROW(AT49)-1,8)),DATA,AT49)</f>
        <v>0</v>
      </c>
      <c r="AU49" s="87">
        <f ca="1">IF(AND(OP="11",RAMX=DEC2BIN(COLUMN(AU49)-1,8),RAMY=DEC2BIN(ROW(AU49)-1,8)),DATA,AU49)</f>
        <v>0</v>
      </c>
      <c r="AV49" s="87">
        <f ca="1">IF(AND(OP="11",RAMX=DEC2BIN(COLUMN(AV49)-1,8),RAMY=DEC2BIN(ROW(AV49)-1,8)),DATA,AV49)</f>
        <v>0</v>
      </c>
      <c r="AW49" s="87">
        <f ca="1">IF(AND(OP="11",RAMX=DEC2BIN(COLUMN(AW49)-1,8),RAMY=DEC2BIN(ROW(AW49)-1,8)),DATA,AW49)</f>
        <v>0</v>
      </c>
      <c r="AX49" s="87">
        <f ca="1">IF(AND(OP="11",RAMX=DEC2BIN(COLUMN(AX49)-1,8),RAMY=DEC2BIN(ROW(AX49)-1,8)),DATA,AX49)</f>
        <v>0</v>
      </c>
      <c r="AY49" s="87">
        <f ca="1">IF(AND(OP="11",RAMX=DEC2BIN(COLUMN(AY49)-1,8),RAMY=DEC2BIN(ROW(AY49)-1,8)),DATA,AY49)</f>
        <v>0</v>
      </c>
      <c r="AZ49" s="87">
        <f ca="1">IF(AND(OP="11",RAMX=DEC2BIN(COLUMN(AZ49)-1,8),RAMY=DEC2BIN(ROW(AZ49)-1,8)),DATA,AZ49)</f>
        <v>0</v>
      </c>
      <c r="BA49" s="87">
        <f ca="1">IF(AND(OP="11",RAMX=DEC2BIN(COLUMN(BA49)-1,8),RAMY=DEC2BIN(ROW(BA49)-1,8)),DATA,BA49)</f>
        <v>0</v>
      </c>
      <c r="BB49" s="87">
        <f ca="1">IF(AND(OP="11",RAMX=DEC2BIN(COLUMN(BB49)-1,8),RAMY=DEC2BIN(ROW(BB49)-1,8)),DATA,BB49)</f>
        <v>0</v>
      </c>
      <c r="BC49" s="87">
        <f ca="1">IF(AND(OP="11",RAMX=DEC2BIN(COLUMN(BC49)-1,8),RAMY=DEC2BIN(ROW(BC49)-1,8)),DATA,BC49)</f>
        <v>0</v>
      </c>
      <c r="BD49" s="87">
        <f ca="1">IF(AND(OP="11",RAMX=DEC2BIN(COLUMN(BD49)-1,8),RAMY=DEC2BIN(ROW(BD49)-1,8)),DATA,BD49)</f>
        <v>0</v>
      </c>
      <c r="BE49" s="87">
        <f ca="1">IF(AND(OP="11",RAMX=DEC2BIN(COLUMN(BE49)-1,8),RAMY=DEC2BIN(ROW(BE49)-1,8)),DATA,BE49)</f>
        <v>0</v>
      </c>
      <c r="BF49" s="87">
        <f ca="1">IF(AND(OP="11",RAMX=DEC2BIN(COLUMN(BF49)-1,8),RAMY=DEC2BIN(ROW(BF49)-1,8)),DATA,BF49)</f>
        <v>0</v>
      </c>
      <c r="BG49" s="87">
        <f ca="1">IF(AND(OP="11",RAMX=DEC2BIN(COLUMN(BG49)-1,8),RAMY=DEC2BIN(ROW(BG49)-1,8)),DATA,BG49)</f>
        <v>0</v>
      </c>
      <c r="BH49" s="87">
        <f ca="1">IF(AND(OP="11",RAMX=DEC2BIN(COLUMN(BH49)-1,8),RAMY=DEC2BIN(ROW(BH49)-1,8)),DATA,BH49)</f>
        <v>0</v>
      </c>
      <c r="BI49" s="87">
        <f ca="1">IF(AND(OP="11",RAMX=DEC2BIN(COLUMN(BI49)-1,8),RAMY=DEC2BIN(ROW(BI49)-1,8)),DATA,BI49)</f>
        <v>0</v>
      </c>
      <c r="BJ49" s="87">
        <f ca="1">IF(AND(OP="11",RAMX=DEC2BIN(COLUMN(BJ49)-1,8),RAMY=DEC2BIN(ROW(BJ49)-1,8)),DATA,BJ49)</f>
        <v>0</v>
      </c>
      <c r="BK49" s="87">
        <f ca="1">IF(AND(OP="11",RAMX=DEC2BIN(COLUMN(BK49)-1,8),RAMY=DEC2BIN(ROW(BK49)-1,8)),DATA,BK49)</f>
        <v>0</v>
      </c>
      <c r="BL49" s="87">
        <f ca="1">IF(AND(OP="11",RAMX=DEC2BIN(COLUMN(BL49)-1,8),RAMY=DEC2BIN(ROW(BL49)-1,8)),DATA,BL49)</f>
        <v>0</v>
      </c>
    </row>
    <row r="50" spans="1:64" x14ac:dyDescent="0.25">
      <c r="A50" s="87">
        <f ca="1">IF(AND(OP="11",RAMX=DEC2BIN(COLUMN(A50)-1,8),RAMY=DEC2BIN(ROW(A50)-1,8)),DATA,A50)</f>
        <v>0</v>
      </c>
      <c r="B50" s="87">
        <f ca="1">IF(AND(OP="11",RAMX=DEC2BIN(COLUMN(B50)-1,8),RAMY=DEC2BIN(ROW(B50)-1,8)),DATA,B50)</f>
        <v>0</v>
      </c>
      <c r="C50" s="87">
        <f ca="1">IF(AND(OP="11",RAMX=DEC2BIN(COLUMN(C50)-1,8),RAMY=DEC2BIN(ROW(C50)-1,8)),DATA,C50)</f>
        <v>0</v>
      </c>
      <c r="D50" s="87">
        <f ca="1">IF(AND(OP="11",RAMX=DEC2BIN(COLUMN(D50)-1,8),RAMY=DEC2BIN(ROW(D50)-1,8)),DATA,D50)</f>
        <v>0</v>
      </c>
      <c r="E50" s="87">
        <f ca="1">IF(AND(OP="11",RAMX=DEC2BIN(COLUMN(E50)-1,8),RAMY=DEC2BIN(ROW(E50)-1,8)),DATA,E50)</f>
        <v>0</v>
      </c>
      <c r="F50" s="87">
        <f ca="1">IF(AND(OP="11",RAMX=DEC2BIN(COLUMN(F50)-1,8),RAMY=DEC2BIN(ROW(F50)-1,8)),DATA,F50)</f>
        <v>0</v>
      </c>
      <c r="G50" s="87">
        <f ca="1">IF(AND(OP="11",RAMX=DEC2BIN(COLUMN(G50)-1,8),RAMY=DEC2BIN(ROW(G50)-1,8)),DATA,G50)</f>
        <v>0</v>
      </c>
      <c r="H50" s="87">
        <f ca="1">IF(AND(OP="11",RAMX=DEC2BIN(COLUMN(H50)-1,8),RAMY=DEC2BIN(ROW(H50)-1,8)),DATA,H50)</f>
        <v>0</v>
      </c>
      <c r="I50" s="87">
        <f ca="1">IF(AND(OP="11",RAMX=DEC2BIN(COLUMN(I50)-1,8),RAMY=DEC2BIN(ROW(I50)-1,8)),DATA,I50)</f>
        <v>0</v>
      </c>
      <c r="J50" s="87">
        <f ca="1">IF(AND(OP="11",RAMX=DEC2BIN(COLUMN(J50)-1,8),RAMY=DEC2BIN(ROW(J50)-1,8)),DATA,J50)</f>
        <v>0</v>
      </c>
      <c r="K50" s="87">
        <f ca="1">IF(AND(OP="11",RAMX=DEC2BIN(COLUMN(K50)-1,8),RAMY=DEC2BIN(ROW(K50)-1,8)),DATA,K50)</f>
        <v>0</v>
      </c>
      <c r="L50" s="87">
        <f ca="1">IF(AND(OP="11",RAMX=DEC2BIN(COLUMN(L50)-1,8),RAMY=DEC2BIN(ROW(L50)-1,8)),DATA,L50)</f>
        <v>0</v>
      </c>
      <c r="M50" s="87">
        <f ca="1">IF(AND(OP="11",RAMX=DEC2BIN(COLUMN(M50)-1,8),RAMY=DEC2BIN(ROW(M50)-1,8)),DATA,M50)</f>
        <v>0</v>
      </c>
      <c r="N50" s="87">
        <f ca="1">IF(AND(OP="11",RAMX=DEC2BIN(COLUMN(N50)-1,8),RAMY=DEC2BIN(ROW(N50)-1,8)),DATA,N50)</f>
        <v>0</v>
      </c>
      <c r="O50" s="87">
        <f ca="1">IF(AND(OP="11",RAMX=DEC2BIN(COLUMN(O50)-1,8),RAMY=DEC2BIN(ROW(O50)-1,8)),DATA,O50)</f>
        <v>0</v>
      </c>
      <c r="P50" s="87">
        <f ca="1">IF(AND(OP="11",RAMX=DEC2BIN(COLUMN(P50)-1,8),RAMY=DEC2BIN(ROW(P50)-1,8)),DATA,P50)</f>
        <v>0</v>
      </c>
      <c r="Q50" s="87">
        <f ca="1">IF(AND(OP="11",RAMX=DEC2BIN(COLUMN(Q50)-1,8),RAMY=DEC2BIN(ROW(Q50)-1,8)),DATA,Q50)</f>
        <v>0</v>
      </c>
      <c r="R50" s="87">
        <f ca="1">IF(AND(OP="11",RAMX=DEC2BIN(COLUMN(R50)-1,8),RAMY=DEC2BIN(ROW(R50)-1,8)),DATA,R50)</f>
        <v>0</v>
      </c>
      <c r="S50" s="87">
        <f ca="1">IF(AND(OP="11",RAMX=DEC2BIN(COLUMN(S50)-1,8),RAMY=DEC2BIN(ROW(S50)-1,8)),DATA,S50)</f>
        <v>0</v>
      </c>
      <c r="T50" s="87">
        <f ca="1">IF(AND(OP="11",RAMX=DEC2BIN(COLUMN(T50)-1,8),RAMY=DEC2BIN(ROW(T50)-1,8)),DATA,T50)</f>
        <v>0</v>
      </c>
      <c r="U50" s="87">
        <f ca="1">IF(AND(OP="11",RAMX=DEC2BIN(COLUMN(U50)-1,8),RAMY=DEC2BIN(ROW(U50)-1,8)),DATA,U50)</f>
        <v>0</v>
      </c>
      <c r="V50" s="87">
        <f ca="1">IF(AND(OP="11",RAMX=DEC2BIN(COLUMN(V50)-1,8),RAMY=DEC2BIN(ROW(V50)-1,8)),DATA,V50)</f>
        <v>0</v>
      </c>
      <c r="W50" s="87">
        <f ca="1">IF(AND(OP="11",RAMX=DEC2BIN(COLUMN(W50)-1,8),RAMY=DEC2BIN(ROW(W50)-1,8)),DATA,W50)</f>
        <v>0</v>
      </c>
      <c r="X50" s="87">
        <f ca="1">IF(AND(OP="11",RAMX=DEC2BIN(COLUMN(X50)-1,8),RAMY=DEC2BIN(ROW(X50)-1,8)),DATA,X50)</f>
        <v>0</v>
      </c>
      <c r="Y50" s="87">
        <f ca="1">IF(AND(OP="11",RAMX=DEC2BIN(COLUMN(Y50)-1,8),RAMY=DEC2BIN(ROW(Y50)-1,8)),DATA,Y50)</f>
        <v>0</v>
      </c>
      <c r="Z50" s="87">
        <f ca="1">IF(AND(OP="11",RAMX=DEC2BIN(COLUMN(Z50)-1,8),RAMY=DEC2BIN(ROW(Z50)-1,8)),DATA,Z50)</f>
        <v>0</v>
      </c>
      <c r="AA50" s="87">
        <f ca="1">IF(AND(OP="11",RAMX=DEC2BIN(COLUMN(AA50)-1,8),RAMY=DEC2BIN(ROW(AA50)-1,8)),DATA,AA50)</f>
        <v>0</v>
      </c>
      <c r="AB50" s="87">
        <f ca="1">IF(AND(OP="11",RAMX=DEC2BIN(COLUMN(AB50)-1,8),RAMY=DEC2BIN(ROW(AB50)-1,8)),DATA,AB50)</f>
        <v>0</v>
      </c>
      <c r="AC50" s="87">
        <f ca="1">IF(AND(OP="11",RAMX=DEC2BIN(COLUMN(AC50)-1,8),RAMY=DEC2BIN(ROW(AC50)-1,8)),DATA,AC50)</f>
        <v>0</v>
      </c>
      <c r="AD50" s="87">
        <f ca="1">IF(AND(OP="11",RAMX=DEC2BIN(COLUMN(AD50)-1,8),RAMY=DEC2BIN(ROW(AD50)-1,8)),DATA,AD50)</f>
        <v>0</v>
      </c>
      <c r="AE50" s="87">
        <f ca="1">IF(AND(OP="11",RAMX=DEC2BIN(COLUMN(AE50)-1,8),RAMY=DEC2BIN(ROW(AE50)-1,8)),DATA,AE50)</f>
        <v>0</v>
      </c>
      <c r="AF50" s="87">
        <f ca="1">IF(AND(OP="11",RAMX=DEC2BIN(COLUMN(AF50)-1,8),RAMY=DEC2BIN(ROW(AF50)-1,8)),DATA,AF50)</f>
        <v>0</v>
      </c>
      <c r="AG50" s="87">
        <f ca="1">IF(AND(OP="11",RAMX=DEC2BIN(COLUMN(AG50)-1,8),RAMY=DEC2BIN(ROW(AG50)-1,8)),DATA,AG50)</f>
        <v>0</v>
      </c>
      <c r="AH50" s="87">
        <f ca="1">IF(AND(OP="11",RAMX=DEC2BIN(COLUMN(AH50)-1,8),RAMY=DEC2BIN(ROW(AH50)-1,8)),DATA,AH50)</f>
        <v>0</v>
      </c>
      <c r="AI50" s="87">
        <f ca="1">IF(AND(OP="11",RAMX=DEC2BIN(COLUMN(AI50)-1,8),RAMY=DEC2BIN(ROW(AI50)-1,8)),DATA,AI50)</f>
        <v>0</v>
      </c>
      <c r="AJ50" s="87">
        <f ca="1">IF(AND(OP="11",RAMX=DEC2BIN(COLUMN(AJ50)-1,8),RAMY=DEC2BIN(ROW(AJ50)-1,8)),DATA,AJ50)</f>
        <v>0</v>
      </c>
      <c r="AK50" s="87">
        <f ca="1">IF(AND(OP="11",RAMX=DEC2BIN(COLUMN(AK50)-1,8),RAMY=DEC2BIN(ROW(AK50)-1,8)),DATA,AK50)</f>
        <v>0</v>
      </c>
      <c r="AL50" s="87">
        <f ca="1">IF(AND(OP="11",RAMX=DEC2BIN(COLUMN(AL50)-1,8),RAMY=DEC2BIN(ROW(AL50)-1,8)),DATA,AL50)</f>
        <v>0</v>
      </c>
      <c r="AM50" s="87">
        <f ca="1">IF(AND(OP="11",RAMX=DEC2BIN(COLUMN(AM50)-1,8),RAMY=DEC2BIN(ROW(AM50)-1,8)),DATA,AM50)</f>
        <v>0</v>
      </c>
      <c r="AN50" s="87">
        <f ca="1">IF(AND(OP="11",RAMX=DEC2BIN(COLUMN(AN50)-1,8),RAMY=DEC2BIN(ROW(AN50)-1,8)),DATA,AN50)</f>
        <v>0</v>
      </c>
      <c r="AO50" s="87">
        <f ca="1">IF(AND(OP="11",RAMX=DEC2BIN(COLUMN(AO50)-1,8),RAMY=DEC2BIN(ROW(AO50)-1,8)),DATA,AO50)</f>
        <v>0</v>
      </c>
      <c r="AP50" s="87">
        <f ca="1">IF(AND(OP="11",RAMX=DEC2BIN(COLUMN(AP50)-1,8),RAMY=DEC2BIN(ROW(AP50)-1,8)),DATA,AP50)</f>
        <v>0</v>
      </c>
      <c r="AQ50" s="87">
        <f ca="1">IF(AND(OP="11",RAMX=DEC2BIN(COLUMN(AQ50)-1,8),RAMY=DEC2BIN(ROW(AQ50)-1,8)),DATA,AQ50)</f>
        <v>0</v>
      </c>
      <c r="AR50" s="87">
        <f ca="1">IF(AND(OP="11",RAMX=DEC2BIN(COLUMN(AR50)-1,8),RAMY=DEC2BIN(ROW(AR50)-1,8)),DATA,AR50)</f>
        <v>0</v>
      </c>
      <c r="AS50" s="87">
        <f ca="1">IF(AND(OP="11",RAMX=DEC2BIN(COLUMN(AS50)-1,8),RAMY=DEC2BIN(ROW(AS50)-1,8)),DATA,AS50)</f>
        <v>0</v>
      </c>
      <c r="AT50" s="87">
        <f ca="1">IF(AND(OP="11",RAMX=DEC2BIN(COLUMN(AT50)-1,8),RAMY=DEC2BIN(ROW(AT50)-1,8)),DATA,AT50)</f>
        <v>0</v>
      </c>
      <c r="AU50" s="87">
        <f ca="1">IF(AND(OP="11",RAMX=DEC2BIN(COLUMN(AU50)-1,8),RAMY=DEC2BIN(ROW(AU50)-1,8)),DATA,AU50)</f>
        <v>0</v>
      </c>
      <c r="AV50" s="87">
        <f ca="1">IF(AND(OP="11",RAMX=DEC2BIN(COLUMN(AV50)-1,8),RAMY=DEC2BIN(ROW(AV50)-1,8)),DATA,AV50)</f>
        <v>0</v>
      </c>
      <c r="AW50" s="87">
        <f ca="1">IF(AND(OP="11",RAMX=DEC2BIN(COLUMN(AW50)-1,8),RAMY=DEC2BIN(ROW(AW50)-1,8)),DATA,AW50)</f>
        <v>0</v>
      </c>
      <c r="AX50" s="87">
        <f ca="1">IF(AND(OP="11",RAMX=DEC2BIN(COLUMN(AX50)-1,8),RAMY=DEC2BIN(ROW(AX50)-1,8)),DATA,AX50)</f>
        <v>0</v>
      </c>
      <c r="AY50" s="87">
        <f ca="1">IF(AND(OP="11",RAMX=DEC2BIN(COLUMN(AY50)-1,8),RAMY=DEC2BIN(ROW(AY50)-1,8)),DATA,AY50)</f>
        <v>0</v>
      </c>
      <c r="AZ50" s="87">
        <f ca="1">IF(AND(OP="11",RAMX=DEC2BIN(COLUMN(AZ50)-1,8),RAMY=DEC2BIN(ROW(AZ50)-1,8)),DATA,AZ50)</f>
        <v>0</v>
      </c>
      <c r="BA50" s="87">
        <f ca="1">IF(AND(OP="11",RAMX=DEC2BIN(COLUMN(BA50)-1,8),RAMY=DEC2BIN(ROW(BA50)-1,8)),DATA,BA50)</f>
        <v>0</v>
      </c>
      <c r="BB50" s="87">
        <f ca="1">IF(AND(OP="11",RAMX=DEC2BIN(COLUMN(BB50)-1,8),RAMY=DEC2BIN(ROW(BB50)-1,8)),DATA,BB50)</f>
        <v>0</v>
      </c>
      <c r="BC50" s="87">
        <f ca="1">IF(AND(OP="11",RAMX=DEC2BIN(COLUMN(BC50)-1,8),RAMY=DEC2BIN(ROW(BC50)-1,8)),DATA,BC50)</f>
        <v>0</v>
      </c>
      <c r="BD50" s="87">
        <f ca="1">IF(AND(OP="11",RAMX=DEC2BIN(COLUMN(BD50)-1,8),RAMY=DEC2BIN(ROW(BD50)-1,8)),DATA,BD50)</f>
        <v>0</v>
      </c>
      <c r="BE50" s="87">
        <f ca="1">IF(AND(OP="11",RAMX=DEC2BIN(COLUMN(BE50)-1,8),RAMY=DEC2BIN(ROW(BE50)-1,8)),DATA,BE50)</f>
        <v>0</v>
      </c>
      <c r="BF50" s="87">
        <f ca="1">IF(AND(OP="11",RAMX=DEC2BIN(COLUMN(BF50)-1,8),RAMY=DEC2BIN(ROW(BF50)-1,8)),DATA,BF50)</f>
        <v>0</v>
      </c>
      <c r="BG50" s="87">
        <f ca="1">IF(AND(OP="11",RAMX=DEC2BIN(COLUMN(BG50)-1,8),RAMY=DEC2BIN(ROW(BG50)-1,8)),DATA,BG50)</f>
        <v>0</v>
      </c>
      <c r="BH50" s="87">
        <f ca="1">IF(AND(OP="11",RAMX=DEC2BIN(COLUMN(BH50)-1,8),RAMY=DEC2BIN(ROW(BH50)-1,8)),DATA,BH50)</f>
        <v>0</v>
      </c>
      <c r="BI50" s="87">
        <f ca="1">IF(AND(OP="11",RAMX=DEC2BIN(COLUMN(BI50)-1,8),RAMY=DEC2BIN(ROW(BI50)-1,8)),DATA,BI50)</f>
        <v>0</v>
      </c>
      <c r="BJ50" s="87">
        <f ca="1">IF(AND(OP="11",RAMX=DEC2BIN(COLUMN(BJ50)-1,8),RAMY=DEC2BIN(ROW(BJ50)-1,8)),DATA,BJ50)</f>
        <v>0</v>
      </c>
      <c r="BK50" s="87">
        <f ca="1">IF(AND(OP="11",RAMX=DEC2BIN(COLUMN(BK50)-1,8),RAMY=DEC2BIN(ROW(BK50)-1,8)),DATA,BK50)</f>
        <v>0</v>
      </c>
      <c r="BL50" s="87">
        <f ca="1">IF(AND(OP="11",RAMX=DEC2BIN(COLUMN(BL50)-1,8),RAMY=DEC2BIN(ROW(BL50)-1,8)),DATA,BL50)</f>
        <v>0</v>
      </c>
    </row>
    <row r="51" spans="1:64" x14ac:dyDescent="0.25">
      <c r="A51" s="87">
        <f ca="1">IF(AND(OP="11",RAMX=DEC2BIN(COLUMN(A51)-1,8),RAMY=DEC2BIN(ROW(A51)-1,8)),DATA,A51)</f>
        <v>0</v>
      </c>
      <c r="B51" s="87">
        <f ca="1">IF(AND(OP="11",RAMX=DEC2BIN(COLUMN(B51)-1,8),RAMY=DEC2BIN(ROW(B51)-1,8)),DATA,B51)</f>
        <v>0</v>
      </c>
      <c r="C51" s="87">
        <f ca="1">IF(AND(OP="11",RAMX=DEC2BIN(COLUMN(C51)-1,8),RAMY=DEC2BIN(ROW(C51)-1,8)),DATA,C51)</f>
        <v>0</v>
      </c>
      <c r="D51" s="87">
        <f ca="1">IF(AND(OP="11",RAMX=DEC2BIN(COLUMN(D51)-1,8),RAMY=DEC2BIN(ROW(D51)-1,8)),DATA,D51)</f>
        <v>0</v>
      </c>
      <c r="E51" s="87">
        <f ca="1">IF(AND(OP="11",RAMX=DEC2BIN(COLUMN(E51)-1,8),RAMY=DEC2BIN(ROW(E51)-1,8)),DATA,E51)</f>
        <v>0</v>
      </c>
      <c r="F51" s="87">
        <f ca="1">IF(AND(OP="11",RAMX=DEC2BIN(COLUMN(F51)-1,8),RAMY=DEC2BIN(ROW(F51)-1,8)),DATA,F51)</f>
        <v>0</v>
      </c>
      <c r="G51" s="87">
        <f ca="1">IF(AND(OP="11",RAMX=DEC2BIN(COLUMN(G51)-1,8),RAMY=DEC2BIN(ROW(G51)-1,8)),DATA,G51)</f>
        <v>0</v>
      </c>
      <c r="H51" s="87">
        <f ca="1">IF(AND(OP="11",RAMX=DEC2BIN(COLUMN(H51)-1,8),RAMY=DEC2BIN(ROW(H51)-1,8)),DATA,H51)</f>
        <v>0</v>
      </c>
      <c r="I51" s="87">
        <f ca="1">IF(AND(OP="11",RAMX=DEC2BIN(COLUMN(I51)-1,8),RAMY=DEC2BIN(ROW(I51)-1,8)),DATA,I51)</f>
        <v>0</v>
      </c>
      <c r="J51" s="87">
        <f ca="1">IF(AND(OP="11",RAMX=DEC2BIN(COLUMN(J51)-1,8),RAMY=DEC2BIN(ROW(J51)-1,8)),DATA,J51)</f>
        <v>0</v>
      </c>
      <c r="K51" s="87">
        <f ca="1">IF(AND(OP="11",RAMX=DEC2BIN(COLUMN(K51)-1,8),RAMY=DEC2BIN(ROW(K51)-1,8)),DATA,K51)</f>
        <v>0</v>
      </c>
      <c r="L51" s="87">
        <f ca="1">IF(AND(OP="11",RAMX=DEC2BIN(COLUMN(L51)-1,8),RAMY=DEC2BIN(ROW(L51)-1,8)),DATA,L51)</f>
        <v>0</v>
      </c>
      <c r="M51" s="87">
        <f ca="1">IF(AND(OP="11",RAMX=DEC2BIN(COLUMN(M51)-1,8),RAMY=DEC2BIN(ROW(M51)-1,8)),DATA,M51)</f>
        <v>0</v>
      </c>
      <c r="N51" s="87">
        <f ca="1">IF(AND(OP="11",RAMX=DEC2BIN(COLUMN(N51)-1,8),RAMY=DEC2BIN(ROW(N51)-1,8)),DATA,N51)</f>
        <v>0</v>
      </c>
      <c r="O51" s="87">
        <f ca="1">IF(AND(OP="11",RAMX=DEC2BIN(COLUMN(O51)-1,8),RAMY=DEC2BIN(ROW(O51)-1,8)),DATA,O51)</f>
        <v>0</v>
      </c>
      <c r="P51" s="87">
        <f ca="1">IF(AND(OP="11",RAMX=DEC2BIN(COLUMN(P51)-1,8),RAMY=DEC2BIN(ROW(P51)-1,8)),DATA,P51)</f>
        <v>0</v>
      </c>
      <c r="Q51" s="87">
        <f ca="1">IF(AND(OP="11",RAMX=DEC2BIN(COLUMN(Q51)-1,8),RAMY=DEC2BIN(ROW(Q51)-1,8)),DATA,Q51)</f>
        <v>0</v>
      </c>
      <c r="R51" s="87">
        <f ca="1">IF(AND(OP="11",RAMX=DEC2BIN(COLUMN(R51)-1,8),RAMY=DEC2BIN(ROW(R51)-1,8)),DATA,R51)</f>
        <v>0</v>
      </c>
      <c r="S51" s="87">
        <f ca="1">IF(AND(OP="11",RAMX=DEC2BIN(COLUMN(S51)-1,8),RAMY=DEC2BIN(ROW(S51)-1,8)),DATA,S51)</f>
        <v>0</v>
      </c>
      <c r="T51" s="87">
        <f ca="1">IF(AND(OP="11",RAMX=DEC2BIN(COLUMN(T51)-1,8),RAMY=DEC2BIN(ROW(T51)-1,8)),DATA,T51)</f>
        <v>0</v>
      </c>
      <c r="U51" s="87">
        <f ca="1">IF(AND(OP="11",RAMX=DEC2BIN(COLUMN(U51)-1,8),RAMY=DEC2BIN(ROW(U51)-1,8)),DATA,U51)</f>
        <v>0</v>
      </c>
      <c r="V51" s="87">
        <f ca="1">IF(AND(OP="11",RAMX=DEC2BIN(COLUMN(V51)-1,8),RAMY=DEC2BIN(ROW(V51)-1,8)),DATA,V51)</f>
        <v>0</v>
      </c>
      <c r="W51" s="87">
        <f ca="1">IF(AND(OP="11",RAMX=DEC2BIN(COLUMN(W51)-1,8),RAMY=DEC2BIN(ROW(W51)-1,8)),DATA,W51)</f>
        <v>0</v>
      </c>
      <c r="X51" s="87">
        <f ca="1">IF(AND(OP="11",RAMX=DEC2BIN(COLUMN(X51)-1,8),RAMY=DEC2BIN(ROW(X51)-1,8)),DATA,X51)</f>
        <v>0</v>
      </c>
      <c r="Y51" s="87">
        <f ca="1">IF(AND(OP="11",RAMX=DEC2BIN(COLUMN(Y51)-1,8),RAMY=DEC2BIN(ROW(Y51)-1,8)),DATA,Y51)</f>
        <v>0</v>
      </c>
      <c r="Z51" s="87">
        <f ca="1">IF(AND(OP="11",RAMX=DEC2BIN(COLUMN(Z51)-1,8),RAMY=DEC2BIN(ROW(Z51)-1,8)),DATA,Z51)</f>
        <v>0</v>
      </c>
      <c r="AA51" s="87">
        <f ca="1">IF(AND(OP="11",RAMX=DEC2BIN(COLUMN(AA51)-1,8),RAMY=DEC2BIN(ROW(AA51)-1,8)),DATA,AA51)</f>
        <v>0</v>
      </c>
      <c r="AB51" s="87">
        <f ca="1">IF(AND(OP="11",RAMX=DEC2BIN(COLUMN(AB51)-1,8),RAMY=DEC2BIN(ROW(AB51)-1,8)),DATA,AB51)</f>
        <v>0</v>
      </c>
      <c r="AC51" s="87">
        <f ca="1">IF(AND(OP="11",RAMX=DEC2BIN(COLUMN(AC51)-1,8),RAMY=DEC2BIN(ROW(AC51)-1,8)),DATA,AC51)</f>
        <v>0</v>
      </c>
      <c r="AD51" s="87">
        <f ca="1">IF(AND(OP="11",RAMX=DEC2BIN(COLUMN(AD51)-1,8),RAMY=DEC2BIN(ROW(AD51)-1,8)),DATA,AD51)</f>
        <v>0</v>
      </c>
      <c r="AE51" s="87">
        <f ca="1">IF(AND(OP="11",RAMX=DEC2BIN(COLUMN(AE51)-1,8),RAMY=DEC2BIN(ROW(AE51)-1,8)),DATA,AE51)</f>
        <v>0</v>
      </c>
      <c r="AF51" s="87">
        <f ca="1">IF(AND(OP="11",RAMX=DEC2BIN(COLUMN(AF51)-1,8),RAMY=DEC2BIN(ROW(AF51)-1,8)),DATA,AF51)</f>
        <v>0</v>
      </c>
      <c r="AG51" s="87">
        <f ca="1">IF(AND(OP="11",RAMX=DEC2BIN(COLUMN(AG51)-1,8),RAMY=DEC2BIN(ROW(AG51)-1,8)),DATA,AG51)</f>
        <v>0</v>
      </c>
      <c r="AH51" s="87">
        <f ca="1">IF(AND(OP="11",RAMX=DEC2BIN(COLUMN(AH51)-1,8),RAMY=DEC2BIN(ROW(AH51)-1,8)),DATA,AH51)</f>
        <v>0</v>
      </c>
      <c r="AI51" s="87">
        <f ca="1">IF(AND(OP="11",RAMX=DEC2BIN(COLUMN(AI51)-1,8),RAMY=DEC2BIN(ROW(AI51)-1,8)),DATA,AI51)</f>
        <v>0</v>
      </c>
      <c r="AJ51" s="87">
        <f ca="1">IF(AND(OP="11",RAMX=DEC2BIN(COLUMN(AJ51)-1,8),RAMY=DEC2BIN(ROW(AJ51)-1,8)),DATA,AJ51)</f>
        <v>0</v>
      </c>
      <c r="AK51" s="87">
        <f ca="1">IF(AND(OP="11",RAMX=DEC2BIN(COLUMN(AK51)-1,8),RAMY=DEC2BIN(ROW(AK51)-1,8)),DATA,AK51)</f>
        <v>0</v>
      </c>
      <c r="AL51" s="87">
        <f ca="1">IF(AND(OP="11",RAMX=DEC2BIN(COLUMN(AL51)-1,8),RAMY=DEC2BIN(ROW(AL51)-1,8)),DATA,AL51)</f>
        <v>0</v>
      </c>
      <c r="AM51" s="87">
        <f ca="1">IF(AND(OP="11",RAMX=DEC2BIN(COLUMN(AM51)-1,8),RAMY=DEC2BIN(ROW(AM51)-1,8)),DATA,AM51)</f>
        <v>0</v>
      </c>
      <c r="AN51" s="87">
        <f ca="1">IF(AND(OP="11",RAMX=DEC2BIN(COLUMN(AN51)-1,8),RAMY=DEC2BIN(ROW(AN51)-1,8)),DATA,AN51)</f>
        <v>0</v>
      </c>
      <c r="AO51" s="87">
        <f ca="1">IF(AND(OP="11",RAMX=DEC2BIN(COLUMN(AO51)-1,8),RAMY=DEC2BIN(ROW(AO51)-1,8)),DATA,AO51)</f>
        <v>0</v>
      </c>
      <c r="AP51" s="87">
        <f ca="1">IF(AND(OP="11",RAMX=DEC2BIN(COLUMN(AP51)-1,8),RAMY=DEC2BIN(ROW(AP51)-1,8)),DATA,AP51)</f>
        <v>0</v>
      </c>
      <c r="AQ51" s="87">
        <f ca="1">IF(AND(OP="11",RAMX=DEC2BIN(COLUMN(AQ51)-1,8),RAMY=DEC2BIN(ROW(AQ51)-1,8)),DATA,AQ51)</f>
        <v>0</v>
      </c>
      <c r="AR51" s="87">
        <f ca="1">IF(AND(OP="11",RAMX=DEC2BIN(COLUMN(AR51)-1,8),RAMY=DEC2BIN(ROW(AR51)-1,8)),DATA,AR51)</f>
        <v>0</v>
      </c>
      <c r="AS51" s="87">
        <f ca="1">IF(AND(OP="11",RAMX=DEC2BIN(COLUMN(AS51)-1,8),RAMY=DEC2BIN(ROW(AS51)-1,8)),DATA,AS51)</f>
        <v>0</v>
      </c>
      <c r="AT51" s="87">
        <f ca="1">IF(AND(OP="11",RAMX=DEC2BIN(COLUMN(AT51)-1,8),RAMY=DEC2BIN(ROW(AT51)-1,8)),DATA,AT51)</f>
        <v>0</v>
      </c>
      <c r="AU51" s="87">
        <f ca="1">IF(AND(OP="11",RAMX=DEC2BIN(COLUMN(AU51)-1,8),RAMY=DEC2BIN(ROW(AU51)-1,8)),DATA,AU51)</f>
        <v>0</v>
      </c>
      <c r="AV51" s="87">
        <f ca="1">IF(AND(OP="11",RAMX=DEC2BIN(COLUMN(AV51)-1,8),RAMY=DEC2BIN(ROW(AV51)-1,8)),DATA,AV51)</f>
        <v>0</v>
      </c>
      <c r="AW51" s="87">
        <f ca="1">IF(AND(OP="11",RAMX=DEC2BIN(COLUMN(AW51)-1,8),RAMY=DEC2BIN(ROW(AW51)-1,8)),DATA,AW51)</f>
        <v>0</v>
      </c>
      <c r="AX51" s="87">
        <f ca="1">IF(AND(OP="11",RAMX=DEC2BIN(COLUMN(AX51)-1,8),RAMY=DEC2BIN(ROW(AX51)-1,8)),DATA,AX51)</f>
        <v>0</v>
      </c>
      <c r="AY51" s="87">
        <f ca="1">IF(AND(OP="11",RAMX=DEC2BIN(COLUMN(AY51)-1,8),RAMY=DEC2BIN(ROW(AY51)-1,8)),DATA,AY51)</f>
        <v>0</v>
      </c>
      <c r="AZ51" s="87">
        <f ca="1">IF(AND(OP="11",RAMX=DEC2BIN(COLUMN(AZ51)-1,8),RAMY=DEC2BIN(ROW(AZ51)-1,8)),DATA,AZ51)</f>
        <v>0</v>
      </c>
      <c r="BA51" s="87">
        <f ca="1">IF(AND(OP="11",RAMX=DEC2BIN(COLUMN(BA51)-1,8),RAMY=DEC2BIN(ROW(BA51)-1,8)),DATA,BA51)</f>
        <v>0</v>
      </c>
      <c r="BB51" s="87">
        <f ca="1">IF(AND(OP="11",RAMX=DEC2BIN(COLUMN(BB51)-1,8),RAMY=DEC2BIN(ROW(BB51)-1,8)),DATA,BB51)</f>
        <v>0</v>
      </c>
      <c r="BC51" s="87">
        <f ca="1">IF(AND(OP="11",RAMX=DEC2BIN(COLUMN(BC51)-1,8),RAMY=DEC2BIN(ROW(BC51)-1,8)),DATA,BC51)</f>
        <v>0</v>
      </c>
      <c r="BD51" s="87">
        <f ca="1">IF(AND(OP="11",RAMX=DEC2BIN(COLUMN(BD51)-1,8),RAMY=DEC2BIN(ROW(BD51)-1,8)),DATA,BD51)</f>
        <v>0</v>
      </c>
      <c r="BE51" s="87">
        <f ca="1">IF(AND(OP="11",RAMX=DEC2BIN(COLUMN(BE51)-1,8),RAMY=DEC2BIN(ROW(BE51)-1,8)),DATA,BE51)</f>
        <v>0</v>
      </c>
      <c r="BF51" s="87">
        <f ca="1">IF(AND(OP="11",RAMX=DEC2BIN(COLUMN(BF51)-1,8),RAMY=DEC2BIN(ROW(BF51)-1,8)),DATA,BF51)</f>
        <v>0</v>
      </c>
      <c r="BG51" s="87">
        <f ca="1">IF(AND(OP="11",RAMX=DEC2BIN(COLUMN(BG51)-1,8),RAMY=DEC2BIN(ROW(BG51)-1,8)),DATA,BG51)</f>
        <v>0</v>
      </c>
      <c r="BH51" s="87">
        <f ca="1">IF(AND(OP="11",RAMX=DEC2BIN(COLUMN(BH51)-1,8),RAMY=DEC2BIN(ROW(BH51)-1,8)),DATA,BH51)</f>
        <v>0</v>
      </c>
      <c r="BI51" s="87">
        <f ca="1">IF(AND(OP="11",RAMX=DEC2BIN(COLUMN(BI51)-1,8),RAMY=DEC2BIN(ROW(BI51)-1,8)),DATA,BI51)</f>
        <v>0</v>
      </c>
      <c r="BJ51" s="87">
        <f ca="1">IF(AND(OP="11",RAMX=DEC2BIN(COLUMN(BJ51)-1,8),RAMY=DEC2BIN(ROW(BJ51)-1,8)),DATA,BJ51)</f>
        <v>0</v>
      </c>
      <c r="BK51" s="87">
        <f ca="1">IF(AND(OP="11",RAMX=DEC2BIN(COLUMN(BK51)-1,8),RAMY=DEC2BIN(ROW(BK51)-1,8)),DATA,BK51)</f>
        <v>0</v>
      </c>
      <c r="BL51" s="87">
        <f ca="1">IF(AND(OP="11",RAMX=DEC2BIN(COLUMN(BL51)-1,8),RAMY=DEC2BIN(ROW(BL51)-1,8)),DATA,BL51)</f>
        <v>0</v>
      </c>
    </row>
    <row r="52" spans="1:64" x14ac:dyDescent="0.25">
      <c r="A52" s="87">
        <f ca="1">IF(AND(OP="11",RAMX=DEC2BIN(COLUMN(A52)-1,8),RAMY=DEC2BIN(ROW(A52)-1,8)),DATA,A52)</f>
        <v>0</v>
      </c>
      <c r="B52" s="87">
        <f ca="1">IF(AND(OP="11",RAMX=DEC2BIN(COLUMN(B52)-1,8),RAMY=DEC2BIN(ROW(B52)-1,8)),DATA,B52)</f>
        <v>0</v>
      </c>
      <c r="C52" s="87">
        <f ca="1">IF(AND(OP="11",RAMX=DEC2BIN(COLUMN(C52)-1,8),RAMY=DEC2BIN(ROW(C52)-1,8)),DATA,C52)</f>
        <v>0</v>
      </c>
      <c r="D52" s="87">
        <f ca="1">IF(AND(OP="11",RAMX=DEC2BIN(COLUMN(D52)-1,8),RAMY=DEC2BIN(ROW(D52)-1,8)),DATA,D52)</f>
        <v>0</v>
      </c>
      <c r="E52" s="87">
        <f ca="1">IF(AND(OP="11",RAMX=DEC2BIN(COLUMN(E52)-1,8),RAMY=DEC2BIN(ROW(E52)-1,8)),DATA,E52)</f>
        <v>0</v>
      </c>
      <c r="F52" s="87">
        <f ca="1">IF(AND(OP="11",RAMX=DEC2BIN(COLUMN(F52)-1,8),RAMY=DEC2BIN(ROW(F52)-1,8)),DATA,F52)</f>
        <v>0</v>
      </c>
      <c r="G52" s="87">
        <f ca="1">IF(AND(OP="11",RAMX=DEC2BIN(COLUMN(G52)-1,8),RAMY=DEC2BIN(ROW(G52)-1,8)),DATA,G52)</f>
        <v>0</v>
      </c>
      <c r="H52" s="87">
        <f ca="1">IF(AND(OP="11",RAMX=DEC2BIN(COLUMN(H52)-1,8),RAMY=DEC2BIN(ROW(H52)-1,8)),DATA,H52)</f>
        <v>0</v>
      </c>
      <c r="I52" s="87">
        <f ca="1">IF(AND(OP="11",RAMX=DEC2BIN(COLUMN(I52)-1,8),RAMY=DEC2BIN(ROW(I52)-1,8)),DATA,I52)</f>
        <v>0</v>
      </c>
      <c r="J52" s="87">
        <f ca="1">IF(AND(OP="11",RAMX=DEC2BIN(COLUMN(J52)-1,8),RAMY=DEC2BIN(ROW(J52)-1,8)),DATA,J52)</f>
        <v>0</v>
      </c>
      <c r="K52" s="87">
        <f ca="1">IF(AND(OP="11",RAMX=DEC2BIN(COLUMN(K52)-1,8),RAMY=DEC2BIN(ROW(K52)-1,8)),DATA,K52)</f>
        <v>0</v>
      </c>
      <c r="L52" s="87">
        <f ca="1">IF(AND(OP="11",RAMX=DEC2BIN(COLUMN(L52)-1,8),RAMY=DEC2BIN(ROW(L52)-1,8)),DATA,L52)</f>
        <v>0</v>
      </c>
      <c r="M52" s="87">
        <f ca="1">IF(AND(OP="11",RAMX=DEC2BIN(COLUMN(M52)-1,8),RAMY=DEC2BIN(ROW(M52)-1,8)),DATA,M52)</f>
        <v>0</v>
      </c>
      <c r="N52" s="87">
        <f ca="1">IF(AND(OP="11",RAMX=DEC2BIN(COLUMN(N52)-1,8),RAMY=DEC2BIN(ROW(N52)-1,8)),DATA,N52)</f>
        <v>0</v>
      </c>
      <c r="O52" s="87">
        <f ca="1">IF(AND(OP="11",RAMX=DEC2BIN(COLUMN(O52)-1,8),RAMY=DEC2BIN(ROW(O52)-1,8)),DATA,O52)</f>
        <v>0</v>
      </c>
      <c r="P52" s="87">
        <f ca="1">IF(AND(OP="11",RAMX=DEC2BIN(COLUMN(P52)-1,8),RAMY=DEC2BIN(ROW(P52)-1,8)),DATA,P52)</f>
        <v>0</v>
      </c>
      <c r="Q52" s="87">
        <f ca="1">IF(AND(OP="11",RAMX=DEC2BIN(COLUMN(Q52)-1,8),RAMY=DEC2BIN(ROW(Q52)-1,8)),DATA,Q52)</f>
        <v>0</v>
      </c>
      <c r="R52" s="87">
        <f ca="1">IF(AND(OP="11",RAMX=DEC2BIN(COLUMN(R52)-1,8),RAMY=DEC2BIN(ROW(R52)-1,8)),DATA,R52)</f>
        <v>0</v>
      </c>
      <c r="S52" s="87">
        <f ca="1">IF(AND(OP="11",RAMX=DEC2BIN(COLUMN(S52)-1,8),RAMY=DEC2BIN(ROW(S52)-1,8)),DATA,S52)</f>
        <v>0</v>
      </c>
      <c r="T52" s="87">
        <f ca="1">IF(AND(OP="11",RAMX=DEC2BIN(COLUMN(T52)-1,8),RAMY=DEC2BIN(ROW(T52)-1,8)),DATA,T52)</f>
        <v>0</v>
      </c>
      <c r="U52" s="87">
        <f ca="1">IF(AND(OP="11",RAMX=DEC2BIN(COLUMN(U52)-1,8),RAMY=DEC2BIN(ROW(U52)-1,8)),DATA,U52)</f>
        <v>0</v>
      </c>
      <c r="V52" s="87">
        <f ca="1">IF(AND(OP="11",RAMX=DEC2BIN(COLUMN(V52)-1,8),RAMY=DEC2BIN(ROW(V52)-1,8)),DATA,V52)</f>
        <v>0</v>
      </c>
      <c r="W52" s="87">
        <f ca="1">IF(AND(OP="11",RAMX=DEC2BIN(COLUMN(W52)-1,8),RAMY=DEC2BIN(ROW(W52)-1,8)),DATA,W52)</f>
        <v>0</v>
      </c>
      <c r="X52" s="87">
        <f ca="1">IF(AND(OP="11",RAMX=DEC2BIN(COLUMN(X52)-1,8),RAMY=DEC2BIN(ROW(X52)-1,8)),DATA,X52)</f>
        <v>0</v>
      </c>
      <c r="Y52" s="87">
        <f ca="1">IF(AND(OP="11",RAMX=DEC2BIN(COLUMN(Y52)-1,8),RAMY=DEC2BIN(ROW(Y52)-1,8)),DATA,Y52)</f>
        <v>0</v>
      </c>
      <c r="Z52" s="87">
        <f ca="1">IF(AND(OP="11",RAMX=DEC2BIN(COLUMN(Z52)-1,8),RAMY=DEC2BIN(ROW(Z52)-1,8)),DATA,Z52)</f>
        <v>0</v>
      </c>
      <c r="AA52" s="87">
        <f ca="1">IF(AND(OP="11",RAMX=DEC2BIN(COLUMN(AA52)-1,8),RAMY=DEC2BIN(ROW(AA52)-1,8)),DATA,AA52)</f>
        <v>0</v>
      </c>
      <c r="AB52" s="87">
        <f ca="1">IF(AND(OP="11",RAMX=DEC2BIN(COLUMN(AB52)-1,8),RAMY=DEC2BIN(ROW(AB52)-1,8)),DATA,AB52)</f>
        <v>0</v>
      </c>
      <c r="AC52" s="87">
        <f ca="1">IF(AND(OP="11",RAMX=DEC2BIN(COLUMN(AC52)-1,8),RAMY=DEC2BIN(ROW(AC52)-1,8)),DATA,AC52)</f>
        <v>0</v>
      </c>
      <c r="AD52" s="87">
        <f ca="1">IF(AND(OP="11",RAMX=DEC2BIN(COLUMN(AD52)-1,8),RAMY=DEC2BIN(ROW(AD52)-1,8)),DATA,AD52)</f>
        <v>0</v>
      </c>
      <c r="AE52" s="87">
        <f ca="1">IF(AND(OP="11",RAMX=DEC2BIN(COLUMN(AE52)-1,8),RAMY=DEC2BIN(ROW(AE52)-1,8)),DATA,AE52)</f>
        <v>0</v>
      </c>
      <c r="AF52" s="87">
        <f ca="1">IF(AND(OP="11",RAMX=DEC2BIN(COLUMN(AF52)-1,8),RAMY=DEC2BIN(ROW(AF52)-1,8)),DATA,AF52)</f>
        <v>0</v>
      </c>
      <c r="AG52" s="87">
        <f ca="1">IF(AND(OP="11",RAMX=DEC2BIN(COLUMN(AG52)-1,8),RAMY=DEC2BIN(ROW(AG52)-1,8)),DATA,AG52)</f>
        <v>0</v>
      </c>
      <c r="AH52" s="87">
        <f ca="1">IF(AND(OP="11",RAMX=DEC2BIN(COLUMN(AH52)-1,8),RAMY=DEC2BIN(ROW(AH52)-1,8)),DATA,AH52)</f>
        <v>0</v>
      </c>
      <c r="AI52" s="87">
        <f ca="1">IF(AND(OP="11",RAMX=DEC2BIN(COLUMN(AI52)-1,8),RAMY=DEC2BIN(ROW(AI52)-1,8)),DATA,AI52)</f>
        <v>0</v>
      </c>
      <c r="AJ52" s="87">
        <f ca="1">IF(AND(OP="11",RAMX=DEC2BIN(COLUMN(AJ52)-1,8),RAMY=DEC2BIN(ROW(AJ52)-1,8)),DATA,AJ52)</f>
        <v>0</v>
      </c>
      <c r="AK52" s="87">
        <f ca="1">IF(AND(OP="11",RAMX=DEC2BIN(COLUMN(AK52)-1,8),RAMY=DEC2BIN(ROW(AK52)-1,8)),DATA,AK52)</f>
        <v>0</v>
      </c>
      <c r="AL52" s="87">
        <f ca="1">IF(AND(OP="11",RAMX=DEC2BIN(COLUMN(AL52)-1,8),RAMY=DEC2BIN(ROW(AL52)-1,8)),DATA,AL52)</f>
        <v>0</v>
      </c>
      <c r="AM52" s="87">
        <f ca="1">IF(AND(OP="11",RAMX=DEC2BIN(COLUMN(AM52)-1,8),RAMY=DEC2BIN(ROW(AM52)-1,8)),DATA,AM52)</f>
        <v>0</v>
      </c>
      <c r="AN52" s="87">
        <f ca="1">IF(AND(OP="11",RAMX=DEC2BIN(COLUMN(AN52)-1,8),RAMY=DEC2BIN(ROW(AN52)-1,8)),DATA,AN52)</f>
        <v>0</v>
      </c>
      <c r="AO52" s="87">
        <f ca="1">IF(AND(OP="11",RAMX=DEC2BIN(COLUMN(AO52)-1,8),RAMY=DEC2BIN(ROW(AO52)-1,8)),DATA,AO52)</f>
        <v>0</v>
      </c>
      <c r="AP52" s="87">
        <f ca="1">IF(AND(OP="11",RAMX=DEC2BIN(COLUMN(AP52)-1,8),RAMY=DEC2BIN(ROW(AP52)-1,8)),DATA,AP52)</f>
        <v>0</v>
      </c>
      <c r="AQ52" s="87">
        <f ca="1">IF(AND(OP="11",RAMX=DEC2BIN(COLUMN(AQ52)-1,8),RAMY=DEC2BIN(ROW(AQ52)-1,8)),DATA,AQ52)</f>
        <v>0</v>
      </c>
      <c r="AR52" s="87">
        <f ca="1">IF(AND(OP="11",RAMX=DEC2BIN(COLUMN(AR52)-1,8),RAMY=DEC2BIN(ROW(AR52)-1,8)),DATA,AR52)</f>
        <v>0</v>
      </c>
      <c r="AS52" s="87">
        <f ca="1">IF(AND(OP="11",RAMX=DEC2BIN(COLUMN(AS52)-1,8),RAMY=DEC2BIN(ROW(AS52)-1,8)),DATA,AS52)</f>
        <v>0</v>
      </c>
      <c r="AT52" s="87">
        <f ca="1">IF(AND(OP="11",RAMX=DEC2BIN(COLUMN(AT52)-1,8),RAMY=DEC2BIN(ROW(AT52)-1,8)),DATA,AT52)</f>
        <v>0</v>
      </c>
      <c r="AU52" s="87">
        <f ca="1">IF(AND(OP="11",RAMX=DEC2BIN(COLUMN(AU52)-1,8),RAMY=DEC2BIN(ROW(AU52)-1,8)),DATA,AU52)</f>
        <v>0</v>
      </c>
      <c r="AV52" s="87">
        <f ca="1">IF(AND(OP="11",RAMX=DEC2BIN(COLUMN(AV52)-1,8),RAMY=DEC2BIN(ROW(AV52)-1,8)),DATA,AV52)</f>
        <v>0</v>
      </c>
      <c r="AW52" s="87">
        <f ca="1">IF(AND(OP="11",RAMX=DEC2BIN(COLUMN(AW52)-1,8),RAMY=DEC2BIN(ROW(AW52)-1,8)),DATA,AW52)</f>
        <v>0</v>
      </c>
      <c r="AX52" s="87">
        <f ca="1">IF(AND(OP="11",RAMX=DEC2BIN(COLUMN(AX52)-1,8),RAMY=DEC2BIN(ROW(AX52)-1,8)),DATA,AX52)</f>
        <v>0</v>
      </c>
      <c r="AY52" s="87">
        <f ca="1">IF(AND(OP="11",RAMX=DEC2BIN(COLUMN(AY52)-1,8),RAMY=DEC2BIN(ROW(AY52)-1,8)),DATA,AY52)</f>
        <v>0</v>
      </c>
      <c r="AZ52" s="87">
        <f ca="1">IF(AND(OP="11",RAMX=DEC2BIN(COLUMN(AZ52)-1,8),RAMY=DEC2BIN(ROW(AZ52)-1,8)),DATA,AZ52)</f>
        <v>0</v>
      </c>
      <c r="BA52" s="87">
        <f ca="1">IF(AND(OP="11",RAMX=DEC2BIN(COLUMN(BA52)-1,8),RAMY=DEC2BIN(ROW(BA52)-1,8)),DATA,BA52)</f>
        <v>0</v>
      </c>
      <c r="BB52" s="87">
        <f ca="1">IF(AND(OP="11",RAMX=DEC2BIN(COLUMN(BB52)-1,8),RAMY=DEC2BIN(ROW(BB52)-1,8)),DATA,BB52)</f>
        <v>0</v>
      </c>
      <c r="BC52" s="87">
        <f ca="1">IF(AND(OP="11",RAMX=DEC2BIN(COLUMN(BC52)-1,8),RAMY=DEC2BIN(ROW(BC52)-1,8)),DATA,BC52)</f>
        <v>0</v>
      </c>
      <c r="BD52" s="87">
        <f ca="1">IF(AND(OP="11",RAMX=DEC2BIN(COLUMN(BD52)-1,8),RAMY=DEC2BIN(ROW(BD52)-1,8)),DATA,BD52)</f>
        <v>0</v>
      </c>
      <c r="BE52" s="87">
        <f ca="1">IF(AND(OP="11",RAMX=DEC2BIN(COLUMN(BE52)-1,8),RAMY=DEC2BIN(ROW(BE52)-1,8)),DATA,BE52)</f>
        <v>0</v>
      </c>
      <c r="BF52" s="87">
        <f ca="1">IF(AND(OP="11",RAMX=DEC2BIN(COLUMN(BF52)-1,8),RAMY=DEC2BIN(ROW(BF52)-1,8)),DATA,BF52)</f>
        <v>0</v>
      </c>
      <c r="BG52" s="87">
        <f ca="1">IF(AND(OP="11",RAMX=DEC2BIN(COLUMN(BG52)-1,8),RAMY=DEC2BIN(ROW(BG52)-1,8)),DATA,BG52)</f>
        <v>0</v>
      </c>
      <c r="BH52" s="87">
        <f ca="1">IF(AND(OP="11",RAMX=DEC2BIN(COLUMN(BH52)-1,8),RAMY=DEC2BIN(ROW(BH52)-1,8)),DATA,BH52)</f>
        <v>0</v>
      </c>
      <c r="BI52" s="87">
        <f ca="1">IF(AND(OP="11",RAMX=DEC2BIN(COLUMN(BI52)-1,8),RAMY=DEC2BIN(ROW(BI52)-1,8)),DATA,BI52)</f>
        <v>0</v>
      </c>
      <c r="BJ52" s="87">
        <f ca="1">IF(AND(OP="11",RAMX=DEC2BIN(COLUMN(BJ52)-1,8),RAMY=DEC2BIN(ROW(BJ52)-1,8)),DATA,BJ52)</f>
        <v>0</v>
      </c>
      <c r="BK52" s="87">
        <f ca="1">IF(AND(OP="11",RAMX=DEC2BIN(COLUMN(BK52)-1,8),RAMY=DEC2BIN(ROW(BK52)-1,8)),DATA,BK52)</f>
        <v>0</v>
      </c>
      <c r="BL52" s="87">
        <f ca="1">IF(AND(OP="11",RAMX=DEC2BIN(COLUMN(BL52)-1,8),RAMY=DEC2BIN(ROW(BL52)-1,8)),DATA,BL52)</f>
        <v>0</v>
      </c>
    </row>
    <row r="53" spans="1:64" x14ac:dyDescent="0.25">
      <c r="A53" s="87">
        <f ca="1">IF(AND(OP="11",RAMX=DEC2BIN(COLUMN(A53)-1,8),RAMY=DEC2BIN(ROW(A53)-1,8)),DATA,A53)</f>
        <v>0</v>
      </c>
      <c r="B53" s="87">
        <f ca="1">IF(AND(OP="11",RAMX=DEC2BIN(COLUMN(B53)-1,8),RAMY=DEC2BIN(ROW(B53)-1,8)),DATA,B53)</f>
        <v>0</v>
      </c>
      <c r="C53" s="87">
        <f ca="1">IF(AND(OP="11",RAMX=DEC2BIN(COLUMN(C53)-1,8),RAMY=DEC2BIN(ROW(C53)-1,8)),DATA,C53)</f>
        <v>0</v>
      </c>
      <c r="D53" s="87">
        <f ca="1">IF(AND(OP="11",RAMX=DEC2BIN(COLUMN(D53)-1,8),RAMY=DEC2BIN(ROW(D53)-1,8)),DATA,D53)</f>
        <v>0</v>
      </c>
      <c r="E53" s="87">
        <f ca="1">IF(AND(OP="11",RAMX=DEC2BIN(COLUMN(E53)-1,8),RAMY=DEC2BIN(ROW(E53)-1,8)),DATA,E53)</f>
        <v>0</v>
      </c>
      <c r="F53" s="87">
        <f ca="1">IF(AND(OP="11",RAMX=DEC2BIN(COLUMN(F53)-1,8),RAMY=DEC2BIN(ROW(F53)-1,8)),DATA,F53)</f>
        <v>0</v>
      </c>
      <c r="G53" s="87">
        <f ca="1">IF(AND(OP="11",RAMX=DEC2BIN(COLUMN(G53)-1,8),RAMY=DEC2BIN(ROW(G53)-1,8)),DATA,G53)</f>
        <v>0</v>
      </c>
      <c r="H53" s="87">
        <f ca="1">IF(AND(OP="11",RAMX=DEC2BIN(COLUMN(H53)-1,8),RAMY=DEC2BIN(ROW(H53)-1,8)),DATA,H53)</f>
        <v>0</v>
      </c>
      <c r="I53" s="87">
        <f ca="1">IF(AND(OP="11",RAMX=DEC2BIN(COLUMN(I53)-1,8),RAMY=DEC2BIN(ROW(I53)-1,8)),DATA,I53)</f>
        <v>0</v>
      </c>
      <c r="J53" s="87">
        <f ca="1">IF(AND(OP="11",RAMX=DEC2BIN(COLUMN(J53)-1,8),RAMY=DEC2BIN(ROW(J53)-1,8)),DATA,J53)</f>
        <v>0</v>
      </c>
      <c r="K53" s="87">
        <f ca="1">IF(AND(OP="11",RAMX=DEC2BIN(COLUMN(K53)-1,8),RAMY=DEC2BIN(ROW(K53)-1,8)),DATA,K53)</f>
        <v>0</v>
      </c>
      <c r="L53" s="87">
        <f ca="1">IF(AND(OP="11",RAMX=DEC2BIN(COLUMN(L53)-1,8),RAMY=DEC2BIN(ROW(L53)-1,8)),DATA,L53)</f>
        <v>0</v>
      </c>
      <c r="M53" s="87">
        <f ca="1">IF(AND(OP="11",RAMX=DEC2BIN(COLUMN(M53)-1,8),RAMY=DEC2BIN(ROW(M53)-1,8)),DATA,M53)</f>
        <v>0</v>
      </c>
      <c r="N53" s="87">
        <f ca="1">IF(AND(OP="11",RAMX=DEC2BIN(COLUMN(N53)-1,8),RAMY=DEC2BIN(ROW(N53)-1,8)),DATA,N53)</f>
        <v>0</v>
      </c>
      <c r="O53" s="87">
        <f ca="1">IF(AND(OP="11",RAMX=DEC2BIN(COLUMN(O53)-1,8),RAMY=DEC2BIN(ROW(O53)-1,8)),DATA,O53)</f>
        <v>0</v>
      </c>
      <c r="P53" s="87">
        <f ca="1">IF(AND(OP="11",RAMX=DEC2BIN(COLUMN(P53)-1,8),RAMY=DEC2BIN(ROW(P53)-1,8)),DATA,P53)</f>
        <v>0</v>
      </c>
      <c r="Q53" s="87">
        <f ca="1">IF(AND(OP="11",RAMX=DEC2BIN(COLUMN(Q53)-1,8),RAMY=DEC2BIN(ROW(Q53)-1,8)),DATA,Q53)</f>
        <v>0</v>
      </c>
      <c r="R53" s="87">
        <f ca="1">IF(AND(OP="11",RAMX=DEC2BIN(COLUMN(R53)-1,8),RAMY=DEC2BIN(ROW(R53)-1,8)),DATA,R53)</f>
        <v>0</v>
      </c>
      <c r="S53" s="87">
        <f ca="1">IF(AND(OP="11",RAMX=DEC2BIN(COLUMN(S53)-1,8),RAMY=DEC2BIN(ROW(S53)-1,8)),DATA,S53)</f>
        <v>0</v>
      </c>
      <c r="T53" s="87">
        <f ca="1">IF(AND(OP="11",RAMX=DEC2BIN(COLUMN(T53)-1,8),RAMY=DEC2BIN(ROW(T53)-1,8)),DATA,T53)</f>
        <v>0</v>
      </c>
      <c r="U53" s="87">
        <f ca="1">IF(AND(OP="11",RAMX=DEC2BIN(COLUMN(U53)-1,8),RAMY=DEC2BIN(ROW(U53)-1,8)),DATA,U53)</f>
        <v>0</v>
      </c>
      <c r="V53" s="87">
        <f ca="1">IF(AND(OP="11",RAMX=DEC2BIN(COLUMN(V53)-1,8),RAMY=DEC2BIN(ROW(V53)-1,8)),DATA,V53)</f>
        <v>0</v>
      </c>
      <c r="W53" s="87">
        <f ca="1">IF(AND(OP="11",RAMX=DEC2BIN(COLUMN(W53)-1,8),RAMY=DEC2BIN(ROW(W53)-1,8)),DATA,W53)</f>
        <v>0</v>
      </c>
      <c r="X53" s="87">
        <f ca="1">IF(AND(OP="11",RAMX=DEC2BIN(COLUMN(X53)-1,8),RAMY=DEC2BIN(ROW(X53)-1,8)),DATA,X53)</f>
        <v>0</v>
      </c>
      <c r="Y53" s="87">
        <f ca="1">IF(AND(OP="11",RAMX=DEC2BIN(COLUMN(Y53)-1,8),RAMY=DEC2BIN(ROW(Y53)-1,8)),DATA,Y53)</f>
        <v>0</v>
      </c>
      <c r="Z53" s="87">
        <f ca="1">IF(AND(OP="11",RAMX=DEC2BIN(COLUMN(Z53)-1,8),RAMY=DEC2BIN(ROW(Z53)-1,8)),DATA,Z53)</f>
        <v>0</v>
      </c>
      <c r="AA53" s="87">
        <f ca="1">IF(AND(OP="11",RAMX=DEC2BIN(COLUMN(AA53)-1,8),RAMY=DEC2BIN(ROW(AA53)-1,8)),DATA,AA53)</f>
        <v>0</v>
      </c>
      <c r="AB53" s="87">
        <f ca="1">IF(AND(OP="11",RAMX=DEC2BIN(COLUMN(AB53)-1,8),RAMY=DEC2BIN(ROW(AB53)-1,8)),DATA,AB53)</f>
        <v>0</v>
      </c>
      <c r="AC53" s="87">
        <f ca="1">IF(AND(OP="11",RAMX=DEC2BIN(COLUMN(AC53)-1,8),RAMY=DEC2BIN(ROW(AC53)-1,8)),DATA,AC53)</f>
        <v>0</v>
      </c>
      <c r="AD53" s="87">
        <f ca="1">IF(AND(OP="11",RAMX=DEC2BIN(COLUMN(AD53)-1,8),RAMY=DEC2BIN(ROW(AD53)-1,8)),DATA,AD53)</f>
        <v>0</v>
      </c>
      <c r="AE53" s="87">
        <f ca="1">IF(AND(OP="11",RAMX=DEC2BIN(COLUMN(AE53)-1,8),RAMY=DEC2BIN(ROW(AE53)-1,8)),DATA,AE53)</f>
        <v>0</v>
      </c>
      <c r="AF53" s="87">
        <f ca="1">IF(AND(OP="11",RAMX=DEC2BIN(COLUMN(AF53)-1,8),RAMY=DEC2BIN(ROW(AF53)-1,8)),DATA,AF53)</f>
        <v>0</v>
      </c>
      <c r="AG53" s="87">
        <f ca="1">IF(AND(OP="11",RAMX=DEC2BIN(COLUMN(AG53)-1,8),RAMY=DEC2BIN(ROW(AG53)-1,8)),DATA,AG53)</f>
        <v>0</v>
      </c>
      <c r="AH53" s="87">
        <f ca="1">IF(AND(OP="11",RAMX=DEC2BIN(COLUMN(AH53)-1,8),RAMY=DEC2BIN(ROW(AH53)-1,8)),DATA,AH53)</f>
        <v>0</v>
      </c>
      <c r="AI53" s="87">
        <f ca="1">IF(AND(OP="11",RAMX=DEC2BIN(COLUMN(AI53)-1,8),RAMY=DEC2BIN(ROW(AI53)-1,8)),DATA,AI53)</f>
        <v>0</v>
      </c>
      <c r="AJ53" s="87">
        <f ca="1">IF(AND(OP="11",RAMX=DEC2BIN(COLUMN(AJ53)-1,8),RAMY=DEC2BIN(ROW(AJ53)-1,8)),DATA,AJ53)</f>
        <v>0</v>
      </c>
      <c r="AK53" s="87">
        <f ca="1">IF(AND(OP="11",RAMX=DEC2BIN(COLUMN(AK53)-1,8),RAMY=DEC2BIN(ROW(AK53)-1,8)),DATA,AK53)</f>
        <v>0</v>
      </c>
      <c r="AL53" s="87">
        <f ca="1">IF(AND(OP="11",RAMX=DEC2BIN(COLUMN(AL53)-1,8),RAMY=DEC2BIN(ROW(AL53)-1,8)),DATA,AL53)</f>
        <v>0</v>
      </c>
      <c r="AM53" s="87">
        <f ca="1">IF(AND(OP="11",RAMX=DEC2BIN(COLUMN(AM53)-1,8),RAMY=DEC2BIN(ROW(AM53)-1,8)),DATA,AM53)</f>
        <v>0</v>
      </c>
      <c r="AN53" s="87">
        <f ca="1">IF(AND(OP="11",RAMX=DEC2BIN(COLUMN(AN53)-1,8),RAMY=DEC2BIN(ROW(AN53)-1,8)),DATA,AN53)</f>
        <v>0</v>
      </c>
      <c r="AO53" s="87">
        <f ca="1">IF(AND(OP="11",RAMX=DEC2BIN(COLUMN(AO53)-1,8),RAMY=DEC2BIN(ROW(AO53)-1,8)),DATA,AO53)</f>
        <v>0</v>
      </c>
      <c r="AP53" s="87">
        <f ca="1">IF(AND(OP="11",RAMX=DEC2BIN(COLUMN(AP53)-1,8),RAMY=DEC2BIN(ROW(AP53)-1,8)),DATA,AP53)</f>
        <v>0</v>
      </c>
      <c r="AQ53" s="87">
        <f ca="1">IF(AND(OP="11",RAMX=DEC2BIN(COLUMN(AQ53)-1,8),RAMY=DEC2BIN(ROW(AQ53)-1,8)),DATA,AQ53)</f>
        <v>0</v>
      </c>
      <c r="AR53" s="87">
        <f ca="1">IF(AND(OP="11",RAMX=DEC2BIN(COLUMN(AR53)-1,8),RAMY=DEC2BIN(ROW(AR53)-1,8)),DATA,AR53)</f>
        <v>0</v>
      </c>
      <c r="AS53" s="87">
        <f ca="1">IF(AND(OP="11",RAMX=DEC2BIN(COLUMN(AS53)-1,8),RAMY=DEC2BIN(ROW(AS53)-1,8)),DATA,AS53)</f>
        <v>0</v>
      </c>
      <c r="AT53" s="87">
        <f ca="1">IF(AND(OP="11",RAMX=DEC2BIN(COLUMN(AT53)-1,8),RAMY=DEC2BIN(ROW(AT53)-1,8)),DATA,AT53)</f>
        <v>0</v>
      </c>
      <c r="AU53" s="87">
        <f ca="1">IF(AND(OP="11",RAMX=DEC2BIN(COLUMN(AU53)-1,8),RAMY=DEC2BIN(ROW(AU53)-1,8)),DATA,AU53)</f>
        <v>0</v>
      </c>
      <c r="AV53" s="87">
        <f ca="1">IF(AND(OP="11",RAMX=DEC2BIN(COLUMN(AV53)-1,8),RAMY=DEC2BIN(ROW(AV53)-1,8)),DATA,AV53)</f>
        <v>0</v>
      </c>
      <c r="AW53" s="87">
        <f ca="1">IF(AND(OP="11",RAMX=DEC2BIN(COLUMN(AW53)-1,8),RAMY=DEC2BIN(ROW(AW53)-1,8)),DATA,AW53)</f>
        <v>0</v>
      </c>
      <c r="AX53" s="87">
        <f ca="1">IF(AND(OP="11",RAMX=DEC2BIN(COLUMN(AX53)-1,8),RAMY=DEC2BIN(ROW(AX53)-1,8)),DATA,AX53)</f>
        <v>0</v>
      </c>
      <c r="AY53" s="87">
        <f ca="1">IF(AND(OP="11",RAMX=DEC2BIN(COLUMN(AY53)-1,8),RAMY=DEC2BIN(ROW(AY53)-1,8)),DATA,AY53)</f>
        <v>0</v>
      </c>
      <c r="AZ53" s="87">
        <f ca="1">IF(AND(OP="11",RAMX=DEC2BIN(COLUMN(AZ53)-1,8),RAMY=DEC2BIN(ROW(AZ53)-1,8)),DATA,AZ53)</f>
        <v>0</v>
      </c>
      <c r="BA53" s="87">
        <f ca="1">IF(AND(OP="11",RAMX=DEC2BIN(COLUMN(BA53)-1,8),RAMY=DEC2BIN(ROW(BA53)-1,8)),DATA,BA53)</f>
        <v>0</v>
      </c>
      <c r="BB53" s="87">
        <f ca="1">IF(AND(OP="11",RAMX=DEC2BIN(COLUMN(BB53)-1,8),RAMY=DEC2BIN(ROW(BB53)-1,8)),DATA,BB53)</f>
        <v>0</v>
      </c>
      <c r="BC53" s="87">
        <f ca="1">IF(AND(OP="11",RAMX=DEC2BIN(COLUMN(BC53)-1,8),RAMY=DEC2BIN(ROW(BC53)-1,8)),DATA,BC53)</f>
        <v>0</v>
      </c>
      <c r="BD53" s="87">
        <f ca="1">IF(AND(OP="11",RAMX=DEC2BIN(COLUMN(BD53)-1,8),RAMY=DEC2BIN(ROW(BD53)-1,8)),DATA,BD53)</f>
        <v>0</v>
      </c>
      <c r="BE53" s="87">
        <f ca="1">IF(AND(OP="11",RAMX=DEC2BIN(COLUMN(BE53)-1,8),RAMY=DEC2BIN(ROW(BE53)-1,8)),DATA,BE53)</f>
        <v>0</v>
      </c>
      <c r="BF53" s="87">
        <f ca="1">IF(AND(OP="11",RAMX=DEC2BIN(COLUMN(BF53)-1,8),RAMY=DEC2BIN(ROW(BF53)-1,8)),DATA,BF53)</f>
        <v>0</v>
      </c>
      <c r="BG53" s="87">
        <f ca="1">IF(AND(OP="11",RAMX=DEC2BIN(COLUMN(BG53)-1,8),RAMY=DEC2BIN(ROW(BG53)-1,8)),DATA,BG53)</f>
        <v>0</v>
      </c>
      <c r="BH53" s="87">
        <f ca="1">IF(AND(OP="11",RAMX=DEC2BIN(COLUMN(BH53)-1,8),RAMY=DEC2BIN(ROW(BH53)-1,8)),DATA,BH53)</f>
        <v>0</v>
      </c>
      <c r="BI53" s="87">
        <f ca="1">IF(AND(OP="11",RAMX=DEC2BIN(COLUMN(BI53)-1,8),RAMY=DEC2BIN(ROW(BI53)-1,8)),DATA,BI53)</f>
        <v>0</v>
      </c>
      <c r="BJ53" s="87">
        <f ca="1">IF(AND(OP="11",RAMX=DEC2BIN(COLUMN(BJ53)-1,8),RAMY=DEC2BIN(ROW(BJ53)-1,8)),DATA,BJ53)</f>
        <v>0</v>
      </c>
      <c r="BK53" s="87">
        <f ca="1">IF(AND(OP="11",RAMX=DEC2BIN(COLUMN(BK53)-1,8),RAMY=DEC2BIN(ROW(BK53)-1,8)),DATA,BK53)</f>
        <v>0</v>
      </c>
      <c r="BL53" s="87">
        <f ca="1">IF(AND(OP="11",RAMX=DEC2BIN(COLUMN(BL53)-1,8),RAMY=DEC2BIN(ROW(BL53)-1,8)),DATA,BL53)</f>
        <v>0</v>
      </c>
    </row>
    <row r="54" spans="1:64" x14ac:dyDescent="0.25">
      <c r="A54" s="87">
        <f ca="1">IF(AND(OP="11",RAMX=DEC2BIN(COLUMN(A54)-1,8),RAMY=DEC2BIN(ROW(A54)-1,8)),DATA,A54)</f>
        <v>0</v>
      </c>
      <c r="B54" s="87">
        <f ca="1">IF(AND(OP="11",RAMX=DEC2BIN(COLUMN(B54)-1,8),RAMY=DEC2BIN(ROW(B54)-1,8)),DATA,B54)</f>
        <v>0</v>
      </c>
      <c r="C54" s="87">
        <f ca="1">IF(AND(OP="11",RAMX=DEC2BIN(COLUMN(C54)-1,8),RAMY=DEC2BIN(ROW(C54)-1,8)),DATA,C54)</f>
        <v>0</v>
      </c>
      <c r="D54" s="87">
        <f ca="1">IF(AND(OP="11",RAMX=DEC2BIN(COLUMN(D54)-1,8),RAMY=DEC2BIN(ROW(D54)-1,8)),DATA,D54)</f>
        <v>0</v>
      </c>
      <c r="E54" s="87">
        <f ca="1">IF(AND(OP="11",RAMX=DEC2BIN(COLUMN(E54)-1,8),RAMY=DEC2BIN(ROW(E54)-1,8)),DATA,E54)</f>
        <v>0</v>
      </c>
      <c r="F54" s="87">
        <f ca="1">IF(AND(OP="11",RAMX=DEC2BIN(COLUMN(F54)-1,8),RAMY=DEC2BIN(ROW(F54)-1,8)),DATA,F54)</f>
        <v>0</v>
      </c>
      <c r="G54" s="87">
        <f ca="1">IF(AND(OP="11",RAMX=DEC2BIN(COLUMN(G54)-1,8),RAMY=DEC2BIN(ROW(G54)-1,8)),DATA,G54)</f>
        <v>0</v>
      </c>
      <c r="H54" s="87">
        <f ca="1">IF(AND(OP="11",RAMX=DEC2BIN(COLUMN(H54)-1,8),RAMY=DEC2BIN(ROW(H54)-1,8)),DATA,H54)</f>
        <v>0</v>
      </c>
      <c r="I54" s="87">
        <f ca="1">IF(AND(OP="11",RAMX=DEC2BIN(COLUMN(I54)-1,8),RAMY=DEC2BIN(ROW(I54)-1,8)),DATA,I54)</f>
        <v>0</v>
      </c>
      <c r="J54" s="87">
        <f ca="1">IF(AND(OP="11",RAMX=DEC2BIN(COLUMN(J54)-1,8),RAMY=DEC2BIN(ROW(J54)-1,8)),DATA,J54)</f>
        <v>0</v>
      </c>
      <c r="K54" s="87">
        <f ca="1">IF(AND(OP="11",RAMX=DEC2BIN(COLUMN(K54)-1,8),RAMY=DEC2BIN(ROW(K54)-1,8)),DATA,K54)</f>
        <v>0</v>
      </c>
      <c r="L54" s="87">
        <f ca="1">IF(AND(OP="11",RAMX=DEC2BIN(COLUMN(L54)-1,8),RAMY=DEC2BIN(ROW(L54)-1,8)),DATA,L54)</f>
        <v>0</v>
      </c>
      <c r="M54" s="87">
        <f ca="1">IF(AND(OP="11",RAMX=DEC2BIN(COLUMN(M54)-1,8),RAMY=DEC2BIN(ROW(M54)-1,8)),DATA,M54)</f>
        <v>0</v>
      </c>
      <c r="N54" s="87">
        <f ca="1">IF(AND(OP="11",RAMX=DEC2BIN(COLUMN(N54)-1,8),RAMY=DEC2BIN(ROW(N54)-1,8)),DATA,N54)</f>
        <v>0</v>
      </c>
      <c r="O54" s="87">
        <f ca="1">IF(AND(OP="11",RAMX=DEC2BIN(COLUMN(O54)-1,8),RAMY=DEC2BIN(ROW(O54)-1,8)),DATA,O54)</f>
        <v>0</v>
      </c>
      <c r="P54" s="87">
        <f ca="1">IF(AND(OP="11",RAMX=DEC2BIN(COLUMN(P54)-1,8),RAMY=DEC2BIN(ROW(P54)-1,8)),DATA,P54)</f>
        <v>0</v>
      </c>
      <c r="Q54" s="87">
        <f ca="1">IF(AND(OP="11",RAMX=DEC2BIN(COLUMN(Q54)-1,8),RAMY=DEC2BIN(ROW(Q54)-1,8)),DATA,Q54)</f>
        <v>0</v>
      </c>
      <c r="R54" s="87">
        <f ca="1">IF(AND(OP="11",RAMX=DEC2BIN(COLUMN(R54)-1,8),RAMY=DEC2BIN(ROW(R54)-1,8)),DATA,R54)</f>
        <v>0</v>
      </c>
      <c r="S54" s="87">
        <f ca="1">IF(AND(OP="11",RAMX=DEC2BIN(COLUMN(S54)-1,8),RAMY=DEC2BIN(ROW(S54)-1,8)),DATA,S54)</f>
        <v>0</v>
      </c>
      <c r="T54" s="87">
        <f ca="1">IF(AND(OP="11",RAMX=DEC2BIN(COLUMN(T54)-1,8),RAMY=DEC2BIN(ROW(T54)-1,8)),DATA,T54)</f>
        <v>0</v>
      </c>
      <c r="U54" s="87">
        <f ca="1">IF(AND(OP="11",RAMX=DEC2BIN(COLUMN(U54)-1,8),RAMY=DEC2BIN(ROW(U54)-1,8)),DATA,U54)</f>
        <v>0</v>
      </c>
      <c r="V54" s="87">
        <f ca="1">IF(AND(OP="11",RAMX=DEC2BIN(COLUMN(V54)-1,8),RAMY=DEC2BIN(ROW(V54)-1,8)),DATA,V54)</f>
        <v>0</v>
      </c>
      <c r="W54" s="87">
        <f ca="1">IF(AND(OP="11",RAMX=DEC2BIN(COLUMN(W54)-1,8),RAMY=DEC2BIN(ROW(W54)-1,8)),DATA,W54)</f>
        <v>0</v>
      </c>
      <c r="X54" s="87">
        <f ca="1">IF(AND(OP="11",RAMX=DEC2BIN(COLUMN(X54)-1,8),RAMY=DEC2BIN(ROW(X54)-1,8)),DATA,X54)</f>
        <v>0</v>
      </c>
      <c r="Y54" s="87">
        <f ca="1">IF(AND(OP="11",RAMX=DEC2BIN(COLUMN(Y54)-1,8),RAMY=DEC2BIN(ROW(Y54)-1,8)),DATA,Y54)</f>
        <v>0</v>
      </c>
      <c r="Z54" s="87">
        <f ca="1">IF(AND(OP="11",RAMX=DEC2BIN(COLUMN(Z54)-1,8),RAMY=DEC2BIN(ROW(Z54)-1,8)),DATA,Z54)</f>
        <v>0</v>
      </c>
      <c r="AA54" s="87">
        <f ca="1">IF(AND(OP="11",RAMX=DEC2BIN(COLUMN(AA54)-1,8),RAMY=DEC2BIN(ROW(AA54)-1,8)),DATA,AA54)</f>
        <v>0</v>
      </c>
      <c r="AB54" s="87">
        <f ca="1">IF(AND(OP="11",RAMX=DEC2BIN(COLUMN(AB54)-1,8),RAMY=DEC2BIN(ROW(AB54)-1,8)),DATA,AB54)</f>
        <v>0</v>
      </c>
      <c r="AC54" s="87">
        <f ca="1">IF(AND(OP="11",RAMX=DEC2BIN(COLUMN(AC54)-1,8),RAMY=DEC2BIN(ROW(AC54)-1,8)),DATA,AC54)</f>
        <v>0</v>
      </c>
      <c r="AD54" s="87">
        <f ca="1">IF(AND(OP="11",RAMX=DEC2BIN(COLUMN(AD54)-1,8),RAMY=DEC2BIN(ROW(AD54)-1,8)),DATA,AD54)</f>
        <v>0</v>
      </c>
      <c r="AE54" s="87">
        <f ca="1">IF(AND(OP="11",RAMX=DEC2BIN(COLUMN(AE54)-1,8),RAMY=DEC2BIN(ROW(AE54)-1,8)),DATA,AE54)</f>
        <v>0</v>
      </c>
      <c r="AF54" s="87">
        <f ca="1">IF(AND(OP="11",RAMX=DEC2BIN(COLUMN(AF54)-1,8),RAMY=DEC2BIN(ROW(AF54)-1,8)),DATA,AF54)</f>
        <v>0</v>
      </c>
      <c r="AG54" s="87">
        <f ca="1">IF(AND(OP="11",RAMX=DEC2BIN(COLUMN(AG54)-1,8),RAMY=DEC2BIN(ROW(AG54)-1,8)),DATA,AG54)</f>
        <v>0</v>
      </c>
      <c r="AH54" s="87">
        <f ca="1">IF(AND(OP="11",RAMX=DEC2BIN(COLUMN(AH54)-1,8),RAMY=DEC2BIN(ROW(AH54)-1,8)),DATA,AH54)</f>
        <v>0</v>
      </c>
      <c r="AI54" s="87">
        <f ca="1">IF(AND(OP="11",RAMX=DEC2BIN(COLUMN(AI54)-1,8),RAMY=DEC2BIN(ROW(AI54)-1,8)),DATA,AI54)</f>
        <v>0</v>
      </c>
      <c r="AJ54" s="87">
        <f ca="1">IF(AND(OP="11",RAMX=DEC2BIN(COLUMN(AJ54)-1,8),RAMY=DEC2BIN(ROW(AJ54)-1,8)),DATA,AJ54)</f>
        <v>0</v>
      </c>
      <c r="AK54" s="87">
        <f ca="1">IF(AND(OP="11",RAMX=DEC2BIN(COLUMN(AK54)-1,8),RAMY=DEC2BIN(ROW(AK54)-1,8)),DATA,AK54)</f>
        <v>0</v>
      </c>
      <c r="AL54" s="87">
        <f ca="1">IF(AND(OP="11",RAMX=DEC2BIN(COLUMN(AL54)-1,8),RAMY=DEC2BIN(ROW(AL54)-1,8)),DATA,AL54)</f>
        <v>0</v>
      </c>
      <c r="AM54" s="87">
        <f ca="1">IF(AND(OP="11",RAMX=DEC2BIN(COLUMN(AM54)-1,8),RAMY=DEC2BIN(ROW(AM54)-1,8)),DATA,AM54)</f>
        <v>0</v>
      </c>
      <c r="AN54" s="87">
        <f ca="1">IF(AND(OP="11",RAMX=DEC2BIN(COLUMN(AN54)-1,8),RAMY=DEC2BIN(ROW(AN54)-1,8)),DATA,AN54)</f>
        <v>0</v>
      </c>
      <c r="AO54" s="87">
        <f ca="1">IF(AND(OP="11",RAMX=DEC2BIN(COLUMN(AO54)-1,8),RAMY=DEC2BIN(ROW(AO54)-1,8)),DATA,AO54)</f>
        <v>0</v>
      </c>
      <c r="AP54" s="87">
        <f ca="1">IF(AND(OP="11",RAMX=DEC2BIN(COLUMN(AP54)-1,8),RAMY=DEC2BIN(ROW(AP54)-1,8)),DATA,AP54)</f>
        <v>0</v>
      </c>
      <c r="AQ54" s="87">
        <f ca="1">IF(AND(OP="11",RAMX=DEC2BIN(COLUMN(AQ54)-1,8),RAMY=DEC2BIN(ROW(AQ54)-1,8)),DATA,AQ54)</f>
        <v>0</v>
      </c>
      <c r="AR54" s="87">
        <f ca="1">IF(AND(OP="11",RAMX=DEC2BIN(COLUMN(AR54)-1,8),RAMY=DEC2BIN(ROW(AR54)-1,8)),DATA,AR54)</f>
        <v>0</v>
      </c>
      <c r="AS54" s="87">
        <f ca="1">IF(AND(OP="11",RAMX=DEC2BIN(COLUMN(AS54)-1,8),RAMY=DEC2BIN(ROW(AS54)-1,8)),DATA,AS54)</f>
        <v>0</v>
      </c>
      <c r="AT54" s="87">
        <f ca="1">IF(AND(OP="11",RAMX=DEC2BIN(COLUMN(AT54)-1,8),RAMY=DEC2BIN(ROW(AT54)-1,8)),DATA,AT54)</f>
        <v>0</v>
      </c>
      <c r="AU54" s="87">
        <f ca="1">IF(AND(OP="11",RAMX=DEC2BIN(COLUMN(AU54)-1,8),RAMY=DEC2BIN(ROW(AU54)-1,8)),DATA,AU54)</f>
        <v>0</v>
      </c>
      <c r="AV54" s="87">
        <f ca="1">IF(AND(OP="11",RAMX=DEC2BIN(COLUMN(AV54)-1,8),RAMY=DEC2BIN(ROW(AV54)-1,8)),DATA,AV54)</f>
        <v>0</v>
      </c>
      <c r="AW54" s="87">
        <f ca="1">IF(AND(OP="11",RAMX=DEC2BIN(COLUMN(AW54)-1,8),RAMY=DEC2BIN(ROW(AW54)-1,8)),DATA,AW54)</f>
        <v>0</v>
      </c>
      <c r="AX54" s="87">
        <f ca="1">IF(AND(OP="11",RAMX=DEC2BIN(COLUMN(AX54)-1,8),RAMY=DEC2BIN(ROW(AX54)-1,8)),DATA,AX54)</f>
        <v>0</v>
      </c>
      <c r="AY54" s="87">
        <f ca="1">IF(AND(OP="11",RAMX=DEC2BIN(COLUMN(AY54)-1,8),RAMY=DEC2BIN(ROW(AY54)-1,8)),DATA,AY54)</f>
        <v>0</v>
      </c>
      <c r="AZ54" s="87">
        <f ca="1">IF(AND(OP="11",RAMX=DEC2BIN(COLUMN(AZ54)-1,8),RAMY=DEC2BIN(ROW(AZ54)-1,8)),DATA,AZ54)</f>
        <v>0</v>
      </c>
      <c r="BA54" s="87">
        <f ca="1">IF(AND(OP="11",RAMX=DEC2BIN(COLUMN(BA54)-1,8),RAMY=DEC2BIN(ROW(BA54)-1,8)),DATA,BA54)</f>
        <v>0</v>
      </c>
      <c r="BB54" s="87">
        <f ca="1">IF(AND(OP="11",RAMX=DEC2BIN(COLUMN(BB54)-1,8),RAMY=DEC2BIN(ROW(BB54)-1,8)),DATA,BB54)</f>
        <v>0</v>
      </c>
      <c r="BC54" s="87">
        <f ca="1">IF(AND(OP="11",RAMX=DEC2BIN(COLUMN(BC54)-1,8),RAMY=DEC2BIN(ROW(BC54)-1,8)),DATA,BC54)</f>
        <v>0</v>
      </c>
      <c r="BD54" s="87">
        <f ca="1">IF(AND(OP="11",RAMX=DEC2BIN(COLUMN(BD54)-1,8),RAMY=DEC2BIN(ROW(BD54)-1,8)),DATA,BD54)</f>
        <v>0</v>
      </c>
      <c r="BE54" s="87">
        <f ca="1">IF(AND(OP="11",RAMX=DEC2BIN(COLUMN(BE54)-1,8),RAMY=DEC2BIN(ROW(BE54)-1,8)),DATA,BE54)</f>
        <v>0</v>
      </c>
      <c r="BF54" s="87">
        <f ca="1">IF(AND(OP="11",RAMX=DEC2BIN(COLUMN(BF54)-1,8),RAMY=DEC2BIN(ROW(BF54)-1,8)),DATA,BF54)</f>
        <v>0</v>
      </c>
      <c r="BG54" s="87">
        <f ca="1">IF(AND(OP="11",RAMX=DEC2BIN(COLUMN(BG54)-1,8),RAMY=DEC2BIN(ROW(BG54)-1,8)),DATA,BG54)</f>
        <v>0</v>
      </c>
      <c r="BH54" s="87">
        <f ca="1">IF(AND(OP="11",RAMX=DEC2BIN(COLUMN(BH54)-1,8),RAMY=DEC2BIN(ROW(BH54)-1,8)),DATA,BH54)</f>
        <v>0</v>
      </c>
      <c r="BI54" s="87">
        <f ca="1">IF(AND(OP="11",RAMX=DEC2BIN(COLUMN(BI54)-1,8),RAMY=DEC2BIN(ROW(BI54)-1,8)),DATA,BI54)</f>
        <v>0</v>
      </c>
      <c r="BJ54" s="87">
        <f ca="1">IF(AND(OP="11",RAMX=DEC2BIN(COLUMN(BJ54)-1,8),RAMY=DEC2BIN(ROW(BJ54)-1,8)),DATA,BJ54)</f>
        <v>0</v>
      </c>
      <c r="BK54" s="87">
        <f ca="1">IF(AND(OP="11",RAMX=DEC2BIN(COLUMN(BK54)-1,8),RAMY=DEC2BIN(ROW(BK54)-1,8)),DATA,BK54)</f>
        <v>0</v>
      </c>
      <c r="BL54" s="87">
        <f ca="1">IF(AND(OP="11",RAMX=DEC2BIN(COLUMN(BL54)-1,8),RAMY=DEC2BIN(ROW(BL54)-1,8)),DATA,BL54)</f>
        <v>0</v>
      </c>
    </row>
    <row r="55" spans="1:64" x14ac:dyDescent="0.25">
      <c r="A55" s="87">
        <f ca="1">IF(AND(OP="11",RAMX=DEC2BIN(COLUMN(A55)-1,8),RAMY=DEC2BIN(ROW(A55)-1,8)),DATA,A55)</f>
        <v>0</v>
      </c>
      <c r="B55" s="87">
        <f ca="1">IF(AND(OP="11",RAMX=DEC2BIN(COLUMN(B55)-1,8),RAMY=DEC2BIN(ROW(B55)-1,8)),DATA,B55)</f>
        <v>0</v>
      </c>
      <c r="C55" s="87">
        <f ca="1">IF(AND(OP="11",RAMX=DEC2BIN(COLUMN(C55)-1,8),RAMY=DEC2BIN(ROW(C55)-1,8)),DATA,C55)</f>
        <v>0</v>
      </c>
      <c r="D55" s="87">
        <f ca="1">IF(AND(OP="11",RAMX=DEC2BIN(COLUMN(D55)-1,8),RAMY=DEC2BIN(ROW(D55)-1,8)),DATA,D55)</f>
        <v>0</v>
      </c>
      <c r="E55" s="87">
        <f ca="1">IF(AND(OP="11",RAMX=DEC2BIN(COLUMN(E55)-1,8),RAMY=DEC2BIN(ROW(E55)-1,8)),DATA,E55)</f>
        <v>0</v>
      </c>
      <c r="F55" s="87">
        <f ca="1">IF(AND(OP="11",RAMX=DEC2BIN(COLUMN(F55)-1,8),RAMY=DEC2BIN(ROW(F55)-1,8)),DATA,F55)</f>
        <v>0</v>
      </c>
      <c r="G55" s="87">
        <f ca="1">IF(AND(OP="11",RAMX=DEC2BIN(COLUMN(G55)-1,8),RAMY=DEC2BIN(ROW(G55)-1,8)),DATA,G55)</f>
        <v>0</v>
      </c>
      <c r="H55" s="87">
        <f ca="1">IF(AND(OP="11",RAMX=DEC2BIN(COLUMN(H55)-1,8),RAMY=DEC2BIN(ROW(H55)-1,8)),DATA,H55)</f>
        <v>0</v>
      </c>
      <c r="I55" s="87">
        <f ca="1">IF(AND(OP="11",RAMX=DEC2BIN(COLUMN(I55)-1,8),RAMY=DEC2BIN(ROW(I55)-1,8)),DATA,I55)</f>
        <v>0</v>
      </c>
      <c r="J55" s="87">
        <f ca="1">IF(AND(OP="11",RAMX=DEC2BIN(COLUMN(J55)-1,8),RAMY=DEC2BIN(ROW(J55)-1,8)),DATA,J55)</f>
        <v>0</v>
      </c>
      <c r="K55" s="87">
        <f ca="1">IF(AND(OP="11",RAMX=DEC2BIN(COLUMN(K55)-1,8),RAMY=DEC2BIN(ROW(K55)-1,8)),DATA,K55)</f>
        <v>0</v>
      </c>
      <c r="L55" s="87">
        <f ca="1">IF(AND(OP="11",RAMX=DEC2BIN(COLUMN(L55)-1,8),RAMY=DEC2BIN(ROW(L55)-1,8)),DATA,L55)</f>
        <v>0</v>
      </c>
      <c r="M55" s="87">
        <f ca="1">IF(AND(OP="11",RAMX=DEC2BIN(COLUMN(M55)-1,8),RAMY=DEC2BIN(ROW(M55)-1,8)),DATA,M55)</f>
        <v>0</v>
      </c>
      <c r="N55" s="87">
        <f ca="1">IF(AND(OP="11",RAMX=DEC2BIN(COLUMN(N55)-1,8),RAMY=DEC2BIN(ROW(N55)-1,8)),DATA,N55)</f>
        <v>0</v>
      </c>
      <c r="O55" s="87">
        <f ca="1">IF(AND(OP="11",RAMX=DEC2BIN(COLUMN(O55)-1,8),RAMY=DEC2BIN(ROW(O55)-1,8)),DATA,O55)</f>
        <v>0</v>
      </c>
      <c r="P55" s="87">
        <f ca="1">IF(AND(OP="11",RAMX=DEC2BIN(COLUMN(P55)-1,8),RAMY=DEC2BIN(ROW(P55)-1,8)),DATA,P55)</f>
        <v>0</v>
      </c>
      <c r="Q55" s="87">
        <f ca="1">IF(AND(OP="11",RAMX=DEC2BIN(COLUMN(Q55)-1,8),RAMY=DEC2BIN(ROW(Q55)-1,8)),DATA,Q55)</f>
        <v>0</v>
      </c>
      <c r="R55" s="87">
        <f ca="1">IF(AND(OP="11",RAMX=DEC2BIN(COLUMN(R55)-1,8),RAMY=DEC2BIN(ROW(R55)-1,8)),DATA,R55)</f>
        <v>0</v>
      </c>
      <c r="S55" s="87">
        <f ca="1">IF(AND(OP="11",RAMX=DEC2BIN(COLUMN(S55)-1,8),RAMY=DEC2BIN(ROW(S55)-1,8)),DATA,S55)</f>
        <v>0</v>
      </c>
      <c r="T55" s="87">
        <f ca="1">IF(AND(OP="11",RAMX=DEC2BIN(COLUMN(T55)-1,8),RAMY=DEC2BIN(ROW(T55)-1,8)),DATA,T55)</f>
        <v>0</v>
      </c>
      <c r="U55" s="87">
        <f ca="1">IF(AND(OP="11",RAMX=DEC2BIN(COLUMN(U55)-1,8),RAMY=DEC2BIN(ROW(U55)-1,8)),DATA,U55)</f>
        <v>0</v>
      </c>
      <c r="V55" s="87">
        <f ca="1">IF(AND(OP="11",RAMX=DEC2BIN(COLUMN(V55)-1,8),RAMY=DEC2BIN(ROW(V55)-1,8)),DATA,V55)</f>
        <v>0</v>
      </c>
      <c r="W55" s="87">
        <f ca="1">IF(AND(OP="11",RAMX=DEC2BIN(COLUMN(W55)-1,8),RAMY=DEC2BIN(ROW(W55)-1,8)),DATA,W55)</f>
        <v>0</v>
      </c>
      <c r="X55" s="87">
        <f ca="1">IF(AND(OP="11",RAMX=DEC2BIN(COLUMN(X55)-1,8),RAMY=DEC2BIN(ROW(X55)-1,8)),DATA,X55)</f>
        <v>0</v>
      </c>
      <c r="Y55" s="87">
        <f ca="1">IF(AND(OP="11",RAMX=DEC2BIN(COLUMN(Y55)-1,8),RAMY=DEC2BIN(ROW(Y55)-1,8)),DATA,Y55)</f>
        <v>0</v>
      </c>
      <c r="Z55" s="87">
        <f ca="1">IF(AND(OP="11",RAMX=DEC2BIN(COLUMN(Z55)-1,8),RAMY=DEC2BIN(ROW(Z55)-1,8)),DATA,Z55)</f>
        <v>0</v>
      </c>
      <c r="AA55" s="87">
        <f ca="1">IF(AND(OP="11",RAMX=DEC2BIN(COLUMN(AA55)-1,8),RAMY=DEC2BIN(ROW(AA55)-1,8)),DATA,AA55)</f>
        <v>0</v>
      </c>
      <c r="AB55" s="87">
        <f ca="1">IF(AND(OP="11",RAMX=DEC2BIN(COLUMN(AB55)-1,8),RAMY=DEC2BIN(ROW(AB55)-1,8)),DATA,AB55)</f>
        <v>0</v>
      </c>
      <c r="AC55" s="87">
        <f ca="1">IF(AND(OP="11",RAMX=DEC2BIN(COLUMN(AC55)-1,8),RAMY=DEC2BIN(ROW(AC55)-1,8)),DATA,AC55)</f>
        <v>0</v>
      </c>
      <c r="AD55" s="87">
        <f ca="1">IF(AND(OP="11",RAMX=DEC2BIN(COLUMN(AD55)-1,8),RAMY=DEC2BIN(ROW(AD55)-1,8)),DATA,AD55)</f>
        <v>0</v>
      </c>
      <c r="AE55" s="87">
        <f ca="1">IF(AND(OP="11",RAMX=DEC2BIN(COLUMN(AE55)-1,8),RAMY=DEC2BIN(ROW(AE55)-1,8)),DATA,AE55)</f>
        <v>0</v>
      </c>
      <c r="AF55" s="87">
        <f ca="1">IF(AND(OP="11",RAMX=DEC2BIN(COLUMN(AF55)-1,8),RAMY=DEC2BIN(ROW(AF55)-1,8)),DATA,AF55)</f>
        <v>0</v>
      </c>
      <c r="AG55" s="87">
        <f ca="1">IF(AND(OP="11",RAMX=DEC2BIN(COLUMN(AG55)-1,8),RAMY=DEC2BIN(ROW(AG55)-1,8)),DATA,AG55)</f>
        <v>0</v>
      </c>
      <c r="AH55" s="87">
        <f ca="1">IF(AND(OP="11",RAMX=DEC2BIN(COLUMN(AH55)-1,8),RAMY=DEC2BIN(ROW(AH55)-1,8)),DATA,AH55)</f>
        <v>0</v>
      </c>
      <c r="AI55" s="87">
        <f ca="1">IF(AND(OP="11",RAMX=DEC2BIN(COLUMN(AI55)-1,8),RAMY=DEC2BIN(ROW(AI55)-1,8)),DATA,AI55)</f>
        <v>0</v>
      </c>
      <c r="AJ55" s="87">
        <f ca="1">IF(AND(OP="11",RAMX=DEC2BIN(COLUMN(AJ55)-1,8),RAMY=DEC2BIN(ROW(AJ55)-1,8)),DATA,AJ55)</f>
        <v>0</v>
      </c>
      <c r="AK55" s="87">
        <f ca="1">IF(AND(OP="11",RAMX=DEC2BIN(COLUMN(AK55)-1,8),RAMY=DEC2BIN(ROW(AK55)-1,8)),DATA,AK55)</f>
        <v>0</v>
      </c>
      <c r="AL55" s="87">
        <f ca="1">IF(AND(OP="11",RAMX=DEC2BIN(COLUMN(AL55)-1,8),RAMY=DEC2BIN(ROW(AL55)-1,8)),DATA,AL55)</f>
        <v>0</v>
      </c>
      <c r="AM55" s="87">
        <f ca="1">IF(AND(OP="11",RAMX=DEC2BIN(COLUMN(AM55)-1,8),RAMY=DEC2BIN(ROW(AM55)-1,8)),DATA,AM55)</f>
        <v>0</v>
      </c>
      <c r="AN55" s="87">
        <f ca="1">IF(AND(OP="11",RAMX=DEC2BIN(COLUMN(AN55)-1,8),RAMY=DEC2BIN(ROW(AN55)-1,8)),DATA,AN55)</f>
        <v>0</v>
      </c>
      <c r="AO55" s="87">
        <f ca="1">IF(AND(OP="11",RAMX=DEC2BIN(COLUMN(AO55)-1,8),RAMY=DEC2BIN(ROW(AO55)-1,8)),DATA,AO55)</f>
        <v>0</v>
      </c>
      <c r="AP55" s="87">
        <f ca="1">IF(AND(OP="11",RAMX=DEC2BIN(COLUMN(AP55)-1,8),RAMY=DEC2BIN(ROW(AP55)-1,8)),DATA,AP55)</f>
        <v>0</v>
      </c>
      <c r="AQ55" s="87">
        <f ca="1">IF(AND(OP="11",RAMX=DEC2BIN(COLUMN(AQ55)-1,8),RAMY=DEC2BIN(ROW(AQ55)-1,8)),DATA,AQ55)</f>
        <v>0</v>
      </c>
      <c r="AR55" s="87">
        <f ca="1">IF(AND(OP="11",RAMX=DEC2BIN(COLUMN(AR55)-1,8),RAMY=DEC2BIN(ROW(AR55)-1,8)),DATA,AR55)</f>
        <v>0</v>
      </c>
      <c r="AS55" s="87">
        <f ca="1">IF(AND(OP="11",RAMX=DEC2BIN(COLUMN(AS55)-1,8),RAMY=DEC2BIN(ROW(AS55)-1,8)),DATA,AS55)</f>
        <v>0</v>
      </c>
      <c r="AT55" s="87">
        <f ca="1">IF(AND(OP="11",RAMX=DEC2BIN(COLUMN(AT55)-1,8),RAMY=DEC2BIN(ROW(AT55)-1,8)),DATA,AT55)</f>
        <v>0</v>
      </c>
      <c r="AU55" s="87">
        <f ca="1">IF(AND(OP="11",RAMX=DEC2BIN(COLUMN(AU55)-1,8),RAMY=DEC2BIN(ROW(AU55)-1,8)),DATA,AU55)</f>
        <v>0</v>
      </c>
      <c r="AV55" s="87">
        <f ca="1">IF(AND(OP="11",RAMX=DEC2BIN(COLUMN(AV55)-1,8),RAMY=DEC2BIN(ROW(AV55)-1,8)),DATA,AV55)</f>
        <v>0</v>
      </c>
      <c r="AW55" s="87">
        <f ca="1">IF(AND(OP="11",RAMX=DEC2BIN(COLUMN(AW55)-1,8),RAMY=DEC2BIN(ROW(AW55)-1,8)),DATA,AW55)</f>
        <v>0</v>
      </c>
      <c r="AX55" s="87">
        <f ca="1">IF(AND(OP="11",RAMX=DEC2BIN(COLUMN(AX55)-1,8),RAMY=DEC2BIN(ROW(AX55)-1,8)),DATA,AX55)</f>
        <v>0</v>
      </c>
      <c r="AY55" s="87">
        <f ca="1">IF(AND(OP="11",RAMX=DEC2BIN(COLUMN(AY55)-1,8),RAMY=DEC2BIN(ROW(AY55)-1,8)),DATA,AY55)</f>
        <v>0</v>
      </c>
      <c r="AZ55" s="87">
        <f ca="1">IF(AND(OP="11",RAMX=DEC2BIN(COLUMN(AZ55)-1,8),RAMY=DEC2BIN(ROW(AZ55)-1,8)),DATA,AZ55)</f>
        <v>0</v>
      </c>
      <c r="BA55" s="87">
        <f ca="1">IF(AND(OP="11",RAMX=DEC2BIN(COLUMN(BA55)-1,8),RAMY=DEC2BIN(ROW(BA55)-1,8)),DATA,BA55)</f>
        <v>0</v>
      </c>
      <c r="BB55" s="87">
        <f ca="1">IF(AND(OP="11",RAMX=DEC2BIN(COLUMN(BB55)-1,8),RAMY=DEC2BIN(ROW(BB55)-1,8)),DATA,BB55)</f>
        <v>0</v>
      </c>
      <c r="BC55" s="87">
        <f ca="1">IF(AND(OP="11",RAMX=DEC2BIN(COLUMN(BC55)-1,8),RAMY=DEC2BIN(ROW(BC55)-1,8)),DATA,BC55)</f>
        <v>0</v>
      </c>
      <c r="BD55" s="87">
        <f ca="1">IF(AND(OP="11",RAMX=DEC2BIN(COLUMN(BD55)-1,8),RAMY=DEC2BIN(ROW(BD55)-1,8)),DATA,BD55)</f>
        <v>0</v>
      </c>
      <c r="BE55" s="87">
        <f ca="1">IF(AND(OP="11",RAMX=DEC2BIN(COLUMN(BE55)-1,8),RAMY=DEC2BIN(ROW(BE55)-1,8)),DATA,BE55)</f>
        <v>0</v>
      </c>
      <c r="BF55" s="87">
        <f ca="1">IF(AND(OP="11",RAMX=DEC2BIN(COLUMN(BF55)-1,8),RAMY=DEC2BIN(ROW(BF55)-1,8)),DATA,BF55)</f>
        <v>0</v>
      </c>
      <c r="BG55" s="87">
        <f ca="1">IF(AND(OP="11",RAMX=DEC2BIN(COLUMN(BG55)-1,8),RAMY=DEC2BIN(ROW(BG55)-1,8)),DATA,BG55)</f>
        <v>0</v>
      </c>
      <c r="BH55" s="87">
        <f ca="1">IF(AND(OP="11",RAMX=DEC2BIN(COLUMN(BH55)-1,8),RAMY=DEC2BIN(ROW(BH55)-1,8)),DATA,BH55)</f>
        <v>0</v>
      </c>
      <c r="BI55" s="87">
        <f ca="1">IF(AND(OP="11",RAMX=DEC2BIN(COLUMN(BI55)-1,8),RAMY=DEC2BIN(ROW(BI55)-1,8)),DATA,BI55)</f>
        <v>0</v>
      </c>
      <c r="BJ55" s="87">
        <f ca="1">IF(AND(OP="11",RAMX=DEC2BIN(COLUMN(BJ55)-1,8),RAMY=DEC2BIN(ROW(BJ55)-1,8)),DATA,BJ55)</f>
        <v>0</v>
      </c>
      <c r="BK55" s="87">
        <f ca="1">IF(AND(OP="11",RAMX=DEC2BIN(COLUMN(BK55)-1,8),RAMY=DEC2BIN(ROW(BK55)-1,8)),DATA,BK55)</f>
        <v>0</v>
      </c>
      <c r="BL55" s="87">
        <f ca="1">IF(AND(OP="11",RAMX=DEC2BIN(COLUMN(BL55)-1,8),RAMY=DEC2BIN(ROW(BL55)-1,8)),DATA,BL55)</f>
        <v>0</v>
      </c>
    </row>
    <row r="56" spans="1:64" x14ac:dyDescent="0.25">
      <c r="A56" s="87">
        <f ca="1">IF(AND(OP="11",RAMX=DEC2BIN(COLUMN(A56)-1,8),RAMY=DEC2BIN(ROW(A56)-1,8)),DATA,A56)</f>
        <v>0</v>
      </c>
      <c r="B56" s="87">
        <f ca="1">IF(AND(OP="11",RAMX=DEC2BIN(COLUMN(B56)-1,8),RAMY=DEC2BIN(ROW(B56)-1,8)),DATA,B56)</f>
        <v>0</v>
      </c>
      <c r="C56" s="87">
        <f ca="1">IF(AND(OP="11",RAMX=DEC2BIN(COLUMN(C56)-1,8),RAMY=DEC2BIN(ROW(C56)-1,8)),DATA,C56)</f>
        <v>0</v>
      </c>
      <c r="D56" s="87">
        <f ca="1">IF(AND(OP="11",RAMX=DEC2BIN(COLUMN(D56)-1,8),RAMY=DEC2BIN(ROW(D56)-1,8)),DATA,D56)</f>
        <v>0</v>
      </c>
      <c r="E56" s="87">
        <f ca="1">IF(AND(OP="11",RAMX=DEC2BIN(COLUMN(E56)-1,8),RAMY=DEC2BIN(ROW(E56)-1,8)),DATA,E56)</f>
        <v>0</v>
      </c>
      <c r="F56" s="87">
        <f ca="1">IF(AND(OP="11",RAMX=DEC2BIN(COLUMN(F56)-1,8),RAMY=DEC2BIN(ROW(F56)-1,8)),DATA,F56)</f>
        <v>0</v>
      </c>
      <c r="G56" s="87">
        <f ca="1">IF(AND(OP="11",RAMX=DEC2BIN(COLUMN(G56)-1,8),RAMY=DEC2BIN(ROW(G56)-1,8)),DATA,G56)</f>
        <v>0</v>
      </c>
      <c r="H56" s="87">
        <f ca="1">IF(AND(OP="11",RAMX=DEC2BIN(COLUMN(H56)-1,8),RAMY=DEC2BIN(ROW(H56)-1,8)),DATA,H56)</f>
        <v>0</v>
      </c>
      <c r="I56" s="87">
        <f ca="1">IF(AND(OP="11",RAMX=DEC2BIN(COLUMN(I56)-1,8),RAMY=DEC2BIN(ROW(I56)-1,8)),DATA,I56)</f>
        <v>0</v>
      </c>
      <c r="J56" s="87">
        <f ca="1">IF(AND(OP="11",RAMX=DEC2BIN(COLUMN(J56)-1,8),RAMY=DEC2BIN(ROW(J56)-1,8)),DATA,J56)</f>
        <v>0</v>
      </c>
      <c r="K56" s="87">
        <f ca="1">IF(AND(OP="11",RAMX=DEC2BIN(COLUMN(K56)-1,8),RAMY=DEC2BIN(ROW(K56)-1,8)),DATA,K56)</f>
        <v>0</v>
      </c>
      <c r="L56" s="87">
        <f ca="1">IF(AND(OP="11",RAMX=DEC2BIN(COLUMN(L56)-1,8),RAMY=DEC2BIN(ROW(L56)-1,8)),DATA,L56)</f>
        <v>0</v>
      </c>
      <c r="M56" s="87">
        <f ca="1">IF(AND(OP="11",RAMX=DEC2BIN(COLUMN(M56)-1,8),RAMY=DEC2BIN(ROW(M56)-1,8)),DATA,M56)</f>
        <v>0</v>
      </c>
      <c r="N56" s="87">
        <f ca="1">IF(AND(OP="11",RAMX=DEC2BIN(COLUMN(N56)-1,8),RAMY=DEC2BIN(ROW(N56)-1,8)),DATA,N56)</f>
        <v>0</v>
      </c>
      <c r="O56" s="87">
        <f ca="1">IF(AND(OP="11",RAMX=DEC2BIN(COLUMN(O56)-1,8),RAMY=DEC2BIN(ROW(O56)-1,8)),DATA,O56)</f>
        <v>0</v>
      </c>
      <c r="P56" s="87">
        <f ca="1">IF(AND(OP="11",RAMX=DEC2BIN(COLUMN(P56)-1,8),RAMY=DEC2BIN(ROW(P56)-1,8)),DATA,P56)</f>
        <v>0</v>
      </c>
      <c r="Q56" s="87">
        <f ca="1">IF(AND(OP="11",RAMX=DEC2BIN(COLUMN(Q56)-1,8),RAMY=DEC2BIN(ROW(Q56)-1,8)),DATA,Q56)</f>
        <v>0</v>
      </c>
      <c r="R56" s="87">
        <f ca="1">IF(AND(OP="11",RAMX=DEC2BIN(COLUMN(R56)-1,8),RAMY=DEC2BIN(ROW(R56)-1,8)),DATA,R56)</f>
        <v>0</v>
      </c>
      <c r="S56" s="87">
        <f ca="1">IF(AND(OP="11",RAMX=DEC2BIN(COLUMN(S56)-1,8),RAMY=DEC2BIN(ROW(S56)-1,8)),DATA,S56)</f>
        <v>0</v>
      </c>
      <c r="T56" s="87">
        <f ca="1">IF(AND(OP="11",RAMX=DEC2BIN(COLUMN(T56)-1,8),RAMY=DEC2BIN(ROW(T56)-1,8)),DATA,T56)</f>
        <v>0</v>
      </c>
      <c r="U56" s="87">
        <f ca="1">IF(AND(OP="11",RAMX=DEC2BIN(COLUMN(U56)-1,8),RAMY=DEC2BIN(ROW(U56)-1,8)),DATA,U56)</f>
        <v>0</v>
      </c>
      <c r="V56" s="87">
        <f ca="1">IF(AND(OP="11",RAMX=DEC2BIN(COLUMN(V56)-1,8),RAMY=DEC2BIN(ROW(V56)-1,8)),DATA,V56)</f>
        <v>0</v>
      </c>
      <c r="W56" s="87">
        <f ca="1">IF(AND(OP="11",RAMX=DEC2BIN(COLUMN(W56)-1,8),RAMY=DEC2BIN(ROW(W56)-1,8)),DATA,W56)</f>
        <v>0</v>
      </c>
      <c r="X56" s="87">
        <f ca="1">IF(AND(OP="11",RAMX=DEC2BIN(COLUMN(X56)-1,8),RAMY=DEC2BIN(ROW(X56)-1,8)),DATA,X56)</f>
        <v>0</v>
      </c>
      <c r="Y56" s="87">
        <f ca="1">IF(AND(OP="11",RAMX=DEC2BIN(COLUMN(Y56)-1,8),RAMY=DEC2BIN(ROW(Y56)-1,8)),DATA,Y56)</f>
        <v>0</v>
      </c>
      <c r="Z56" s="87">
        <f ca="1">IF(AND(OP="11",RAMX=DEC2BIN(COLUMN(Z56)-1,8),RAMY=DEC2BIN(ROW(Z56)-1,8)),DATA,Z56)</f>
        <v>0</v>
      </c>
      <c r="AA56" s="87">
        <f ca="1">IF(AND(OP="11",RAMX=DEC2BIN(COLUMN(AA56)-1,8),RAMY=DEC2BIN(ROW(AA56)-1,8)),DATA,AA56)</f>
        <v>0</v>
      </c>
      <c r="AB56" s="87">
        <f ca="1">IF(AND(OP="11",RAMX=DEC2BIN(COLUMN(AB56)-1,8),RAMY=DEC2BIN(ROW(AB56)-1,8)),DATA,AB56)</f>
        <v>0</v>
      </c>
      <c r="AC56" s="87">
        <f ca="1">IF(AND(OP="11",RAMX=DEC2BIN(COLUMN(AC56)-1,8),RAMY=DEC2BIN(ROW(AC56)-1,8)),DATA,AC56)</f>
        <v>0</v>
      </c>
      <c r="AD56" s="87">
        <f ca="1">IF(AND(OP="11",RAMX=DEC2BIN(COLUMN(AD56)-1,8),RAMY=DEC2BIN(ROW(AD56)-1,8)),DATA,AD56)</f>
        <v>0</v>
      </c>
      <c r="AE56" s="87">
        <f ca="1">IF(AND(OP="11",RAMX=DEC2BIN(COLUMN(AE56)-1,8),RAMY=DEC2BIN(ROW(AE56)-1,8)),DATA,AE56)</f>
        <v>0</v>
      </c>
      <c r="AF56" s="87">
        <f ca="1">IF(AND(OP="11",RAMX=DEC2BIN(COLUMN(AF56)-1,8),RAMY=DEC2BIN(ROW(AF56)-1,8)),DATA,AF56)</f>
        <v>0</v>
      </c>
      <c r="AG56" s="87">
        <f ca="1">IF(AND(OP="11",RAMX=DEC2BIN(COLUMN(AG56)-1,8),RAMY=DEC2BIN(ROW(AG56)-1,8)),DATA,AG56)</f>
        <v>0</v>
      </c>
      <c r="AH56" s="87">
        <f ca="1">IF(AND(OP="11",RAMX=DEC2BIN(COLUMN(AH56)-1,8),RAMY=DEC2BIN(ROW(AH56)-1,8)),DATA,AH56)</f>
        <v>0</v>
      </c>
      <c r="AI56" s="87">
        <f ca="1">IF(AND(OP="11",RAMX=DEC2BIN(COLUMN(AI56)-1,8),RAMY=DEC2BIN(ROW(AI56)-1,8)),DATA,AI56)</f>
        <v>0</v>
      </c>
      <c r="AJ56" s="87">
        <f ca="1">IF(AND(OP="11",RAMX=DEC2BIN(COLUMN(AJ56)-1,8),RAMY=DEC2BIN(ROW(AJ56)-1,8)),DATA,AJ56)</f>
        <v>0</v>
      </c>
      <c r="AK56" s="87">
        <f ca="1">IF(AND(OP="11",RAMX=DEC2BIN(COLUMN(AK56)-1,8),RAMY=DEC2BIN(ROW(AK56)-1,8)),DATA,AK56)</f>
        <v>0</v>
      </c>
      <c r="AL56" s="87">
        <f ca="1">IF(AND(OP="11",RAMX=DEC2BIN(COLUMN(AL56)-1,8),RAMY=DEC2BIN(ROW(AL56)-1,8)),DATA,AL56)</f>
        <v>0</v>
      </c>
      <c r="AM56" s="87">
        <f ca="1">IF(AND(OP="11",RAMX=DEC2BIN(COLUMN(AM56)-1,8),RAMY=DEC2BIN(ROW(AM56)-1,8)),DATA,AM56)</f>
        <v>0</v>
      </c>
      <c r="AN56" s="87">
        <f ca="1">IF(AND(OP="11",RAMX=DEC2BIN(COLUMN(AN56)-1,8),RAMY=DEC2BIN(ROW(AN56)-1,8)),DATA,AN56)</f>
        <v>0</v>
      </c>
      <c r="AO56" s="87">
        <f ca="1">IF(AND(OP="11",RAMX=DEC2BIN(COLUMN(AO56)-1,8),RAMY=DEC2BIN(ROW(AO56)-1,8)),DATA,AO56)</f>
        <v>0</v>
      </c>
      <c r="AP56" s="87">
        <f ca="1">IF(AND(OP="11",RAMX=DEC2BIN(COLUMN(AP56)-1,8),RAMY=DEC2BIN(ROW(AP56)-1,8)),DATA,AP56)</f>
        <v>0</v>
      </c>
      <c r="AQ56" s="87">
        <f ca="1">IF(AND(OP="11",RAMX=DEC2BIN(COLUMN(AQ56)-1,8),RAMY=DEC2BIN(ROW(AQ56)-1,8)),DATA,AQ56)</f>
        <v>0</v>
      </c>
      <c r="AR56" s="87">
        <f ca="1">IF(AND(OP="11",RAMX=DEC2BIN(COLUMN(AR56)-1,8),RAMY=DEC2BIN(ROW(AR56)-1,8)),DATA,AR56)</f>
        <v>0</v>
      </c>
      <c r="AS56" s="87">
        <f ca="1">IF(AND(OP="11",RAMX=DEC2BIN(COLUMN(AS56)-1,8),RAMY=DEC2BIN(ROW(AS56)-1,8)),DATA,AS56)</f>
        <v>0</v>
      </c>
      <c r="AT56" s="87">
        <f ca="1">IF(AND(OP="11",RAMX=DEC2BIN(COLUMN(AT56)-1,8),RAMY=DEC2BIN(ROW(AT56)-1,8)),DATA,AT56)</f>
        <v>0</v>
      </c>
      <c r="AU56" s="87">
        <f ca="1">IF(AND(OP="11",RAMX=DEC2BIN(COLUMN(AU56)-1,8),RAMY=DEC2BIN(ROW(AU56)-1,8)),DATA,AU56)</f>
        <v>0</v>
      </c>
      <c r="AV56" s="87">
        <f ca="1">IF(AND(OP="11",RAMX=DEC2BIN(COLUMN(AV56)-1,8),RAMY=DEC2BIN(ROW(AV56)-1,8)),DATA,AV56)</f>
        <v>0</v>
      </c>
      <c r="AW56" s="87">
        <f ca="1">IF(AND(OP="11",RAMX=DEC2BIN(COLUMN(AW56)-1,8),RAMY=DEC2BIN(ROW(AW56)-1,8)),DATA,AW56)</f>
        <v>0</v>
      </c>
      <c r="AX56" s="87">
        <f ca="1">IF(AND(OP="11",RAMX=DEC2BIN(COLUMN(AX56)-1,8),RAMY=DEC2BIN(ROW(AX56)-1,8)),DATA,AX56)</f>
        <v>0</v>
      </c>
      <c r="AY56" s="87">
        <f ca="1">IF(AND(OP="11",RAMX=DEC2BIN(COLUMN(AY56)-1,8),RAMY=DEC2BIN(ROW(AY56)-1,8)),DATA,AY56)</f>
        <v>0</v>
      </c>
      <c r="AZ56" s="87">
        <f ca="1">IF(AND(OP="11",RAMX=DEC2BIN(COLUMN(AZ56)-1,8),RAMY=DEC2BIN(ROW(AZ56)-1,8)),DATA,AZ56)</f>
        <v>0</v>
      </c>
      <c r="BA56" s="87">
        <f ca="1">IF(AND(OP="11",RAMX=DEC2BIN(COLUMN(BA56)-1,8),RAMY=DEC2BIN(ROW(BA56)-1,8)),DATA,BA56)</f>
        <v>0</v>
      </c>
      <c r="BB56" s="87">
        <f ca="1">IF(AND(OP="11",RAMX=DEC2BIN(COLUMN(BB56)-1,8),RAMY=DEC2BIN(ROW(BB56)-1,8)),DATA,BB56)</f>
        <v>0</v>
      </c>
      <c r="BC56" s="87">
        <f ca="1">IF(AND(OP="11",RAMX=DEC2BIN(COLUMN(BC56)-1,8),RAMY=DEC2BIN(ROW(BC56)-1,8)),DATA,BC56)</f>
        <v>0</v>
      </c>
      <c r="BD56" s="87">
        <f ca="1">IF(AND(OP="11",RAMX=DEC2BIN(COLUMN(BD56)-1,8),RAMY=DEC2BIN(ROW(BD56)-1,8)),DATA,BD56)</f>
        <v>0</v>
      </c>
      <c r="BE56" s="87">
        <f ca="1">IF(AND(OP="11",RAMX=DEC2BIN(COLUMN(BE56)-1,8),RAMY=DEC2BIN(ROW(BE56)-1,8)),DATA,BE56)</f>
        <v>0</v>
      </c>
      <c r="BF56" s="87">
        <f ca="1">IF(AND(OP="11",RAMX=DEC2BIN(COLUMN(BF56)-1,8),RAMY=DEC2BIN(ROW(BF56)-1,8)),DATA,BF56)</f>
        <v>0</v>
      </c>
      <c r="BG56" s="87">
        <f ca="1">IF(AND(OP="11",RAMX=DEC2BIN(COLUMN(BG56)-1,8),RAMY=DEC2BIN(ROW(BG56)-1,8)),DATA,BG56)</f>
        <v>0</v>
      </c>
      <c r="BH56" s="87">
        <f ca="1">IF(AND(OP="11",RAMX=DEC2BIN(COLUMN(BH56)-1,8),RAMY=DEC2BIN(ROW(BH56)-1,8)),DATA,BH56)</f>
        <v>0</v>
      </c>
      <c r="BI56" s="87">
        <f ca="1">IF(AND(OP="11",RAMX=DEC2BIN(COLUMN(BI56)-1,8),RAMY=DEC2BIN(ROW(BI56)-1,8)),DATA,BI56)</f>
        <v>0</v>
      </c>
      <c r="BJ56" s="87">
        <f ca="1">IF(AND(OP="11",RAMX=DEC2BIN(COLUMN(BJ56)-1,8),RAMY=DEC2BIN(ROW(BJ56)-1,8)),DATA,BJ56)</f>
        <v>0</v>
      </c>
      <c r="BK56" s="87">
        <f ca="1">IF(AND(OP="11",RAMX=DEC2BIN(COLUMN(BK56)-1,8),RAMY=DEC2BIN(ROW(BK56)-1,8)),DATA,BK56)</f>
        <v>0</v>
      </c>
      <c r="BL56" s="87">
        <f ca="1">IF(AND(OP="11",RAMX=DEC2BIN(COLUMN(BL56)-1,8),RAMY=DEC2BIN(ROW(BL56)-1,8)),DATA,BL56)</f>
        <v>0</v>
      </c>
    </row>
    <row r="57" spans="1:64" x14ac:dyDescent="0.25">
      <c r="A57" s="87">
        <f ca="1">IF(AND(OP="11",RAMX=DEC2BIN(COLUMN(A57)-1,8),RAMY=DEC2BIN(ROW(A57)-1,8)),DATA,A57)</f>
        <v>0</v>
      </c>
      <c r="B57" s="87">
        <f ca="1">IF(AND(OP="11",RAMX=DEC2BIN(COLUMN(B57)-1,8),RAMY=DEC2BIN(ROW(B57)-1,8)),DATA,B57)</f>
        <v>0</v>
      </c>
      <c r="C57" s="87">
        <f ca="1">IF(AND(OP="11",RAMX=DEC2BIN(COLUMN(C57)-1,8),RAMY=DEC2BIN(ROW(C57)-1,8)),DATA,C57)</f>
        <v>0</v>
      </c>
      <c r="D57" s="87">
        <f ca="1">IF(AND(OP="11",RAMX=DEC2BIN(COLUMN(D57)-1,8),RAMY=DEC2BIN(ROW(D57)-1,8)),DATA,D57)</f>
        <v>0</v>
      </c>
      <c r="E57" s="87">
        <f ca="1">IF(AND(OP="11",RAMX=DEC2BIN(COLUMN(E57)-1,8),RAMY=DEC2BIN(ROW(E57)-1,8)),DATA,E57)</f>
        <v>0</v>
      </c>
      <c r="F57" s="87">
        <f ca="1">IF(AND(OP="11",RAMX=DEC2BIN(COLUMN(F57)-1,8),RAMY=DEC2BIN(ROW(F57)-1,8)),DATA,F57)</f>
        <v>0</v>
      </c>
      <c r="G57" s="87">
        <f ca="1">IF(AND(OP="11",RAMX=DEC2BIN(COLUMN(G57)-1,8),RAMY=DEC2BIN(ROW(G57)-1,8)),DATA,G57)</f>
        <v>0</v>
      </c>
      <c r="H57" s="87">
        <f ca="1">IF(AND(OP="11",RAMX=DEC2BIN(COLUMN(H57)-1,8),RAMY=DEC2BIN(ROW(H57)-1,8)),DATA,H57)</f>
        <v>0</v>
      </c>
      <c r="I57" s="87">
        <f ca="1">IF(AND(OP="11",RAMX=DEC2BIN(COLUMN(I57)-1,8),RAMY=DEC2BIN(ROW(I57)-1,8)),DATA,I57)</f>
        <v>0</v>
      </c>
      <c r="J57" s="87">
        <f ca="1">IF(AND(OP="11",RAMX=DEC2BIN(COLUMN(J57)-1,8),RAMY=DEC2BIN(ROW(J57)-1,8)),DATA,J57)</f>
        <v>0</v>
      </c>
      <c r="K57" s="87">
        <f ca="1">IF(AND(OP="11",RAMX=DEC2BIN(COLUMN(K57)-1,8),RAMY=DEC2BIN(ROW(K57)-1,8)),DATA,K57)</f>
        <v>0</v>
      </c>
      <c r="L57" s="87">
        <f ca="1">IF(AND(OP="11",RAMX=DEC2BIN(COLUMN(L57)-1,8),RAMY=DEC2BIN(ROW(L57)-1,8)),DATA,L57)</f>
        <v>0</v>
      </c>
      <c r="M57" s="87">
        <f ca="1">IF(AND(OP="11",RAMX=DEC2BIN(COLUMN(M57)-1,8),RAMY=DEC2BIN(ROW(M57)-1,8)),DATA,M57)</f>
        <v>0</v>
      </c>
      <c r="N57" s="87">
        <f ca="1">IF(AND(OP="11",RAMX=DEC2BIN(COLUMN(N57)-1,8),RAMY=DEC2BIN(ROW(N57)-1,8)),DATA,N57)</f>
        <v>0</v>
      </c>
      <c r="O57" s="87">
        <f ca="1">IF(AND(OP="11",RAMX=DEC2BIN(COLUMN(O57)-1,8),RAMY=DEC2BIN(ROW(O57)-1,8)),DATA,O57)</f>
        <v>0</v>
      </c>
      <c r="P57" s="87">
        <f ca="1">IF(AND(OP="11",RAMX=DEC2BIN(COLUMN(P57)-1,8),RAMY=DEC2BIN(ROW(P57)-1,8)),DATA,P57)</f>
        <v>0</v>
      </c>
      <c r="Q57" s="87">
        <f ca="1">IF(AND(OP="11",RAMX=DEC2BIN(COLUMN(Q57)-1,8),RAMY=DEC2BIN(ROW(Q57)-1,8)),DATA,Q57)</f>
        <v>0</v>
      </c>
      <c r="R57" s="87">
        <f ca="1">IF(AND(OP="11",RAMX=DEC2BIN(COLUMN(R57)-1,8),RAMY=DEC2BIN(ROW(R57)-1,8)),DATA,R57)</f>
        <v>0</v>
      </c>
      <c r="S57" s="87">
        <f ca="1">IF(AND(OP="11",RAMX=DEC2BIN(COLUMN(S57)-1,8),RAMY=DEC2BIN(ROW(S57)-1,8)),DATA,S57)</f>
        <v>0</v>
      </c>
      <c r="T57" s="87">
        <f ca="1">IF(AND(OP="11",RAMX=DEC2BIN(COLUMN(T57)-1,8),RAMY=DEC2BIN(ROW(T57)-1,8)),DATA,T57)</f>
        <v>0</v>
      </c>
      <c r="U57" s="87">
        <f ca="1">IF(AND(OP="11",RAMX=DEC2BIN(COLUMN(U57)-1,8),RAMY=DEC2BIN(ROW(U57)-1,8)),DATA,U57)</f>
        <v>0</v>
      </c>
      <c r="V57" s="87">
        <f ca="1">IF(AND(OP="11",RAMX=DEC2BIN(COLUMN(V57)-1,8),RAMY=DEC2BIN(ROW(V57)-1,8)),DATA,V57)</f>
        <v>0</v>
      </c>
      <c r="W57" s="87">
        <f ca="1">IF(AND(OP="11",RAMX=DEC2BIN(COLUMN(W57)-1,8),RAMY=DEC2BIN(ROW(W57)-1,8)),DATA,W57)</f>
        <v>0</v>
      </c>
      <c r="X57" s="87">
        <f ca="1">IF(AND(OP="11",RAMX=DEC2BIN(COLUMN(X57)-1,8),RAMY=DEC2BIN(ROW(X57)-1,8)),DATA,X57)</f>
        <v>0</v>
      </c>
      <c r="Y57" s="87">
        <f ca="1">IF(AND(OP="11",RAMX=DEC2BIN(COLUMN(Y57)-1,8),RAMY=DEC2BIN(ROW(Y57)-1,8)),DATA,Y57)</f>
        <v>0</v>
      </c>
      <c r="Z57" s="87">
        <f ca="1">IF(AND(OP="11",RAMX=DEC2BIN(COLUMN(Z57)-1,8),RAMY=DEC2BIN(ROW(Z57)-1,8)),DATA,Z57)</f>
        <v>0</v>
      </c>
      <c r="AA57" s="87">
        <f ca="1">IF(AND(OP="11",RAMX=DEC2BIN(COLUMN(AA57)-1,8),RAMY=DEC2BIN(ROW(AA57)-1,8)),DATA,AA57)</f>
        <v>0</v>
      </c>
      <c r="AB57" s="87">
        <f ca="1">IF(AND(OP="11",RAMX=DEC2BIN(COLUMN(AB57)-1,8),RAMY=DEC2BIN(ROW(AB57)-1,8)),DATA,AB57)</f>
        <v>0</v>
      </c>
      <c r="AC57" s="87">
        <f ca="1">IF(AND(OP="11",RAMX=DEC2BIN(COLUMN(AC57)-1,8),RAMY=DEC2BIN(ROW(AC57)-1,8)),DATA,AC57)</f>
        <v>0</v>
      </c>
      <c r="AD57" s="87">
        <f ca="1">IF(AND(OP="11",RAMX=DEC2BIN(COLUMN(AD57)-1,8),RAMY=DEC2BIN(ROW(AD57)-1,8)),DATA,AD57)</f>
        <v>0</v>
      </c>
      <c r="AE57" s="87">
        <f ca="1">IF(AND(OP="11",RAMX=DEC2BIN(COLUMN(AE57)-1,8),RAMY=DEC2BIN(ROW(AE57)-1,8)),DATA,AE57)</f>
        <v>0</v>
      </c>
      <c r="AF57" s="87">
        <f ca="1">IF(AND(OP="11",RAMX=DEC2BIN(COLUMN(AF57)-1,8),RAMY=DEC2BIN(ROW(AF57)-1,8)),DATA,AF57)</f>
        <v>0</v>
      </c>
      <c r="AG57" s="87">
        <f ca="1">IF(AND(OP="11",RAMX=DEC2BIN(COLUMN(AG57)-1,8),RAMY=DEC2BIN(ROW(AG57)-1,8)),DATA,AG57)</f>
        <v>0</v>
      </c>
      <c r="AH57" s="87">
        <f ca="1">IF(AND(OP="11",RAMX=DEC2BIN(COLUMN(AH57)-1,8),RAMY=DEC2BIN(ROW(AH57)-1,8)),DATA,AH57)</f>
        <v>0</v>
      </c>
      <c r="AI57" s="87">
        <f ca="1">IF(AND(OP="11",RAMX=DEC2BIN(COLUMN(AI57)-1,8),RAMY=DEC2BIN(ROW(AI57)-1,8)),DATA,AI57)</f>
        <v>0</v>
      </c>
      <c r="AJ57" s="87">
        <f ca="1">IF(AND(OP="11",RAMX=DEC2BIN(COLUMN(AJ57)-1,8),RAMY=DEC2BIN(ROW(AJ57)-1,8)),DATA,AJ57)</f>
        <v>0</v>
      </c>
      <c r="AK57" s="87">
        <f ca="1">IF(AND(OP="11",RAMX=DEC2BIN(COLUMN(AK57)-1,8),RAMY=DEC2BIN(ROW(AK57)-1,8)),DATA,AK57)</f>
        <v>0</v>
      </c>
      <c r="AL57" s="87">
        <f ca="1">IF(AND(OP="11",RAMX=DEC2BIN(COLUMN(AL57)-1,8),RAMY=DEC2BIN(ROW(AL57)-1,8)),DATA,AL57)</f>
        <v>0</v>
      </c>
      <c r="AM57" s="87">
        <f ca="1">IF(AND(OP="11",RAMX=DEC2BIN(COLUMN(AM57)-1,8),RAMY=DEC2BIN(ROW(AM57)-1,8)),DATA,AM57)</f>
        <v>0</v>
      </c>
      <c r="AN57" s="87">
        <f ca="1">IF(AND(OP="11",RAMX=DEC2BIN(COLUMN(AN57)-1,8),RAMY=DEC2BIN(ROW(AN57)-1,8)),DATA,AN57)</f>
        <v>0</v>
      </c>
      <c r="AO57" s="87">
        <f ca="1">IF(AND(OP="11",RAMX=DEC2BIN(COLUMN(AO57)-1,8),RAMY=DEC2BIN(ROW(AO57)-1,8)),DATA,AO57)</f>
        <v>0</v>
      </c>
      <c r="AP57" s="87">
        <f ca="1">IF(AND(OP="11",RAMX=DEC2BIN(COLUMN(AP57)-1,8),RAMY=DEC2BIN(ROW(AP57)-1,8)),DATA,AP57)</f>
        <v>0</v>
      </c>
      <c r="AQ57" s="87">
        <f ca="1">IF(AND(OP="11",RAMX=DEC2BIN(COLUMN(AQ57)-1,8),RAMY=DEC2BIN(ROW(AQ57)-1,8)),DATA,AQ57)</f>
        <v>0</v>
      </c>
      <c r="AR57" s="87">
        <f ca="1">IF(AND(OP="11",RAMX=DEC2BIN(COLUMN(AR57)-1,8),RAMY=DEC2BIN(ROW(AR57)-1,8)),DATA,AR57)</f>
        <v>0</v>
      </c>
      <c r="AS57" s="87">
        <f ca="1">IF(AND(OP="11",RAMX=DEC2BIN(COLUMN(AS57)-1,8),RAMY=DEC2BIN(ROW(AS57)-1,8)),DATA,AS57)</f>
        <v>0</v>
      </c>
      <c r="AT57" s="87">
        <f ca="1">IF(AND(OP="11",RAMX=DEC2BIN(COLUMN(AT57)-1,8),RAMY=DEC2BIN(ROW(AT57)-1,8)),DATA,AT57)</f>
        <v>0</v>
      </c>
      <c r="AU57" s="87">
        <f ca="1">IF(AND(OP="11",RAMX=DEC2BIN(COLUMN(AU57)-1,8),RAMY=DEC2BIN(ROW(AU57)-1,8)),DATA,AU57)</f>
        <v>0</v>
      </c>
      <c r="AV57" s="87">
        <f ca="1">IF(AND(OP="11",RAMX=DEC2BIN(COLUMN(AV57)-1,8),RAMY=DEC2BIN(ROW(AV57)-1,8)),DATA,AV57)</f>
        <v>0</v>
      </c>
      <c r="AW57" s="87">
        <f ca="1">IF(AND(OP="11",RAMX=DEC2BIN(COLUMN(AW57)-1,8),RAMY=DEC2BIN(ROW(AW57)-1,8)),DATA,AW57)</f>
        <v>0</v>
      </c>
      <c r="AX57" s="87">
        <f ca="1">IF(AND(OP="11",RAMX=DEC2BIN(COLUMN(AX57)-1,8),RAMY=DEC2BIN(ROW(AX57)-1,8)),DATA,AX57)</f>
        <v>0</v>
      </c>
      <c r="AY57" s="87">
        <f ca="1">IF(AND(OP="11",RAMX=DEC2BIN(COLUMN(AY57)-1,8),RAMY=DEC2BIN(ROW(AY57)-1,8)),DATA,AY57)</f>
        <v>0</v>
      </c>
      <c r="AZ57" s="87">
        <f ca="1">IF(AND(OP="11",RAMX=DEC2BIN(COLUMN(AZ57)-1,8),RAMY=DEC2BIN(ROW(AZ57)-1,8)),DATA,AZ57)</f>
        <v>0</v>
      </c>
      <c r="BA57" s="87">
        <f ca="1">IF(AND(OP="11",RAMX=DEC2BIN(COLUMN(BA57)-1,8),RAMY=DEC2BIN(ROW(BA57)-1,8)),DATA,BA57)</f>
        <v>0</v>
      </c>
      <c r="BB57" s="87">
        <f ca="1">IF(AND(OP="11",RAMX=DEC2BIN(COLUMN(BB57)-1,8),RAMY=DEC2BIN(ROW(BB57)-1,8)),DATA,BB57)</f>
        <v>0</v>
      </c>
      <c r="BC57" s="87">
        <f ca="1">IF(AND(OP="11",RAMX=DEC2BIN(COLUMN(BC57)-1,8),RAMY=DEC2BIN(ROW(BC57)-1,8)),DATA,BC57)</f>
        <v>0</v>
      </c>
      <c r="BD57" s="87">
        <f ca="1">IF(AND(OP="11",RAMX=DEC2BIN(COLUMN(BD57)-1,8),RAMY=DEC2BIN(ROW(BD57)-1,8)),DATA,BD57)</f>
        <v>0</v>
      </c>
      <c r="BE57" s="87">
        <f ca="1">IF(AND(OP="11",RAMX=DEC2BIN(COLUMN(BE57)-1,8),RAMY=DEC2BIN(ROW(BE57)-1,8)),DATA,BE57)</f>
        <v>0</v>
      </c>
      <c r="BF57" s="87">
        <f ca="1">IF(AND(OP="11",RAMX=DEC2BIN(COLUMN(BF57)-1,8),RAMY=DEC2BIN(ROW(BF57)-1,8)),DATA,BF57)</f>
        <v>0</v>
      </c>
      <c r="BG57" s="87">
        <f ca="1">IF(AND(OP="11",RAMX=DEC2BIN(COLUMN(BG57)-1,8),RAMY=DEC2BIN(ROW(BG57)-1,8)),DATA,BG57)</f>
        <v>0</v>
      </c>
      <c r="BH57" s="87">
        <f ca="1">IF(AND(OP="11",RAMX=DEC2BIN(COLUMN(BH57)-1,8),RAMY=DEC2BIN(ROW(BH57)-1,8)),DATA,BH57)</f>
        <v>0</v>
      </c>
      <c r="BI57" s="87">
        <f ca="1">IF(AND(OP="11",RAMX=DEC2BIN(COLUMN(BI57)-1,8),RAMY=DEC2BIN(ROW(BI57)-1,8)),DATA,BI57)</f>
        <v>0</v>
      </c>
      <c r="BJ57" s="87">
        <f ca="1">IF(AND(OP="11",RAMX=DEC2BIN(COLUMN(BJ57)-1,8),RAMY=DEC2BIN(ROW(BJ57)-1,8)),DATA,BJ57)</f>
        <v>0</v>
      </c>
      <c r="BK57" s="87">
        <f ca="1">IF(AND(OP="11",RAMX=DEC2BIN(COLUMN(BK57)-1,8),RAMY=DEC2BIN(ROW(BK57)-1,8)),DATA,BK57)</f>
        <v>0</v>
      </c>
      <c r="BL57" s="87">
        <f ca="1">IF(AND(OP="11",RAMX=DEC2BIN(COLUMN(BL57)-1,8),RAMY=DEC2BIN(ROW(BL57)-1,8)),DATA,BL57)</f>
        <v>0</v>
      </c>
    </row>
    <row r="58" spans="1:64" x14ac:dyDescent="0.25">
      <c r="A58" s="87">
        <f ca="1">IF(AND(OP="11",RAMX=DEC2BIN(COLUMN(A58)-1,8),RAMY=DEC2BIN(ROW(A58)-1,8)),DATA,A58)</f>
        <v>0</v>
      </c>
      <c r="B58" s="87">
        <f ca="1">IF(AND(OP="11",RAMX=DEC2BIN(COLUMN(B58)-1,8),RAMY=DEC2BIN(ROW(B58)-1,8)),DATA,B58)</f>
        <v>0</v>
      </c>
      <c r="C58" s="87">
        <f ca="1">IF(AND(OP="11",RAMX=DEC2BIN(COLUMN(C58)-1,8),RAMY=DEC2BIN(ROW(C58)-1,8)),DATA,C58)</f>
        <v>0</v>
      </c>
      <c r="D58" s="87">
        <f ca="1">IF(AND(OP="11",RAMX=DEC2BIN(COLUMN(D58)-1,8),RAMY=DEC2BIN(ROW(D58)-1,8)),DATA,D58)</f>
        <v>0</v>
      </c>
      <c r="E58" s="87">
        <f ca="1">IF(AND(OP="11",RAMX=DEC2BIN(COLUMN(E58)-1,8),RAMY=DEC2BIN(ROW(E58)-1,8)),DATA,E58)</f>
        <v>0</v>
      </c>
      <c r="F58" s="87">
        <f ca="1">IF(AND(OP="11",RAMX=DEC2BIN(COLUMN(F58)-1,8),RAMY=DEC2BIN(ROW(F58)-1,8)),DATA,F58)</f>
        <v>0</v>
      </c>
      <c r="G58" s="87">
        <f ca="1">IF(AND(OP="11",RAMX=DEC2BIN(COLUMN(G58)-1,8),RAMY=DEC2BIN(ROW(G58)-1,8)),DATA,G58)</f>
        <v>0</v>
      </c>
      <c r="H58" s="87">
        <f ca="1">IF(AND(OP="11",RAMX=DEC2BIN(COLUMN(H58)-1,8),RAMY=DEC2BIN(ROW(H58)-1,8)),DATA,H58)</f>
        <v>0</v>
      </c>
      <c r="I58" s="87">
        <f ca="1">IF(AND(OP="11",RAMX=DEC2BIN(COLUMN(I58)-1,8),RAMY=DEC2BIN(ROW(I58)-1,8)),DATA,I58)</f>
        <v>0</v>
      </c>
      <c r="J58" s="87">
        <f ca="1">IF(AND(OP="11",RAMX=DEC2BIN(COLUMN(J58)-1,8),RAMY=DEC2BIN(ROW(J58)-1,8)),DATA,J58)</f>
        <v>0</v>
      </c>
      <c r="K58" s="87">
        <f ca="1">IF(AND(OP="11",RAMX=DEC2BIN(COLUMN(K58)-1,8),RAMY=DEC2BIN(ROW(K58)-1,8)),DATA,K58)</f>
        <v>0</v>
      </c>
      <c r="L58" s="87">
        <f ca="1">IF(AND(OP="11",RAMX=DEC2BIN(COLUMN(L58)-1,8),RAMY=DEC2BIN(ROW(L58)-1,8)),DATA,L58)</f>
        <v>0</v>
      </c>
      <c r="M58" s="87">
        <f ca="1">IF(AND(OP="11",RAMX=DEC2BIN(COLUMN(M58)-1,8),RAMY=DEC2BIN(ROW(M58)-1,8)),DATA,M58)</f>
        <v>0</v>
      </c>
      <c r="N58" s="87">
        <f ca="1">IF(AND(OP="11",RAMX=DEC2BIN(COLUMN(N58)-1,8),RAMY=DEC2BIN(ROW(N58)-1,8)),DATA,N58)</f>
        <v>0</v>
      </c>
      <c r="O58" s="87">
        <f ca="1">IF(AND(OP="11",RAMX=DEC2BIN(COLUMN(O58)-1,8),RAMY=DEC2BIN(ROW(O58)-1,8)),DATA,O58)</f>
        <v>0</v>
      </c>
      <c r="P58" s="87">
        <f ca="1">IF(AND(OP="11",RAMX=DEC2BIN(COLUMN(P58)-1,8),RAMY=DEC2BIN(ROW(P58)-1,8)),DATA,P58)</f>
        <v>0</v>
      </c>
      <c r="Q58" s="87">
        <f ca="1">IF(AND(OP="11",RAMX=DEC2BIN(COLUMN(Q58)-1,8),RAMY=DEC2BIN(ROW(Q58)-1,8)),DATA,Q58)</f>
        <v>0</v>
      </c>
      <c r="R58" s="87">
        <f ca="1">IF(AND(OP="11",RAMX=DEC2BIN(COLUMN(R58)-1,8),RAMY=DEC2BIN(ROW(R58)-1,8)),DATA,R58)</f>
        <v>0</v>
      </c>
      <c r="S58" s="87">
        <f ca="1">IF(AND(OP="11",RAMX=DEC2BIN(COLUMN(S58)-1,8),RAMY=DEC2BIN(ROW(S58)-1,8)),DATA,S58)</f>
        <v>0</v>
      </c>
      <c r="T58" s="87">
        <f ca="1">IF(AND(OP="11",RAMX=DEC2BIN(COLUMN(T58)-1,8),RAMY=DEC2BIN(ROW(T58)-1,8)),DATA,T58)</f>
        <v>0</v>
      </c>
      <c r="U58" s="87">
        <f ca="1">IF(AND(OP="11",RAMX=DEC2BIN(COLUMN(U58)-1,8),RAMY=DEC2BIN(ROW(U58)-1,8)),DATA,U58)</f>
        <v>0</v>
      </c>
      <c r="V58" s="87">
        <f ca="1">IF(AND(OP="11",RAMX=DEC2BIN(COLUMN(V58)-1,8),RAMY=DEC2BIN(ROW(V58)-1,8)),DATA,V58)</f>
        <v>0</v>
      </c>
      <c r="W58" s="87">
        <f ca="1">IF(AND(OP="11",RAMX=DEC2BIN(COLUMN(W58)-1,8),RAMY=DEC2BIN(ROW(W58)-1,8)),DATA,W58)</f>
        <v>0</v>
      </c>
      <c r="X58" s="87">
        <f ca="1">IF(AND(OP="11",RAMX=DEC2BIN(COLUMN(X58)-1,8),RAMY=DEC2BIN(ROW(X58)-1,8)),DATA,X58)</f>
        <v>0</v>
      </c>
      <c r="Y58" s="87">
        <f ca="1">IF(AND(OP="11",RAMX=DEC2BIN(COLUMN(Y58)-1,8),RAMY=DEC2BIN(ROW(Y58)-1,8)),DATA,Y58)</f>
        <v>0</v>
      </c>
      <c r="Z58" s="87">
        <f ca="1">IF(AND(OP="11",RAMX=DEC2BIN(COLUMN(Z58)-1,8),RAMY=DEC2BIN(ROW(Z58)-1,8)),DATA,Z58)</f>
        <v>0</v>
      </c>
      <c r="AA58" s="87">
        <f ca="1">IF(AND(OP="11",RAMX=DEC2BIN(COLUMN(AA58)-1,8),RAMY=DEC2BIN(ROW(AA58)-1,8)),DATA,AA58)</f>
        <v>0</v>
      </c>
      <c r="AB58" s="87">
        <f ca="1">IF(AND(OP="11",RAMX=DEC2BIN(COLUMN(AB58)-1,8),RAMY=DEC2BIN(ROW(AB58)-1,8)),DATA,AB58)</f>
        <v>0</v>
      </c>
      <c r="AC58" s="87">
        <f ca="1">IF(AND(OP="11",RAMX=DEC2BIN(COLUMN(AC58)-1,8),RAMY=DEC2BIN(ROW(AC58)-1,8)),DATA,AC58)</f>
        <v>0</v>
      </c>
      <c r="AD58" s="87">
        <f ca="1">IF(AND(OP="11",RAMX=DEC2BIN(COLUMN(AD58)-1,8),RAMY=DEC2BIN(ROW(AD58)-1,8)),DATA,AD58)</f>
        <v>0</v>
      </c>
      <c r="AE58" s="87">
        <f ca="1">IF(AND(OP="11",RAMX=DEC2BIN(COLUMN(AE58)-1,8),RAMY=DEC2BIN(ROW(AE58)-1,8)),DATA,AE58)</f>
        <v>0</v>
      </c>
      <c r="AF58" s="87">
        <f ca="1">IF(AND(OP="11",RAMX=DEC2BIN(COLUMN(AF58)-1,8),RAMY=DEC2BIN(ROW(AF58)-1,8)),DATA,AF58)</f>
        <v>0</v>
      </c>
      <c r="AG58" s="87">
        <f ca="1">IF(AND(OP="11",RAMX=DEC2BIN(COLUMN(AG58)-1,8),RAMY=DEC2BIN(ROW(AG58)-1,8)),DATA,AG58)</f>
        <v>0</v>
      </c>
      <c r="AH58" s="87">
        <f ca="1">IF(AND(OP="11",RAMX=DEC2BIN(COLUMN(AH58)-1,8),RAMY=DEC2BIN(ROW(AH58)-1,8)),DATA,AH58)</f>
        <v>0</v>
      </c>
      <c r="AI58" s="87">
        <f ca="1">IF(AND(OP="11",RAMX=DEC2BIN(COLUMN(AI58)-1,8),RAMY=DEC2BIN(ROW(AI58)-1,8)),DATA,AI58)</f>
        <v>0</v>
      </c>
      <c r="AJ58" s="87">
        <f ca="1">IF(AND(OP="11",RAMX=DEC2BIN(COLUMN(AJ58)-1,8),RAMY=DEC2BIN(ROW(AJ58)-1,8)),DATA,AJ58)</f>
        <v>0</v>
      </c>
      <c r="AK58" s="87">
        <f ca="1">IF(AND(OP="11",RAMX=DEC2BIN(COLUMN(AK58)-1,8),RAMY=DEC2BIN(ROW(AK58)-1,8)),DATA,AK58)</f>
        <v>0</v>
      </c>
      <c r="AL58" s="87">
        <f ca="1">IF(AND(OP="11",RAMX=DEC2BIN(COLUMN(AL58)-1,8),RAMY=DEC2BIN(ROW(AL58)-1,8)),DATA,AL58)</f>
        <v>0</v>
      </c>
      <c r="AM58" s="87">
        <f ca="1">IF(AND(OP="11",RAMX=DEC2BIN(COLUMN(AM58)-1,8),RAMY=DEC2BIN(ROW(AM58)-1,8)),DATA,AM58)</f>
        <v>0</v>
      </c>
      <c r="AN58" s="87">
        <f ca="1">IF(AND(OP="11",RAMX=DEC2BIN(COLUMN(AN58)-1,8),RAMY=DEC2BIN(ROW(AN58)-1,8)),DATA,AN58)</f>
        <v>0</v>
      </c>
      <c r="AO58" s="87">
        <f ca="1">IF(AND(OP="11",RAMX=DEC2BIN(COLUMN(AO58)-1,8),RAMY=DEC2BIN(ROW(AO58)-1,8)),DATA,AO58)</f>
        <v>0</v>
      </c>
      <c r="AP58" s="87">
        <f ca="1">IF(AND(OP="11",RAMX=DEC2BIN(COLUMN(AP58)-1,8),RAMY=DEC2BIN(ROW(AP58)-1,8)),DATA,AP58)</f>
        <v>0</v>
      </c>
      <c r="AQ58" s="87">
        <f ca="1">IF(AND(OP="11",RAMX=DEC2BIN(COLUMN(AQ58)-1,8),RAMY=DEC2BIN(ROW(AQ58)-1,8)),DATA,AQ58)</f>
        <v>0</v>
      </c>
      <c r="AR58" s="87">
        <f ca="1">IF(AND(OP="11",RAMX=DEC2BIN(COLUMN(AR58)-1,8),RAMY=DEC2BIN(ROW(AR58)-1,8)),DATA,AR58)</f>
        <v>0</v>
      </c>
      <c r="AS58" s="87">
        <f ca="1">IF(AND(OP="11",RAMX=DEC2BIN(COLUMN(AS58)-1,8),RAMY=DEC2BIN(ROW(AS58)-1,8)),DATA,AS58)</f>
        <v>0</v>
      </c>
      <c r="AT58" s="87">
        <f ca="1">IF(AND(OP="11",RAMX=DEC2BIN(COLUMN(AT58)-1,8),RAMY=DEC2BIN(ROW(AT58)-1,8)),DATA,AT58)</f>
        <v>0</v>
      </c>
      <c r="AU58" s="87">
        <f ca="1">IF(AND(OP="11",RAMX=DEC2BIN(COLUMN(AU58)-1,8),RAMY=DEC2BIN(ROW(AU58)-1,8)),DATA,AU58)</f>
        <v>0</v>
      </c>
      <c r="AV58" s="87">
        <f ca="1">IF(AND(OP="11",RAMX=DEC2BIN(COLUMN(AV58)-1,8),RAMY=DEC2BIN(ROW(AV58)-1,8)),DATA,AV58)</f>
        <v>0</v>
      </c>
      <c r="AW58" s="87">
        <f ca="1">IF(AND(OP="11",RAMX=DEC2BIN(COLUMN(AW58)-1,8),RAMY=DEC2BIN(ROW(AW58)-1,8)),DATA,AW58)</f>
        <v>0</v>
      </c>
      <c r="AX58" s="87">
        <f ca="1">IF(AND(OP="11",RAMX=DEC2BIN(COLUMN(AX58)-1,8),RAMY=DEC2BIN(ROW(AX58)-1,8)),DATA,AX58)</f>
        <v>0</v>
      </c>
      <c r="AY58" s="87">
        <f ca="1">IF(AND(OP="11",RAMX=DEC2BIN(COLUMN(AY58)-1,8),RAMY=DEC2BIN(ROW(AY58)-1,8)),DATA,AY58)</f>
        <v>0</v>
      </c>
      <c r="AZ58" s="87">
        <f ca="1">IF(AND(OP="11",RAMX=DEC2BIN(COLUMN(AZ58)-1,8),RAMY=DEC2BIN(ROW(AZ58)-1,8)),DATA,AZ58)</f>
        <v>0</v>
      </c>
      <c r="BA58" s="87">
        <f ca="1">IF(AND(OP="11",RAMX=DEC2BIN(COLUMN(BA58)-1,8),RAMY=DEC2BIN(ROW(BA58)-1,8)),DATA,BA58)</f>
        <v>0</v>
      </c>
      <c r="BB58" s="87">
        <f ca="1">IF(AND(OP="11",RAMX=DEC2BIN(COLUMN(BB58)-1,8),RAMY=DEC2BIN(ROW(BB58)-1,8)),DATA,BB58)</f>
        <v>0</v>
      </c>
      <c r="BC58" s="87">
        <f ca="1">IF(AND(OP="11",RAMX=DEC2BIN(COLUMN(BC58)-1,8),RAMY=DEC2BIN(ROW(BC58)-1,8)),DATA,BC58)</f>
        <v>0</v>
      </c>
      <c r="BD58" s="87">
        <f ca="1">IF(AND(OP="11",RAMX=DEC2BIN(COLUMN(BD58)-1,8),RAMY=DEC2BIN(ROW(BD58)-1,8)),DATA,BD58)</f>
        <v>0</v>
      </c>
      <c r="BE58" s="87">
        <f ca="1">IF(AND(OP="11",RAMX=DEC2BIN(COLUMN(BE58)-1,8),RAMY=DEC2BIN(ROW(BE58)-1,8)),DATA,BE58)</f>
        <v>0</v>
      </c>
      <c r="BF58" s="87">
        <f ca="1">IF(AND(OP="11",RAMX=DEC2BIN(COLUMN(BF58)-1,8),RAMY=DEC2BIN(ROW(BF58)-1,8)),DATA,BF58)</f>
        <v>0</v>
      </c>
      <c r="BG58" s="87">
        <f ca="1">IF(AND(OP="11",RAMX=DEC2BIN(COLUMN(BG58)-1,8),RAMY=DEC2BIN(ROW(BG58)-1,8)),DATA,BG58)</f>
        <v>0</v>
      </c>
      <c r="BH58" s="87">
        <f ca="1">IF(AND(OP="11",RAMX=DEC2BIN(COLUMN(BH58)-1,8),RAMY=DEC2BIN(ROW(BH58)-1,8)),DATA,BH58)</f>
        <v>0</v>
      </c>
      <c r="BI58" s="87">
        <f ca="1">IF(AND(OP="11",RAMX=DEC2BIN(COLUMN(BI58)-1,8),RAMY=DEC2BIN(ROW(BI58)-1,8)),DATA,BI58)</f>
        <v>0</v>
      </c>
      <c r="BJ58" s="87">
        <f ca="1">IF(AND(OP="11",RAMX=DEC2BIN(COLUMN(BJ58)-1,8),RAMY=DEC2BIN(ROW(BJ58)-1,8)),DATA,BJ58)</f>
        <v>0</v>
      </c>
      <c r="BK58" s="87">
        <f ca="1">IF(AND(OP="11",RAMX=DEC2BIN(COLUMN(BK58)-1,8),RAMY=DEC2BIN(ROW(BK58)-1,8)),DATA,BK58)</f>
        <v>0</v>
      </c>
      <c r="BL58" s="87">
        <f ca="1">IF(AND(OP="11",RAMX=DEC2BIN(COLUMN(BL58)-1,8),RAMY=DEC2BIN(ROW(BL58)-1,8)),DATA,BL58)</f>
        <v>0</v>
      </c>
    </row>
    <row r="59" spans="1:64" x14ac:dyDescent="0.25">
      <c r="A59" s="87">
        <f ca="1">IF(AND(OP="11",RAMX=DEC2BIN(COLUMN(A59)-1,8),RAMY=DEC2BIN(ROW(A59)-1,8)),DATA,A59)</f>
        <v>0</v>
      </c>
      <c r="B59" s="87">
        <f ca="1">IF(AND(OP="11",RAMX=DEC2BIN(COLUMN(B59)-1,8),RAMY=DEC2BIN(ROW(B59)-1,8)),DATA,B59)</f>
        <v>0</v>
      </c>
      <c r="C59" s="87">
        <f ca="1">IF(AND(OP="11",RAMX=DEC2BIN(COLUMN(C59)-1,8),RAMY=DEC2BIN(ROW(C59)-1,8)),DATA,C59)</f>
        <v>0</v>
      </c>
      <c r="D59" s="87">
        <f ca="1">IF(AND(OP="11",RAMX=DEC2BIN(COLUMN(D59)-1,8),RAMY=DEC2BIN(ROW(D59)-1,8)),DATA,D59)</f>
        <v>0</v>
      </c>
      <c r="E59" s="87">
        <f ca="1">IF(AND(OP="11",RAMX=DEC2BIN(COLUMN(E59)-1,8),RAMY=DEC2BIN(ROW(E59)-1,8)),DATA,E59)</f>
        <v>0</v>
      </c>
      <c r="F59" s="87">
        <f ca="1">IF(AND(OP="11",RAMX=DEC2BIN(COLUMN(F59)-1,8),RAMY=DEC2BIN(ROW(F59)-1,8)),DATA,F59)</f>
        <v>0</v>
      </c>
      <c r="G59" s="87">
        <f ca="1">IF(AND(OP="11",RAMX=DEC2BIN(COLUMN(G59)-1,8),RAMY=DEC2BIN(ROW(G59)-1,8)),DATA,G59)</f>
        <v>0</v>
      </c>
      <c r="H59" s="87">
        <f ca="1">IF(AND(OP="11",RAMX=DEC2BIN(COLUMN(H59)-1,8),RAMY=DEC2BIN(ROW(H59)-1,8)),DATA,H59)</f>
        <v>0</v>
      </c>
      <c r="I59" s="87">
        <f ca="1">IF(AND(OP="11",RAMX=DEC2BIN(COLUMN(I59)-1,8),RAMY=DEC2BIN(ROW(I59)-1,8)),DATA,I59)</f>
        <v>0</v>
      </c>
      <c r="J59" s="87">
        <f ca="1">IF(AND(OP="11",RAMX=DEC2BIN(COLUMN(J59)-1,8),RAMY=DEC2BIN(ROW(J59)-1,8)),DATA,J59)</f>
        <v>0</v>
      </c>
      <c r="K59" s="87">
        <f ca="1">IF(AND(OP="11",RAMX=DEC2BIN(COLUMN(K59)-1,8),RAMY=DEC2BIN(ROW(K59)-1,8)),DATA,K59)</f>
        <v>0</v>
      </c>
      <c r="L59" s="87">
        <f ca="1">IF(AND(OP="11",RAMX=DEC2BIN(COLUMN(L59)-1,8),RAMY=DEC2BIN(ROW(L59)-1,8)),DATA,L59)</f>
        <v>0</v>
      </c>
      <c r="M59" s="87">
        <f ca="1">IF(AND(OP="11",RAMX=DEC2BIN(COLUMN(M59)-1,8),RAMY=DEC2BIN(ROW(M59)-1,8)),DATA,M59)</f>
        <v>0</v>
      </c>
      <c r="N59" s="87">
        <f ca="1">IF(AND(OP="11",RAMX=DEC2BIN(COLUMN(N59)-1,8),RAMY=DEC2BIN(ROW(N59)-1,8)),DATA,N59)</f>
        <v>0</v>
      </c>
      <c r="O59" s="87">
        <f ca="1">IF(AND(OP="11",RAMX=DEC2BIN(COLUMN(O59)-1,8),RAMY=DEC2BIN(ROW(O59)-1,8)),DATA,O59)</f>
        <v>0</v>
      </c>
      <c r="P59" s="87">
        <f ca="1">IF(AND(OP="11",RAMX=DEC2BIN(COLUMN(P59)-1,8),RAMY=DEC2BIN(ROW(P59)-1,8)),DATA,P59)</f>
        <v>0</v>
      </c>
      <c r="Q59" s="87">
        <f ca="1">IF(AND(OP="11",RAMX=DEC2BIN(COLUMN(Q59)-1,8),RAMY=DEC2BIN(ROW(Q59)-1,8)),DATA,Q59)</f>
        <v>0</v>
      </c>
      <c r="R59" s="87">
        <f ca="1">IF(AND(OP="11",RAMX=DEC2BIN(COLUMN(R59)-1,8),RAMY=DEC2BIN(ROW(R59)-1,8)),DATA,R59)</f>
        <v>0</v>
      </c>
      <c r="S59" s="87">
        <f ca="1">IF(AND(OP="11",RAMX=DEC2BIN(COLUMN(S59)-1,8),RAMY=DEC2BIN(ROW(S59)-1,8)),DATA,S59)</f>
        <v>0</v>
      </c>
      <c r="T59" s="87">
        <f ca="1">IF(AND(OP="11",RAMX=DEC2BIN(COLUMN(T59)-1,8),RAMY=DEC2BIN(ROW(T59)-1,8)),DATA,T59)</f>
        <v>0</v>
      </c>
      <c r="U59" s="87">
        <f ca="1">IF(AND(OP="11",RAMX=DEC2BIN(COLUMN(U59)-1,8),RAMY=DEC2BIN(ROW(U59)-1,8)),DATA,U59)</f>
        <v>0</v>
      </c>
      <c r="V59" s="87">
        <f ca="1">IF(AND(OP="11",RAMX=DEC2BIN(COLUMN(V59)-1,8),RAMY=DEC2BIN(ROW(V59)-1,8)),DATA,V59)</f>
        <v>0</v>
      </c>
      <c r="W59" s="87">
        <f ca="1">IF(AND(OP="11",RAMX=DEC2BIN(COLUMN(W59)-1,8),RAMY=DEC2BIN(ROW(W59)-1,8)),DATA,W59)</f>
        <v>0</v>
      </c>
      <c r="X59" s="87">
        <f ca="1">IF(AND(OP="11",RAMX=DEC2BIN(COLUMN(X59)-1,8),RAMY=DEC2BIN(ROW(X59)-1,8)),DATA,X59)</f>
        <v>0</v>
      </c>
      <c r="Y59" s="87">
        <f ca="1">IF(AND(OP="11",RAMX=DEC2BIN(COLUMN(Y59)-1,8),RAMY=DEC2BIN(ROW(Y59)-1,8)),DATA,Y59)</f>
        <v>0</v>
      </c>
      <c r="Z59" s="87">
        <f ca="1">IF(AND(OP="11",RAMX=DEC2BIN(COLUMN(Z59)-1,8),RAMY=DEC2BIN(ROW(Z59)-1,8)),DATA,Z59)</f>
        <v>0</v>
      </c>
      <c r="AA59" s="87">
        <f ca="1">IF(AND(OP="11",RAMX=DEC2BIN(COLUMN(AA59)-1,8),RAMY=DEC2BIN(ROW(AA59)-1,8)),DATA,AA59)</f>
        <v>0</v>
      </c>
      <c r="AB59" s="87">
        <f ca="1">IF(AND(OP="11",RAMX=DEC2BIN(COLUMN(AB59)-1,8),RAMY=DEC2BIN(ROW(AB59)-1,8)),DATA,AB59)</f>
        <v>0</v>
      </c>
      <c r="AC59" s="87">
        <f ca="1">IF(AND(OP="11",RAMX=DEC2BIN(COLUMN(AC59)-1,8),RAMY=DEC2BIN(ROW(AC59)-1,8)),DATA,AC59)</f>
        <v>0</v>
      </c>
      <c r="AD59" s="87">
        <f ca="1">IF(AND(OP="11",RAMX=DEC2BIN(COLUMN(AD59)-1,8),RAMY=DEC2BIN(ROW(AD59)-1,8)),DATA,AD59)</f>
        <v>0</v>
      </c>
      <c r="AE59" s="87">
        <f ca="1">IF(AND(OP="11",RAMX=DEC2BIN(COLUMN(AE59)-1,8),RAMY=DEC2BIN(ROW(AE59)-1,8)),DATA,AE59)</f>
        <v>0</v>
      </c>
      <c r="AF59" s="87">
        <f ca="1">IF(AND(OP="11",RAMX=DEC2BIN(COLUMN(AF59)-1,8),RAMY=DEC2BIN(ROW(AF59)-1,8)),DATA,AF59)</f>
        <v>0</v>
      </c>
      <c r="AG59" s="87">
        <f ca="1">IF(AND(OP="11",RAMX=DEC2BIN(COLUMN(AG59)-1,8),RAMY=DEC2BIN(ROW(AG59)-1,8)),DATA,AG59)</f>
        <v>0</v>
      </c>
      <c r="AH59" s="87">
        <f ca="1">IF(AND(OP="11",RAMX=DEC2BIN(COLUMN(AH59)-1,8),RAMY=DEC2BIN(ROW(AH59)-1,8)),DATA,AH59)</f>
        <v>0</v>
      </c>
      <c r="AI59" s="87">
        <f ca="1">IF(AND(OP="11",RAMX=DEC2BIN(COLUMN(AI59)-1,8),RAMY=DEC2BIN(ROW(AI59)-1,8)),DATA,AI59)</f>
        <v>0</v>
      </c>
      <c r="AJ59" s="87">
        <f ca="1">IF(AND(OP="11",RAMX=DEC2BIN(COLUMN(AJ59)-1,8),RAMY=DEC2BIN(ROW(AJ59)-1,8)),DATA,AJ59)</f>
        <v>0</v>
      </c>
      <c r="AK59" s="87">
        <f ca="1">IF(AND(OP="11",RAMX=DEC2BIN(COLUMN(AK59)-1,8),RAMY=DEC2BIN(ROW(AK59)-1,8)),DATA,AK59)</f>
        <v>0</v>
      </c>
      <c r="AL59" s="87">
        <f ca="1">IF(AND(OP="11",RAMX=DEC2BIN(COLUMN(AL59)-1,8),RAMY=DEC2BIN(ROW(AL59)-1,8)),DATA,AL59)</f>
        <v>0</v>
      </c>
      <c r="AM59" s="87">
        <f ca="1">IF(AND(OP="11",RAMX=DEC2BIN(COLUMN(AM59)-1,8),RAMY=DEC2BIN(ROW(AM59)-1,8)),DATA,AM59)</f>
        <v>0</v>
      </c>
      <c r="AN59" s="87">
        <f ca="1">IF(AND(OP="11",RAMX=DEC2BIN(COLUMN(AN59)-1,8),RAMY=DEC2BIN(ROW(AN59)-1,8)),DATA,AN59)</f>
        <v>0</v>
      </c>
      <c r="AO59" s="87">
        <f ca="1">IF(AND(OP="11",RAMX=DEC2BIN(COLUMN(AO59)-1,8),RAMY=DEC2BIN(ROW(AO59)-1,8)),DATA,AO59)</f>
        <v>0</v>
      </c>
      <c r="AP59" s="87">
        <f ca="1">IF(AND(OP="11",RAMX=DEC2BIN(COLUMN(AP59)-1,8),RAMY=DEC2BIN(ROW(AP59)-1,8)),DATA,AP59)</f>
        <v>0</v>
      </c>
      <c r="AQ59" s="87">
        <f ca="1">IF(AND(OP="11",RAMX=DEC2BIN(COLUMN(AQ59)-1,8),RAMY=DEC2BIN(ROW(AQ59)-1,8)),DATA,AQ59)</f>
        <v>0</v>
      </c>
      <c r="AR59" s="87">
        <f ca="1">IF(AND(OP="11",RAMX=DEC2BIN(COLUMN(AR59)-1,8),RAMY=DEC2BIN(ROW(AR59)-1,8)),DATA,AR59)</f>
        <v>0</v>
      </c>
      <c r="AS59" s="87">
        <f ca="1">IF(AND(OP="11",RAMX=DEC2BIN(COLUMN(AS59)-1,8),RAMY=DEC2BIN(ROW(AS59)-1,8)),DATA,AS59)</f>
        <v>0</v>
      </c>
      <c r="AT59" s="87">
        <f ca="1">IF(AND(OP="11",RAMX=DEC2BIN(COLUMN(AT59)-1,8),RAMY=DEC2BIN(ROW(AT59)-1,8)),DATA,AT59)</f>
        <v>0</v>
      </c>
      <c r="AU59" s="87">
        <f ca="1">IF(AND(OP="11",RAMX=DEC2BIN(COLUMN(AU59)-1,8),RAMY=DEC2BIN(ROW(AU59)-1,8)),DATA,AU59)</f>
        <v>0</v>
      </c>
      <c r="AV59" s="87">
        <f ca="1">IF(AND(OP="11",RAMX=DEC2BIN(COLUMN(AV59)-1,8),RAMY=DEC2BIN(ROW(AV59)-1,8)),DATA,AV59)</f>
        <v>0</v>
      </c>
      <c r="AW59" s="87">
        <f ca="1">IF(AND(OP="11",RAMX=DEC2BIN(COLUMN(AW59)-1,8),RAMY=DEC2BIN(ROW(AW59)-1,8)),DATA,AW59)</f>
        <v>0</v>
      </c>
      <c r="AX59" s="87">
        <f ca="1">IF(AND(OP="11",RAMX=DEC2BIN(COLUMN(AX59)-1,8),RAMY=DEC2BIN(ROW(AX59)-1,8)),DATA,AX59)</f>
        <v>0</v>
      </c>
      <c r="AY59" s="87">
        <f ca="1">IF(AND(OP="11",RAMX=DEC2BIN(COLUMN(AY59)-1,8),RAMY=DEC2BIN(ROW(AY59)-1,8)),DATA,AY59)</f>
        <v>0</v>
      </c>
      <c r="AZ59" s="87">
        <f ca="1">IF(AND(OP="11",RAMX=DEC2BIN(COLUMN(AZ59)-1,8),RAMY=DEC2BIN(ROW(AZ59)-1,8)),DATA,AZ59)</f>
        <v>0</v>
      </c>
      <c r="BA59" s="87">
        <f ca="1">IF(AND(OP="11",RAMX=DEC2BIN(COLUMN(BA59)-1,8),RAMY=DEC2BIN(ROW(BA59)-1,8)),DATA,BA59)</f>
        <v>0</v>
      </c>
      <c r="BB59" s="87">
        <f ca="1">IF(AND(OP="11",RAMX=DEC2BIN(COLUMN(BB59)-1,8),RAMY=DEC2BIN(ROW(BB59)-1,8)),DATA,BB59)</f>
        <v>0</v>
      </c>
      <c r="BC59" s="87">
        <f ca="1">IF(AND(OP="11",RAMX=DEC2BIN(COLUMN(BC59)-1,8),RAMY=DEC2BIN(ROW(BC59)-1,8)),DATA,BC59)</f>
        <v>0</v>
      </c>
      <c r="BD59" s="87">
        <f ca="1">IF(AND(OP="11",RAMX=DEC2BIN(COLUMN(BD59)-1,8),RAMY=DEC2BIN(ROW(BD59)-1,8)),DATA,BD59)</f>
        <v>0</v>
      </c>
      <c r="BE59" s="87">
        <f ca="1">IF(AND(OP="11",RAMX=DEC2BIN(COLUMN(BE59)-1,8),RAMY=DEC2BIN(ROW(BE59)-1,8)),DATA,BE59)</f>
        <v>0</v>
      </c>
      <c r="BF59" s="87">
        <f ca="1">IF(AND(OP="11",RAMX=DEC2BIN(COLUMN(BF59)-1,8),RAMY=DEC2BIN(ROW(BF59)-1,8)),DATA,BF59)</f>
        <v>0</v>
      </c>
      <c r="BG59" s="87">
        <f ca="1">IF(AND(OP="11",RAMX=DEC2BIN(COLUMN(BG59)-1,8),RAMY=DEC2BIN(ROW(BG59)-1,8)),DATA,BG59)</f>
        <v>0</v>
      </c>
      <c r="BH59" s="87">
        <f ca="1">IF(AND(OP="11",RAMX=DEC2BIN(COLUMN(BH59)-1,8),RAMY=DEC2BIN(ROW(BH59)-1,8)),DATA,BH59)</f>
        <v>0</v>
      </c>
      <c r="BI59" s="87">
        <f ca="1">IF(AND(OP="11",RAMX=DEC2BIN(COLUMN(BI59)-1,8),RAMY=DEC2BIN(ROW(BI59)-1,8)),DATA,BI59)</f>
        <v>0</v>
      </c>
      <c r="BJ59" s="87">
        <f ca="1">IF(AND(OP="11",RAMX=DEC2BIN(COLUMN(BJ59)-1,8),RAMY=DEC2BIN(ROW(BJ59)-1,8)),DATA,BJ59)</f>
        <v>0</v>
      </c>
      <c r="BK59" s="87">
        <f ca="1">IF(AND(OP="11",RAMX=DEC2BIN(COLUMN(BK59)-1,8),RAMY=DEC2BIN(ROW(BK59)-1,8)),DATA,BK59)</f>
        <v>0</v>
      </c>
      <c r="BL59" s="87">
        <f ca="1">IF(AND(OP="11",RAMX=DEC2BIN(COLUMN(BL59)-1,8),RAMY=DEC2BIN(ROW(BL59)-1,8)),DATA,BL59)</f>
        <v>0</v>
      </c>
    </row>
    <row r="60" spans="1:64" x14ac:dyDescent="0.25">
      <c r="A60" s="87">
        <f ca="1">IF(AND(OP="11",RAMX=DEC2BIN(COLUMN(A60)-1,8),RAMY=DEC2BIN(ROW(A60)-1,8)),DATA,A60)</f>
        <v>0</v>
      </c>
      <c r="B60" s="87">
        <f ca="1">IF(AND(OP="11",RAMX=DEC2BIN(COLUMN(B60)-1,8),RAMY=DEC2BIN(ROW(B60)-1,8)),DATA,B60)</f>
        <v>0</v>
      </c>
      <c r="C60" s="87">
        <f ca="1">IF(AND(OP="11",RAMX=DEC2BIN(COLUMN(C60)-1,8),RAMY=DEC2BIN(ROW(C60)-1,8)),DATA,C60)</f>
        <v>0</v>
      </c>
      <c r="D60" s="87">
        <f ca="1">IF(AND(OP="11",RAMX=DEC2BIN(COLUMN(D60)-1,8),RAMY=DEC2BIN(ROW(D60)-1,8)),DATA,D60)</f>
        <v>0</v>
      </c>
      <c r="E60" s="87">
        <f ca="1">IF(AND(OP="11",RAMX=DEC2BIN(COLUMN(E60)-1,8),RAMY=DEC2BIN(ROW(E60)-1,8)),DATA,E60)</f>
        <v>0</v>
      </c>
      <c r="F60" s="87">
        <f ca="1">IF(AND(OP="11",RAMX=DEC2BIN(COLUMN(F60)-1,8),RAMY=DEC2BIN(ROW(F60)-1,8)),DATA,F60)</f>
        <v>0</v>
      </c>
      <c r="G60" s="87">
        <f ca="1">IF(AND(OP="11",RAMX=DEC2BIN(COLUMN(G60)-1,8),RAMY=DEC2BIN(ROW(G60)-1,8)),DATA,G60)</f>
        <v>0</v>
      </c>
      <c r="H60" s="87">
        <f ca="1">IF(AND(OP="11",RAMX=DEC2BIN(COLUMN(H60)-1,8),RAMY=DEC2BIN(ROW(H60)-1,8)),DATA,H60)</f>
        <v>0</v>
      </c>
      <c r="I60" s="87">
        <f ca="1">IF(AND(OP="11",RAMX=DEC2BIN(COLUMN(I60)-1,8),RAMY=DEC2BIN(ROW(I60)-1,8)),DATA,I60)</f>
        <v>0</v>
      </c>
      <c r="J60" s="87">
        <f ca="1">IF(AND(OP="11",RAMX=DEC2BIN(COLUMN(J60)-1,8),RAMY=DEC2BIN(ROW(J60)-1,8)),DATA,J60)</f>
        <v>0</v>
      </c>
      <c r="K60" s="87">
        <f ca="1">IF(AND(OP="11",RAMX=DEC2BIN(COLUMN(K60)-1,8),RAMY=DEC2BIN(ROW(K60)-1,8)),DATA,K60)</f>
        <v>0</v>
      </c>
      <c r="L60" s="87">
        <f ca="1">IF(AND(OP="11",RAMX=DEC2BIN(COLUMN(L60)-1,8),RAMY=DEC2BIN(ROW(L60)-1,8)),DATA,L60)</f>
        <v>0</v>
      </c>
      <c r="M60" s="87">
        <f ca="1">IF(AND(OP="11",RAMX=DEC2BIN(COLUMN(M60)-1,8),RAMY=DEC2BIN(ROW(M60)-1,8)),DATA,M60)</f>
        <v>0</v>
      </c>
      <c r="N60" s="87">
        <f ca="1">IF(AND(OP="11",RAMX=DEC2BIN(COLUMN(N60)-1,8),RAMY=DEC2BIN(ROW(N60)-1,8)),DATA,N60)</f>
        <v>0</v>
      </c>
      <c r="O60" s="87">
        <f ca="1">IF(AND(OP="11",RAMX=DEC2BIN(COLUMN(O60)-1,8),RAMY=DEC2BIN(ROW(O60)-1,8)),DATA,O60)</f>
        <v>0</v>
      </c>
      <c r="P60" s="87">
        <f ca="1">IF(AND(OP="11",RAMX=DEC2BIN(COLUMN(P60)-1,8),RAMY=DEC2BIN(ROW(P60)-1,8)),DATA,P60)</f>
        <v>0</v>
      </c>
      <c r="Q60" s="87">
        <f ca="1">IF(AND(OP="11",RAMX=DEC2BIN(COLUMN(Q60)-1,8),RAMY=DEC2BIN(ROW(Q60)-1,8)),DATA,Q60)</f>
        <v>0</v>
      </c>
      <c r="R60" s="87">
        <f ca="1">IF(AND(OP="11",RAMX=DEC2BIN(COLUMN(R60)-1,8),RAMY=DEC2BIN(ROW(R60)-1,8)),DATA,R60)</f>
        <v>0</v>
      </c>
      <c r="S60" s="87">
        <f ca="1">IF(AND(OP="11",RAMX=DEC2BIN(COLUMN(S60)-1,8),RAMY=DEC2BIN(ROW(S60)-1,8)),DATA,S60)</f>
        <v>0</v>
      </c>
      <c r="T60" s="87">
        <f ca="1">IF(AND(OP="11",RAMX=DEC2BIN(COLUMN(T60)-1,8),RAMY=DEC2BIN(ROW(T60)-1,8)),DATA,T60)</f>
        <v>0</v>
      </c>
      <c r="U60" s="87">
        <f ca="1">IF(AND(OP="11",RAMX=DEC2BIN(COLUMN(U60)-1,8),RAMY=DEC2BIN(ROW(U60)-1,8)),DATA,U60)</f>
        <v>0</v>
      </c>
      <c r="V60" s="87">
        <f ca="1">IF(AND(OP="11",RAMX=DEC2BIN(COLUMN(V60)-1,8),RAMY=DEC2BIN(ROW(V60)-1,8)),DATA,V60)</f>
        <v>0</v>
      </c>
      <c r="W60" s="87">
        <f ca="1">IF(AND(OP="11",RAMX=DEC2BIN(COLUMN(W60)-1,8),RAMY=DEC2BIN(ROW(W60)-1,8)),DATA,W60)</f>
        <v>0</v>
      </c>
      <c r="X60" s="87">
        <f ca="1">IF(AND(OP="11",RAMX=DEC2BIN(COLUMN(X60)-1,8),RAMY=DEC2BIN(ROW(X60)-1,8)),DATA,X60)</f>
        <v>0</v>
      </c>
      <c r="Y60" s="87">
        <f ca="1">IF(AND(OP="11",RAMX=DEC2BIN(COLUMN(Y60)-1,8),RAMY=DEC2BIN(ROW(Y60)-1,8)),DATA,Y60)</f>
        <v>0</v>
      </c>
      <c r="Z60" s="87">
        <f ca="1">IF(AND(OP="11",RAMX=DEC2BIN(COLUMN(Z60)-1,8),RAMY=DEC2BIN(ROW(Z60)-1,8)),DATA,Z60)</f>
        <v>0</v>
      </c>
      <c r="AA60" s="87">
        <f ca="1">IF(AND(OP="11",RAMX=DEC2BIN(COLUMN(AA60)-1,8),RAMY=DEC2BIN(ROW(AA60)-1,8)),DATA,AA60)</f>
        <v>0</v>
      </c>
      <c r="AB60" s="87">
        <f ca="1">IF(AND(OP="11",RAMX=DEC2BIN(COLUMN(AB60)-1,8),RAMY=DEC2BIN(ROW(AB60)-1,8)),DATA,AB60)</f>
        <v>0</v>
      </c>
      <c r="AC60" s="87">
        <f ca="1">IF(AND(OP="11",RAMX=DEC2BIN(COLUMN(AC60)-1,8),RAMY=DEC2BIN(ROW(AC60)-1,8)),DATA,AC60)</f>
        <v>0</v>
      </c>
      <c r="AD60" s="87">
        <f ca="1">IF(AND(OP="11",RAMX=DEC2BIN(COLUMN(AD60)-1,8),RAMY=DEC2BIN(ROW(AD60)-1,8)),DATA,AD60)</f>
        <v>0</v>
      </c>
      <c r="AE60" s="87">
        <f ca="1">IF(AND(OP="11",RAMX=DEC2BIN(COLUMN(AE60)-1,8),RAMY=DEC2BIN(ROW(AE60)-1,8)),DATA,AE60)</f>
        <v>0</v>
      </c>
      <c r="AF60" s="87">
        <f ca="1">IF(AND(OP="11",RAMX=DEC2BIN(COLUMN(AF60)-1,8),RAMY=DEC2BIN(ROW(AF60)-1,8)),DATA,AF60)</f>
        <v>0</v>
      </c>
      <c r="AG60" s="87">
        <f ca="1">IF(AND(OP="11",RAMX=DEC2BIN(COLUMN(AG60)-1,8),RAMY=DEC2BIN(ROW(AG60)-1,8)),DATA,AG60)</f>
        <v>0</v>
      </c>
      <c r="AH60" s="87">
        <f ca="1">IF(AND(OP="11",RAMX=DEC2BIN(COLUMN(AH60)-1,8),RAMY=DEC2BIN(ROW(AH60)-1,8)),DATA,AH60)</f>
        <v>0</v>
      </c>
      <c r="AI60" s="87">
        <f ca="1">IF(AND(OP="11",RAMX=DEC2BIN(COLUMN(AI60)-1,8),RAMY=DEC2BIN(ROW(AI60)-1,8)),DATA,AI60)</f>
        <v>0</v>
      </c>
      <c r="AJ60" s="87">
        <f ca="1">IF(AND(OP="11",RAMX=DEC2BIN(COLUMN(AJ60)-1,8),RAMY=DEC2BIN(ROW(AJ60)-1,8)),DATA,AJ60)</f>
        <v>0</v>
      </c>
      <c r="AK60" s="87">
        <f ca="1">IF(AND(OP="11",RAMX=DEC2BIN(COLUMN(AK60)-1,8),RAMY=DEC2BIN(ROW(AK60)-1,8)),DATA,AK60)</f>
        <v>0</v>
      </c>
      <c r="AL60" s="87">
        <f ca="1">IF(AND(OP="11",RAMX=DEC2BIN(COLUMN(AL60)-1,8),RAMY=DEC2BIN(ROW(AL60)-1,8)),DATA,AL60)</f>
        <v>0</v>
      </c>
      <c r="AM60" s="87">
        <f ca="1">IF(AND(OP="11",RAMX=DEC2BIN(COLUMN(AM60)-1,8),RAMY=DEC2BIN(ROW(AM60)-1,8)),DATA,AM60)</f>
        <v>0</v>
      </c>
      <c r="AN60" s="87">
        <f ca="1">IF(AND(OP="11",RAMX=DEC2BIN(COLUMN(AN60)-1,8),RAMY=DEC2BIN(ROW(AN60)-1,8)),DATA,AN60)</f>
        <v>0</v>
      </c>
      <c r="AO60" s="87">
        <f ca="1">IF(AND(OP="11",RAMX=DEC2BIN(COLUMN(AO60)-1,8),RAMY=DEC2BIN(ROW(AO60)-1,8)),DATA,AO60)</f>
        <v>0</v>
      </c>
      <c r="AP60" s="87">
        <f ca="1">IF(AND(OP="11",RAMX=DEC2BIN(COLUMN(AP60)-1,8),RAMY=DEC2BIN(ROW(AP60)-1,8)),DATA,AP60)</f>
        <v>0</v>
      </c>
      <c r="AQ60" s="87">
        <f ca="1">IF(AND(OP="11",RAMX=DEC2BIN(COLUMN(AQ60)-1,8),RAMY=DEC2BIN(ROW(AQ60)-1,8)),DATA,AQ60)</f>
        <v>0</v>
      </c>
      <c r="AR60" s="87">
        <f ca="1">IF(AND(OP="11",RAMX=DEC2BIN(COLUMN(AR60)-1,8),RAMY=DEC2BIN(ROW(AR60)-1,8)),DATA,AR60)</f>
        <v>0</v>
      </c>
      <c r="AS60" s="87">
        <f ca="1">IF(AND(OP="11",RAMX=DEC2BIN(COLUMN(AS60)-1,8),RAMY=DEC2BIN(ROW(AS60)-1,8)),DATA,AS60)</f>
        <v>0</v>
      </c>
      <c r="AT60" s="87">
        <f ca="1">IF(AND(OP="11",RAMX=DEC2BIN(COLUMN(AT60)-1,8),RAMY=DEC2BIN(ROW(AT60)-1,8)),DATA,AT60)</f>
        <v>0</v>
      </c>
      <c r="AU60" s="87">
        <f ca="1">IF(AND(OP="11",RAMX=DEC2BIN(COLUMN(AU60)-1,8),RAMY=DEC2BIN(ROW(AU60)-1,8)),DATA,AU60)</f>
        <v>0</v>
      </c>
      <c r="AV60" s="87">
        <f ca="1">IF(AND(OP="11",RAMX=DEC2BIN(COLUMN(AV60)-1,8),RAMY=DEC2BIN(ROW(AV60)-1,8)),DATA,AV60)</f>
        <v>0</v>
      </c>
      <c r="AW60" s="87">
        <f ca="1">IF(AND(OP="11",RAMX=DEC2BIN(COLUMN(AW60)-1,8),RAMY=DEC2BIN(ROW(AW60)-1,8)),DATA,AW60)</f>
        <v>0</v>
      </c>
      <c r="AX60" s="87">
        <f ca="1">IF(AND(OP="11",RAMX=DEC2BIN(COLUMN(AX60)-1,8),RAMY=DEC2BIN(ROW(AX60)-1,8)),DATA,AX60)</f>
        <v>0</v>
      </c>
      <c r="AY60" s="87">
        <f ca="1">IF(AND(OP="11",RAMX=DEC2BIN(COLUMN(AY60)-1,8),RAMY=DEC2BIN(ROW(AY60)-1,8)),DATA,AY60)</f>
        <v>0</v>
      </c>
      <c r="AZ60" s="87">
        <f ca="1">IF(AND(OP="11",RAMX=DEC2BIN(COLUMN(AZ60)-1,8),RAMY=DEC2BIN(ROW(AZ60)-1,8)),DATA,AZ60)</f>
        <v>0</v>
      </c>
      <c r="BA60" s="87">
        <f ca="1">IF(AND(OP="11",RAMX=DEC2BIN(COLUMN(BA60)-1,8),RAMY=DEC2BIN(ROW(BA60)-1,8)),DATA,BA60)</f>
        <v>0</v>
      </c>
      <c r="BB60" s="87">
        <f ca="1">IF(AND(OP="11",RAMX=DEC2BIN(COLUMN(BB60)-1,8),RAMY=DEC2BIN(ROW(BB60)-1,8)),DATA,BB60)</f>
        <v>0</v>
      </c>
      <c r="BC60" s="87">
        <f ca="1">IF(AND(OP="11",RAMX=DEC2BIN(COLUMN(BC60)-1,8),RAMY=DEC2BIN(ROW(BC60)-1,8)),DATA,BC60)</f>
        <v>0</v>
      </c>
      <c r="BD60" s="87">
        <f ca="1">IF(AND(OP="11",RAMX=DEC2BIN(COLUMN(BD60)-1,8),RAMY=DEC2BIN(ROW(BD60)-1,8)),DATA,BD60)</f>
        <v>0</v>
      </c>
      <c r="BE60" s="87">
        <f ca="1">IF(AND(OP="11",RAMX=DEC2BIN(COLUMN(BE60)-1,8),RAMY=DEC2BIN(ROW(BE60)-1,8)),DATA,BE60)</f>
        <v>0</v>
      </c>
      <c r="BF60" s="87">
        <f ca="1">IF(AND(OP="11",RAMX=DEC2BIN(COLUMN(BF60)-1,8),RAMY=DEC2BIN(ROW(BF60)-1,8)),DATA,BF60)</f>
        <v>0</v>
      </c>
      <c r="BG60" s="87">
        <f ca="1">IF(AND(OP="11",RAMX=DEC2BIN(COLUMN(BG60)-1,8),RAMY=DEC2BIN(ROW(BG60)-1,8)),DATA,BG60)</f>
        <v>0</v>
      </c>
      <c r="BH60" s="87">
        <f ca="1">IF(AND(OP="11",RAMX=DEC2BIN(COLUMN(BH60)-1,8),RAMY=DEC2BIN(ROW(BH60)-1,8)),DATA,BH60)</f>
        <v>0</v>
      </c>
      <c r="BI60" s="87">
        <f ca="1">IF(AND(OP="11",RAMX=DEC2BIN(COLUMN(BI60)-1,8),RAMY=DEC2BIN(ROW(BI60)-1,8)),DATA,BI60)</f>
        <v>0</v>
      </c>
      <c r="BJ60" s="87">
        <f ca="1">IF(AND(OP="11",RAMX=DEC2BIN(COLUMN(BJ60)-1,8),RAMY=DEC2BIN(ROW(BJ60)-1,8)),DATA,BJ60)</f>
        <v>0</v>
      </c>
      <c r="BK60" s="87">
        <f ca="1">IF(AND(OP="11",RAMX=DEC2BIN(COLUMN(BK60)-1,8),RAMY=DEC2BIN(ROW(BK60)-1,8)),DATA,BK60)</f>
        <v>0</v>
      </c>
      <c r="BL60" s="87">
        <f ca="1">IF(AND(OP="11",RAMX=DEC2BIN(COLUMN(BL60)-1,8),RAMY=DEC2BIN(ROW(BL60)-1,8)),DATA,BL60)</f>
        <v>0</v>
      </c>
    </row>
    <row r="61" spans="1:64" x14ac:dyDescent="0.25">
      <c r="A61" s="87">
        <f ca="1">IF(AND(OP="11",RAMX=DEC2BIN(COLUMN(A61)-1,8),RAMY=DEC2BIN(ROW(A61)-1,8)),DATA,A61)</f>
        <v>0</v>
      </c>
      <c r="B61" s="87">
        <f ca="1">IF(AND(OP="11",RAMX=DEC2BIN(COLUMN(B61)-1,8),RAMY=DEC2BIN(ROW(B61)-1,8)),DATA,B61)</f>
        <v>0</v>
      </c>
      <c r="C61" s="87">
        <f ca="1">IF(AND(OP="11",RAMX=DEC2BIN(COLUMN(C61)-1,8),RAMY=DEC2BIN(ROW(C61)-1,8)),DATA,C61)</f>
        <v>0</v>
      </c>
      <c r="D61" s="87">
        <f ca="1">IF(AND(OP="11",RAMX=DEC2BIN(COLUMN(D61)-1,8),RAMY=DEC2BIN(ROW(D61)-1,8)),DATA,D61)</f>
        <v>0</v>
      </c>
      <c r="E61" s="87">
        <f ca="1">IF(AND(OP="11",RAMX=DEC2BIN(COLUMN(E61)-1,8),RAMY=DEC2BIN(ROW(E61)-1,8)),DATA,E61)</f>
        <v>0</v>
      </c>
      <c r="F61" s="87">
        <f ca="1">IF(AND(OP="11",RAMX=DEC2BIN(COLUMN(F61)-1,8),RAMY=DEC2BIN(ROW(F61)-1,8)),DATA,F61)</f>
        <v>0</v>
      </c>
      <c r="G61" s="87">
        <f ca="1">IF(AND(OP="11",RAMX=DEC2BIN(COLUMN(G61)-1,8),RAMY=DEC2BIN(ROW(G61)-1,8)),DATA,G61)</f>
        <v>0</v>
      </c>
      <c r="H61" s="87">
        <f ca="1">IF(AND(OP="11",RAMX=DEC2BIN(COLUMN(H61)-1,8),RAMY=DEC2BIN(ROW(H61)-1,8)),DATA,H61)</f>
        <v>0</v>
      </c>
      <c r="I61" s="87">
        <f ca="1">IF(AND(OP="11",RAMX=DEC2BIN(COLUMN(I61)-1,8),RAMY=DEC2BIN(ROW(I61)-1,8)),DATA,I61)</f>
        <v>0</v>
      </c>
      <c r="J61" s="87">
        <f ca="1">IF(AND(OP="11",RAMX=DEC2BIN(COLUMN(J61)-1,8),RAMY=DEC2BIN(ROW(J61)-1,8)),DATA,J61)</f>
        <v>0</v>
      </c>
      <c r="K61" s="87">
        <f ca="1">IF(AND(OP="11",RAMX=DEC2BIN(COLUMN(K61)-1,8),RAMY=DEC2BIN(ROW(K61)-1,8)),DATA,K61)</f>
        <v>0</v>
      </c>
      <c r="L61" s="87">
        <f ca="1">IF(AND(OP="11",RAMX=DEC2BIN(COLUMN(L61)-1,8),RAMY=DEC2BIN(ROW(L61)-1,8)),DATA,L61)</f>
        <v>0</v>
      </c>
      <c r="M61" s="87">
        <f ca="1">IF(AND(OP="11",RAMX=DEC2BIN(COLUMN(M61)-1,8),RAMY=DEC2BIN(ROW(M61)-1,8)),DATA,M61)</f>
        <v>0</v>
      </c>
      <c r="N61" s="87">
        <f ca="1">IF(AND(OP="11",RAMX=DEC2BIN(COLUMN(N61)-1,8),RAMY=DEC2BIN(ROW(N61)-1,8)),DATA,N61)</f>
        <v>0</v>
      </c>
      <c r="O61" s="87">
        <f ca="1">IF(AND(OP="11",RAMX=DEC2BIN(COLUMN(O61)-1,8),RAMY=DEC2BIN(ROW(O61)-1,8)),DATA,O61)</f>
        <v>0</v>
      </c>
      <c r="P61" s="87">
        <f ca="1">IF(AND(OP="11",RAMX=DEC2BIN(COLUMN(P61)-1,8),RAMY=DEC2BIN(ROW(P61)-1,8)),DATA,P61)</f>
        <v>0</v>
      </c>
      <c r="Q61" s="87">
        <f ca="1">IF(AND(OP="11",RAMX=DEC2BIN(COLUMN(Q61)-1,8),RAMY=DEC2BIN(ROW(Q61)-1,8)),DATA,Q61)</f>
        <v>0</v>
      </c>
      <c r="R61" s="87">
        <f ca="1">IF(AND(OP="11",RAMX=DEC2BIN(COLUMN(R61)-1,8),RAMY=DEC2BIN(ROW(R61)-1,8)),DATA,R61)</f>
        <v>0</v>
      </c>
      <c r="S61" s="87">
        <f ca="1">IF(AND(OP="11",RAMX=DEC2BIN(COLUMN(S61)-1,8),RAMY=DEC2BIN(ROW(S61)-1,8)),DATA,S61)</f>
        <v>0</v>
      </c>
      <c r="T61" s="87">
        <f ca="1">IF(AND(OP="11",RAMX=DEC2BIN(COLUMN(T61)-1,8),RAMY=DEC2BIN(ROW(T61)-1,8)),DATA,T61)</f>
        <v>0</v>
      </c>
      <c r="U61" s="87">
        <f ca="1">IF(AND(OP="11",RAMX=DEC2BIN(COLUMN(U61)-1,8),RAMY=DEC2BIN(ROW(U61)-1,8)),DATA,U61)</f>
        <v>0</v>
      </c>
      <c r="V61" s="87">
        <f ca="1">IF(AND(OP="11",RAMX=DEC2BIN(COLUMN(V61)-1,8),RAMY=DEC2BIN(ROW(V61)-1,8)),DATA,V61)</f>
        <v>0</v>
      </c>
      <c r="W61" s="87">
        <f ca="1">IF(AND(OP="11",RAMX=DEC2BIN(COLUMN(W61)-1,8),RAMY=DEC2BIN(ROW(W61)-1,8)),DATA,W61)</f>
        <v>0</v>
      </c>
      <c r="X61" s="87">
        <f ca="1">IF(AND(OP="11",RAMX=DEC2BIN(COLUMN(X61)-1,8),RAMY=DEC2BIN(ROW(X61)-1,8)),DATA,X61)</f>
        <v>0</v>
      </c>
      <c r="Y61" s="87">
        <f ca="1">IF(AND(OP="11",RAMX=DEC2BIN(COLUMN(Y61)-1,8),RAMY=DEC2BIN(ROW(Y61)-1,8)),DATA,Y61)</f>
        <v>0</v>
      </c>
      <c r="Z61" s="87">
        <f ca="1">IF(AND(OP="11",RAMX=DEC2BIN(COLUMN(Z61)-1,8),RAMY=DEC2BIN(ROW(Z61)-1,8)),DATA,Z61)</f>
        <v>0</v>
      </c>
      <c r="AA61" s="87">
        <f ca="1">IF(AND(OP="11",RAMX=DEC2BIN(COLUMN(AA61)-1,8),RAMY=DEC2BIN(ROW(AA61)-1,8)),DATA,AA61)</f>
        <v>0</v>
      </c>
      <c r="AB61" s="87">
        <f ca="1">IF(AND(OP="11",RAMX=DEC2BIN(COLUMN(AB61)-1,8),RAMY=DEC2BIN(ROW(AB61)-1,8)),DATA,AB61)</f>
        <v>0</v>
      </c>
      <c r="AC61" s="87">
        <f ca="1">IF(AND(OP="11",RAMX=DEC2BIN(COLUMN(AC61)-1,8),RAMY=DEC2BIN(ROW(AC61)-1,8)),DATA,AC61)</f>
        <v>0</v>
      </c>
      <c r="AD61" s="87">
        <f ca="1">IF(AND(OP="11",RAMX=DEC2BIN(COLUMN(AD61)-1,8),RAMY=DEC2BIN(ROW(AD61)-1,8)),DATA,AD61)</f>
        <v>0</v>
      </c>
      <c r="AE61" s="87">
        <f ca="1">IF(AND(OP="11",RAMX=DEC2BIN(COLUMN(AE61)-1,8),RAMY=DEC2BIN(ROW(AE61)-1,8)),DATA,AE61)</f>
        <v>0</v>
      </c>
      <c r="AF61" s="87">
        <f ca="1">IF(AND(OP="11",RAMX=DEC2BIN(COLUMN(AF61)-1,8),RAMY=DEC2BIN(ROW(AF61)-1,8)),DATA,AF61)</f>
        <v>0</v>
      </c>
      <c r="AG61" s="87">
        <f ca="1">IF(AND(OP="11",RAMX=DEC2BIN(COLUMN(AG61)-1,8),RAMY=DEC2BIN(ROW(AG61)-1,8)),DATA,AG61)</f>
        <v>0</v>
      </c>
      <c r="AH61" s="87">
        <f ca="1">IF(AND(OP="11",RAMX=DEC2BIN(COLUMN(AH61)-1,8),RAMY=DEC2BIN(ROW(AH61)-1,8)),DATA,AH61)</f>
        <v>0</v>
      </c>
      <c r="AI61" s="87">
        <f ca="1">IF(AND(OP="11",RAMX=DEC2BIN(COLUMN(AI61)-1,8),RAMY=DEC2BIN(ROW(AI61)-1,8)),DATA,AI61)</f>
        <v>0</v>
      </c>
      <c r="AJ61" s="87">
        <f ca="1">IF(AND(OP="11",RAMX=DEC2BIN(COLUMN(AJ61)-1,8),RAMY=DEC2BIN(ROW(AJ61)-1,8)),DATA,AJ61)</f>
        <v>0</v>
      </c>
      <c r="AK61" s="87">
        <f ca="1">IF(AND(OP="11",RAMX=DEC2BIN(COLUMN(AK61)-1,8),RAMY=DEC2BIN(ROW(AK61)-1,8)),DATA,AK61)</f>
        <v>0</v>
      </c>
      <c r="AL61" s="87">
        <f ca="1">IF(AND(OP="11",RAMX=DEC2BIN(COLUMN(AL61)-1,8),RAMY=DEC2BIN(ROW(AL61)-1,8)),DATA,AL61)</f>
        <v>0</v>
      </c>
      <c r="AM61" s="87">
        <f ca="1">IF(AND(OP="11",RAMX=DEC2BIN(COLUMN(AM61)-1,8),RAMY=DEC2BIN(ROW(AM61)-1,8)),DATA,AM61)</f>
        <v>0</v>
      </c>
      <c r="AN61" s="87">
        <f ca="1">IF(AND(OP="11",RAMX=DEC2BIN(COLUMN(AN61)-1,8),RAMY=DEC2BIN(ROW(AN61)-1,8)),DATA,AN61)</f>
        <v>0</v>
      </c>
      <c r="AO61" s="87">
        <f ca="1">IF(AND(OP="11",RAMX=DEC2BIN(COLUMN(AO61)-1,8),RAMY=DEC2BIN(ROW(AO61)-1,8)),DATA,AO61)</f>
        <v>0</v>
      </c>
      <c r="AP61" s="87">
        <f ca="1">IF(AND(OP="11",RAMX=DEC2BIN(COLUMN(AP61)-1,8),RAMY=DEC2BIN(ROW(AP61)-1,8)),DATA,AP61)</f>
        <v>0</v>
      </c>
      <c r="AQ61" s="87">
        <f ca="1">IF(AND(OP="11",RAMX=DEC2BIN(COLUMN(AQ61)-1,8),RAMY=DEC2BIN(ROW(AQ61)-1,8)),DATA,AQ61)</f>
        <v>0</v>
      </c>
      <c r="AR61" s="87">
        <f ca="1">IF(AND(OP="11",RAMX=DEC2BIN(COLUMN(AR61)-1,8),RAMY=DEC2BIN(ROW(AR61)-1,8)),DATA,AR61)</f>
        <v>0</v>
      </c>
      <c r="AS61" s="87">
        <f ca="1">IF(AND(OP="11",RAMX=DEC2BIN(COLUMN(AS61)-1,8),RAMY=DEC2BIN(ROW(AS61)-1,8)),DATA,AS61)</f>
        <v>0</v>
      </c>
      <c r="AT61" s="87">
        <f ca="1">IF(AND(OP="11",RAMX=DEC2BIN(COLUMN(AT61)-1,8),RAMY=DEC2BIN(ROW(AT61)-1,8)),DATA,AT61)</f>
        <v>0</v>
      </c>
      <c r="AU61" s="87">
        <f ca="1">IF(AND(OP="11",RAMX=DEC2BIN(COLUMN(AU61)-1,8),RAMY=DEC2BIN(ROW(AU61)-1,8)),DATA,AU61)</f>
        <v>0</v>
      </c>
      <c r="AV61" s="87">
        <f ca="1">IF(AND(OP="11",RAMX=DEC2BIN(COLUMN(AV61)-1,8),RAMY=DEC2BIN(ROW(AV61)-1,8)),DATA,AV61)</f>
        <v>0</v>
      </c>
      <c r="AW61" s="87">
        <f ca="1">IF(AND(OP="11",RAMX=DEC2BIN(COLUMN(AW61)-1,8),RAMY=DEC2BIN(ROW(AW61)-1,8)),DATA,AW61)</f>
        <v>0</v>
      </c>
      <c r="AX61" s="87">
        <f ca="1">IF(AND(OP="11",RAMX=DEC2BIN(COLUMN(AX61)-1,8),RAMY=DEC2BIN(ROW(AX61)-1,8)),DATA,AX61)</f>
        <v>0</v>
      </c>
      <c r="AY61" s="87">
        <f ca="1">IF(AND(OP="11",RAMX=DEC2BIN(COLUMN(AY61)-1,8),RAMY=DEC2BIN(ROW(AY61)-1,8)),DATA,AY61)</f>
        <v>0</v>
      </c>
      <c r="AZ61" s="87">
        <f ca="1">IF(AND(OP="11",RAMX=DEC2BIN(COLUMN(AZ61)-1,8),RAMY=DEC2BIN(ROW(AZ61)-1,8)),DATA,AZ61)</f>
        <v>0</v>
      </c>
      <c r="BA61" s="87">
        <f ca="1">IF(AND(OP="11",RAMX=DEC2BIN(COLUMN(BA61)-1,8),RAMY=DEC2BIN(ROW(BA61)-1,8)),DATA,BA61)</f>
        <v>0</v>
      </c>
      <c r="BB61" s="87">
        <f ca="1">IF(AND(OP="11",RAMX=DEC2BIN(COLUMN(BB61)-1,8),RAMY=DEC2BIN(ROW(BB61)-1,8)),DATA,BB61)</f>
        <v>0</v>
      </c>
      <c r="BC61" s="87">
        <f ca="1">IF(AND(OP="11",RAMX=DEC2BIN(COLUMN(BC61)-1,8),RAMY=DEC2BIN(ROW(BC61)-1,8)),DATA,BC61)</f>
        <v>0</v>
      </c>
      <c r="BD61" s="87">
        <f ca="1">IF(AND(OP="11",RAMX=DEC2BIN(COLUMN(BD61)-1,8),RAMY=DEC2BIN(ROW(BD61)-1,8)),DATA,BD61)</f>
        <v>0</v>
      </c>
      <c r="BE61" s="87">
        <f ca="1">IF(AND(OP="11",RAMX=DEC2BIN(COLUMN(BE61)-1,8),RAMY=DEC2BIN(ROW(BE61)-1,8)),DATA,BE61)</f>
        <v>0</v>
      </c>
      <c r="BF61" s="87">
        <f ca="1">IF(AND(OP="11",RAMX=DEC2BIN(COLUMN(BF61)-1,8),RAMY=DEC2BIN(ROW(BF61)-1,8)),DATA,BF61)</f>
        <v>0</v>
      </c>
      <c r="BG61" s="87">
        <f ca="1">IF(AND(OP="11",RAMX=DEC2BIN(COLUMN(BG61)-1,8),RAMY=DEC2BIN(ROW(BG61)-1,8)),DATA,BG61)</f>
        <v>0</v>
      </c>
      <c r="BH61" s="87">
        <f ca="1">IF(AND(OP="11",RAMX=DEC2BIN(COLUMN(BH61)-1,8),RAMY=DEC2BIN(ROW(BH61)-1,8)),DATA,BH61)</f>
        <v>0</v>
      </c>
      <c r="BI61" s="87">
        <f ca="1">IF(AND(OP="11",RAMX=DEC2BIN(COLUMN(BI61)-1,8),RAMY=DEC2BIN(ROW(BI61)-1,8)),DATA,BI61)</f>
        <v>0</v>
      </c>
      <c r="BJ61" s="87">
        <f ca="1">IF(AND(OP="11",RAMX=DEC2BIN(COLUMN(BJ61)-1,8),RAMY=DEC2BIN(ROW(BJ61)-1,8)),DATA,BJ61)</f>
        <v>0</v>
      </c>
      <c r="BK61" s="87">
        <f ca="1">IF(AND(OP="11",RAMX=DEC2BIN(COLUMN(BK61)-1,8),RAMY=DEC2BIN(ROW(BK61)-1,8)),DATA,BK61)</f>
        <v>0</v>
      </c>
      <c r="BL61" s="87">
        <f ca="1">IF(AND(OP="11",RAMX=DEC2BIN(COLUMN(BL61)-1,8),RAMY=DEC2BIN(ROW(BL61)-1,8)),DATA,BL61)</f>
        <v>0</v>
      </c>
    </row>
    <row r="62" spans="1:64" x14ac:dyDescent="0.25">
      <c r="A62" s="87">
        <f ca="1">IF(AND(OP="11",RAMX=DEC2BIN(COLUMN(A62)-1,8),RAMY=DEC2BIN(ROW(A62)-1,8)),DATA,A62)</f>
        <v>0</v>
      </c>
      <c r="B62" s="87">
        <f ca="1">IF(AND(OP="11",RAMX=DEC2BIN(COLUMN(B62)-1,8),RAMY=DEC2BIN(ROW(B62)-1,8)),DATA,B62)</f>
        <v>0</v>
      </c>
      <c r="C62" s="87">
        <f ca="1">IF(AND(OP="11",RAMX=DEC2BIN(COLUMN(C62)-1,8),RAMY=DEC2BIN(ROW(C62)-1,8)),DATA,C62)</f>
        <v>0</v>
      </c>
      <c r="D62" s="87">
        <f ca="1">IF(AND(OP="11",RAMX=DEC2BIN(COLUMN(D62)-1,8),RAMY=DEC2BIN(ROW(D62)-1,8)),DATA,D62)</f>
        <v>0</v>
      </c>
      <c r="E62" s="87">
        <f ca="1">IF(AND(OP="11",RAMX=DEC2BIN(COLUMN(E62)-1,8),RAMY=DEC2BIN(ROW(E62)-1,8)),DATA,E62)</f>
        <v>0</v>
      </c>
      <c r="F62" s="87">
        <f ca="1">IF(AND(OP="11",RAMX=DEC2BIN(COLUMN(F62)-1,8),RAMY=DEC2BIN(ROW(F62)-1,8)),DATA,F62)</f>
        <v>0</v>
      </c>
      <c r="G62" s="87">
        <f ca="1">IF(AND(OP="11",RAMX=DEC2BIN(COLUMN(G62)-1,8),RAMY=DEC2BIN(ROW(G62)-1,8)),DATA,G62)</f>
        <v>0</v>
      </c>
      <c r="H62" s="87">
        <f ca="1">IF(AND(OP="11",RAMX=DEC2BIN(COLUMN(H62)-1,8),RAMY=DEC2BIN(ROW(H62)-1,8)),DATA,H62)</f>
        <v>0</v>
      </c>
      <c r="I62" s="87">
        <f ca="1">IF(AND(OP="11",RAMX=DEC2BIN(COLUMN(I62)-1,8),RAMY=DEC2BIN(ROW(I62)-1,8)),DATA,I62)</f>
        <v>0</v>
      </c>
      <c r="J62" s="87">
        <f ca="1">IF(AND(OP="11",RAMX=DEC2BIN(COLUMN(J62)-1,8),RAMY=DEC2BIN(ROW(J62)-1,8)),DATA,J62)</f>
        <v>0</v>
      </c>
      <c r="K62" s="87">
        <f ca="1">IF(AND(OP="11",RAMX=DEC2BIN(COLUMN(K62)-1,8),RAMY=DEC2BIN(ROW(K62)-1,8)),DATA,K62)</f>
        <v>0</v>
      </c>
      <c r="L62" s="87">
        <f ca="1">IF(AND(OP="11",RAMX=DEC2BIN(COLUMN(L62)-1,8),RAMY=DEC2BIN(ROW(L62)-1,8)),DATA,L62)</f>
        <v>0</v>
      </c>
      <c r="M62" s="87">
        <f ca="1">IF(AND(OP="11",RAMX=DEC2BIN(COLUMN(M62)-1,8),RAMY=DEC2BIN(ROW(M62)-1,8)),DATA,M62)</f>
        <v>0</v>
      </c>
      <c r="N62" s="87">
        <f ca="1">IF(AND(OP="11",RAMX=DEC2BIN(COLUMN(N62)-1,8),RAMY=DEC2BIN(ROW(N62)-1,8)),DATA,N62)</f>
        <v>0</v>
      </c>
      <c r="O62" s="87">
        <f ca="1">IF(AND(OP="11",RAMX=DEC2BIN(COLUMN(O62)-1,8),RAMY=DEC2BIN(ROW(O62)-1,8)),DATA,O62)</f>
        <v>0</v>
      </c>
      <c r="P62" s="87">
        <f ca="1">IF(AND(OP="11",RAMX=DEC2BIN(COLUMN(P62)-1,8),RAMY=DEC2BIN(ROW(P62)-1,8)),DATA,P62)</f>
        <v>0</v>
      </c>
      <c r="Q62" s="87">
        <f ca="1">IF(AND(OP="11",RAMX=DEC2BIN(COLUMN(Q62)-1,8),RAMY=DEC2BIN(ROW(Q62)-1,8)),DATA,Q62)</f>
        <v>0</v>
      </c>
      <c r="R62" s="87">
        <f ca="1">IF(AND(OP="11",RAMX=DEC2BIN(COLUMN(R62)-1,8),RAMY=DEC2BIN(ROW(R62)-1,8)),DATA,R62)</f>
        <v>0</v>
      </c>
      <c r="S62" s="87">
        <f ca="1">IF(AND(OP="11",RAMX=DEC2BIN(COLUMN(S62)-1,8),RAMY=DEC2BIN(ROW(S62)-1,8)),DATA,S62)</f>
        <v>0</v>
      </c>
      <c r="T62" s="87">
        <f ca="1">IF(AND(OP="11",RAMX=DEC2BIN(COLUMN(T62)-1,8),RAMY=DEC2BIN(ROW(T62)-1,8)),DATA,T62)</f>
        <v>0</v>
      </c>
      <c r="U62" s="87">
        <f ca="1">IF(AND(OP="11",RAMX=DEC2BIN(COLUMN(U62)-1,8),RAMY=DEC2BIN(ROW(U62)-1,8)),DATA,U62)</f>
        <v>0</v>
      </c>
      <c r="V62" s="87">
        <f ca="1">IF(AND(OP="11",RAMX=DEC2BIN(COLUMN(V62)-1,8),RAMY=DEC2BIN(ROW(V62)-1,8)),DATA,V62)</f>
        <v>0</v>
      </c>
      <c r="W62" s="87">
        <f ca="1">IF(AND(OP="11",RAMX=DEC2BIN(COLUMN(W62)-1,8),RAMY=DEC2BIN(ROW(W62)-1,8)),DATA,W62)</f>
        <v>0</v>
      </c>
      <c r="X62" s="87">
        <f ca="1">IF(AND(OP="11",RAMX=DEC2BIN(COLUMN(X62)-1,8),RAMY=DEC2BIN(ROW(X62)-1,8)),DATA,X62)</f>
        <v>0</v>
      </c>
      <c r="Y62" s="87">
        <f ca="1">IF(AND(OP="11",RAMX=DEC2BIN(COLUMN(Y62)-1,8),RAMY=DEC2BIN(ROW(Y62)-1,8)),DATA,Y62)</f>
        <v>0</v>
      </c>
      <c r="Z62" s="87">
        <f ca="1">IF(AND(OP="11",RAMX=DEC2BIN(COLUMN(Z62)-1,8),RAMY=DEC2BIN(ROW(Z62)-1,8)),DATA,Z62)</f>
        <v>0</v>
      </c>
      <c r="AA62" s="87">
        <f ca="1">IF(AND(OP="11",RAMX=DEC2BIN(COLUMN(AA62)-1,8),RAMY=DEC2BIN(ROW(AA62)-1,8)),DATA,AA62)</f>
        <v>0</v>
      </c>
      <c r="AB62" s="87">
        <f ca="1">IF(AND(OP="11",RAMX=DEC2BIN(COLUMN(AB62)-1,8),RAMY=DEC2BIN(ROW(AB62)-1,8)),DATA,AB62)</f>
        <v>0</v>
      </c>
      <c r="AC62" s="87">
        <f ca="1">IF(AND(OP="11",RAMX=DEC2BIN(COLUMN(AC62)-1,8),RAMY=DEC2BIN(ROW(AC62)-1,8)),DATA,AC62)</f>
        <v>0</v>
      </c>
      <c r="AD62" s="87">
        <f ca="1">IF(AND(OP="11",RAMX=DEC2BIN(COLUMN(AD62)-1,8),RAMY=DEC2BIN(ROW(AD62)-1,8)),DATA,AD62)</f>
        <v>0</v>
      </c>
      <c r="AE62" s="87">
        <f ca="1">IF(AND(OP="11",RAMX=DEC2BIN(COLUMN(AE62)-1,8),RAMY=DEC2BIN(ROW(AE62)-1,8)),DATA,AE62)</f>
        <v>0</v>
      </c>
      <c r="AF62" s="87">
        <f ca="1">IF(AND(OP="11",RAMX=DEC2BIN(COLUMN(AF62)-1,8),RAMY=DEC2BIN(ROW(AF62)-1,8)),DATA,AF62)</f>
        <v>0</v>
      </c>
      <c r="AG62" s="87">
        <f ca="1">IF(AND(OP="11",RAMX=DEC2BIN(COLUMN(AG62)-1,8),RAMY=DEC2BIN(ROW(AG62)-1,8)),DATA,AG62)</f>
        <v>0</v>
      </c>
      <c r="AH62" s="87">
        <f ca="1">IF(AND(OP="11",RAMX=DEC2BIN(COLUMN(AH62)-1,8),RAMY=DEC2BIN(ROW(AH62)-1,8)),DATA,AH62)</f>
        <v>0</v>
      </c>
      <c r="AI62" s="87">
        <f ca="1">IF(AND(OP="11",RAMX=DEC2BIN(COLUMN(AI62)-1,8),RAMY=DEC2BIN(ROW(AI62)-1,8)),DATA,AI62)</f>
        <v>0</v>
      </c>
      <c r="AJ62" s="87">
        <f ca="1">IF(AND(OP="11",RAMX=DEC2BIN(COLUMN(AJ62)-1,8),RAMY=DEC2BIN(ROW(AJ62)-1,8)),DATA,AJ62)</f>
        <v>0</v>
      </c>
      <c r="AK62" s="87">
        <f ca="1">IF(AND(OP="11",RAMX=DEC2BIN(COLUMN(AK62)-1,8),RAMY=DEC2BIN(ROW(AK62)-1,8)),DATA,AK62)</f>
        <v>0</v>
      </c>
      <c r="AL62" s="87">
        <f ca="1">IF(AND(OP="11",RAMX=DEC2BIN(COLUMN(AL62)-1,8),RAMY=DEC2BIN(ROW(AL62)-1,8)),DATA,AL62)</f>
        <v>0</v>
      </c>
      <c r="AM62" s="87">
        <f ca="1">IF(AND(OP="11",RAMX=DEC2BIN(COLUMN(AM62)-1,8),RAMY=DEC2BIN(ROW(AM62)-1,8)),DATA,AM62)</f>
        <v>0</v>
      </c>
      <c r="AN62" s="87">
        <f ca="1">IF(AND(OP="11",RAMX=DEC2BIN(COLUMN(AN62)-1,8),RAMY=DEC2BIN(ROW(AN62)-1,8)),DATA,AN62)</f>
        <v>0</v>
      </c>
      <c r="AO62" s="87">
        <f ca="1">IF(AND(OP="11",RAMX=DEC2BIN(COLUMN(AO62)-1,8),RAMY=DEC2BIN(ROW(AO62)-1,8)),DATA,AO62)</f>
        <v>0</v>
      </c>
      <c r="AP62" s="87">
        <f ca="1">IF(AND(OP="11",RAMX=DEC2BIN(COLUMN(AP62)-1,8),RAMY=DEC2BIN(ROW(AP62)-1,8)),DATA,AP62)</f>
        <v>0</v>
      </c>
      <c r="AQ62" s="87">
        <f ca="1">IF(AND(OP="11",RAMX=DEC2BIN(COLUMN(AQ62)-1,8),RAMY=DEC2BIN(ROW(AQ62)-1,8)),DATA,AQ62)</f>
        <v>0</v>
      </c>
      <c r="AR62" s="87">
        <f ca="1">IF(AND(OP="11",RAMX=DEC2BIN(COLUMN(AR62)-1,8),RAMY=DEC2BIN(ROW(AR62)-1,8)),DATA,AR62)</f>
        <v>0</v>
      </c>
      <c r="AS62" s="87">
        <f ca="1">IF(AND(OP="11",RAMX=DEC2BIN(COLUMN(AS62)-1,8),RAMY=DEC2BIN(ROW(AS62)-1,8)),DATA,AS62)</f>
        <v>0</v>
      </c>
      <c r="AT62" s="87">
        <f ca="1">IF(AND(OP="11",RAMX=DEC2BIN(COLUMN(AT62)-1,8),RAMY=DEC2BIN(ROW(AT62)-1,8)),DATA,AT62)</f>
        <v>0</v>
      </c>
      <c r="AU62" s="87">
        <f ca="1">IF(AND(OP="11",RAMX=DEC2BIN(COLUMN(AU62)-1,8),RAMY=DEC2BIN(ROW(AU62)-1,8)),DATA,AU62)</f>
        <v>0</v>
      </c>
      <c r="AV62" s="87">
        <f ca="1">IF(AND(OP="11",RAMX=DEC2BIN(COLUMN(AV62)-1,8),RAMY=DEC2BIN(ROW(AV62)-1,8)),DATA,AV62)</f>
        <v>0</v>
      </c>
      <c r="AW62" s="87">
        <f ca="1">IF(AND(OP="11",RAMX=DEC2BIN(COLUMN(AW62)-1,8),RAMY=DEC2BIN(ROW(AW62)-1,8)),DATA,AW62)</f>
        <v>0</v>
      </c>
      <c r="AX62" s="87">
        <f ca="1">IF(AND(OP="11",RAMX=DEC2BIN(COLUMN(AX62)-1,8),RAMY=DEC2BIN(ROW(AX62)-1,8)),DATA,AX62)</f>
        <v>0</v>
      </c>
      <c r="AY62" s="87">
        <f ca="1">IF(AND(OP="11",RAMX=DEC2BIN(COLUMN(AY62)-1,8),RAMY=DEC2BIN(ROW(AY62)-1,8)),DATA,AY62)</f>
        <v>0</v>
      </c>
      <c r="AZ62" s="87">
        <f ca="1">IF(AND(OP="11",RAMX=DEC2BIN(COLUMN(AZ62)-1,8),RAMY=DEC2BIN(ROW(AZ62)-1,8)),DATA,AZ62)</f>
        <v>0</v>
      </c>
      <c r="BA62" s="87">
        <f ca="1">IF(AND(OP="11",RAMX=DEC2BIN(COLUMN(BA62)-1,8),RAMY=DEC2BIN(ROW(BA62)-1,8)),DATA,BA62)</f>
        <v>0</v>
      </c>
      <c r="BB62" s="87">
        <f ca="1">IF(AND(OP="11",RAMX=DEC2BIN(COLUMN(BB62)-1,8),RAMY=DEC2BIN(ROW(BB62)-1,8)),DATA,BB62)</f>
        <v>0</v>
      </c>
      <c r="BC62" s="87">
        <f ca="1">IF(AND(OP="11",RAMX=DEC2BIN(COLUMN(BC62)-1,8),RAMY=DEC2BIN(ROW(BC62)-1,8)),DATA,BC62)</f>
        <v>0</v>
      </c>
      <c r="BD62" s="87">
        <f ca="1">IF(AND(OP="11",RAMX=DEC2BIN(COLUMN(BD62)-1,8),RAMY=DEC2BIN(ROW(BD62)-1,8)),DATA,BD62)</f>
        <v>0</v>
      </c>
      <c r="BE62" s="87">
        <f ca="1">IF(AND(OP="11",RAMX=DEC2BIN(COLUMN(BE62)-1,8),RAMY=DEC2BIN(ROW(BE62)-1,8)),DATA,BE62)</f>
        <v>0</v>
      </c>
      <c r="BF62" s="87">
        <f ca="1">IF(AND(OP="11",RAMX=DEC2BIN(COLUMN(BF62)-1,8),RAMY=DEC2BIN(ROW(BF62)-1,8)),DATA,BF62)</f>
        <v>0</v>
      </c>
      <c r="BG62" s="87">
        <f ca="1">IF(AND(OP="11",RAMX=DEC2BIN(COLUMN(BG62)-1,8),RAMY=DEC2BIN(ROW(BG62)-1,8)),DATA,BG62)</f>
        <v>0</v>
      </c>
      <c r="BH62" s="87">
        <f ca="1">IF(AND(OP="11",RAMX=DEC2BIN(COLUMN(BH62)-1,8),RAMY=DEC2BIN(ROW(BH62)-1,8)),DATA,BH62)</f>
        <v>0</v>
      </c>
      <c r="BI62" s="87">
        <f ca="1">IF(AND(OP="11",RAMX=DEC2BIN(COLUMN(BI62)-1,8),RAMY=DEC2BIN(ROW(BI62)-1,8)),DATA,BI62)</f>
        <v>0</v>
      </c>
      <c r="BJ62" s="87">
        <f ca="1">IF(AND(OP="11",RAMX=DEC2BIN(COLUMN(BJ62)-1,8),RAMY=DEC2BIN(ROW(BJ62)-1,8)),DATA,BJ62)</f>
        <v>0</v>
      </c>
      <c r="BK62" s="87">
        <f ca="1">IF(AND(OP="11",RAMX=DEC2BIN(COLUMN(BK62)-1,8),RAMY=DEC2BIN(ROW(BK62)-1,8)),DATA,BK62)</f>
        <v>0</v>
      </c>
      <c r="BL62" s="87">
        <f ca="1">IF(AND(OP="11",RAMX=DEC2BIN(COLUMN(BL62)-1,8),RAMY=DEC2BIN(ROW(BL62)-1,8)),DATA,BL62)</f>
        <v>0</v>
      </c>
    </row>
    <row r="63" spans="1:64" x14ac:dyDescent="0.25">
      <c r="A63" s="87">
        <f ca="1">IF(AND(OP="11",RAMX=DEC2BIN(COLUMN(A63)-1,8),RAMY=DEC2BIN(ROW(A63)-1,8)),DATA,A63)</f>
        <v>0</v>
      </c>
      <c r="B63" s="87">
        <f ca="1">IF(AND(OP="11",RAMX=DEC2BIN(COLUMN(B63)-1,8),RAMY=DEC2BIN(ROW(B63)-1,8)),DATA,B63)</f>
        <v>0</v>
      </c>
      <c r="C63" s="87">
        <f ca="1">IF(AND(OP="11",RAMX=DEC2BIN(COLUMN(C63)-1,8),RAMY=DEC2BIN(ROW(C63)-1,8)),DATA,C63)</f>
        <v>0</v>
      </c>
      <c r="D63" s="87">
        <f ca="1">IF(AND(OP="11",RAMX=DEC2BIN(COLUMN(D63)-1,8),RAMY=DEC2BIN(ROW(D63)-1,8)),DATA,D63)</f>
        <v>0</v>
      </c>
      <c r="E63" s="87">
        <f ca="1">IF(AND(OP="11",RAMX=DEC2BIN(COLUMN(E63)-1,8),RAMY=DEC2BIN(ROW(E63)-1,8)),DATA,E63)</f>
        <v>0</v>
      </c>
      <c r="F63" s="87">
        <f ca="1">IF(AND(OP="11",RAMX=DEC2BIN(COLUMN(F63)-1,8),RAMY=DEC2BIN(ROW(F63)-1,8)),DATA,F63)</f>
        <v>0</v>
      </c>
      <c r="G63" s="87">
        <f ca="1">IF(AND(OP="11",RAMX=DEC2BIN(COLUMN(G63)-1,8),RAMY=DEC2BIN(ROW(G63)-1,8)),DATA,G63)</f>
        <v>0</v>
      </c>
      <c r="H63" s="87">
        <f ca="1">IF(AND(OP="11",RAMX=DEC2BIN(COLUMN(H63)-1,8),RAMY=DEC2BIN(ROW(H63)-1,8)),DATA,H63)</f>
        <v>0</v>
      </c>
      <c r="I63" s="87">
        <f ca="1">IF(AND(OP="11",RAMX=DEC2BIN(COLUMN(I63)-1,8),RAMY=DEC2BIN(ROW(I63)-1,8)),DATA,I63)</f>
        <v>0</v>
      </c>
      <c r="J63" s="87">
        <f ca="1">IF(AND(OP="11",RAMX=DEC2BIN(COLUMN(J63)-1,8),RAMY=DEC2BIN(ROW(J63)-1,8)),DATA,J63)</f>
        <v>0</v>
      </c>
      <c r="K63" s="87">
        <f ca="1">IF(AND(OP="11",RAMX=DEC2BIN(COLUMN(K63)-1,8),RAMY=DEC2BIN(ROW(K63)-1,8)),DATA,K63)</f>
        <v>0</v>
      </c>
      <c r="L63" s="87">
        <f ca="1">IF(AND(OP="11",RAMX=DEC2BIN(COLUMN(L63)-1,8),RAMY=DEC2BIN(ROW(L63)-1,8)),DATA,L63)</f>
        <v>0</v>
      </c>
      <c r="M63" s="87">
        <f ca="1">IF(AND(OP="11",RAMX=DEC2BIN(COLUMN(M63)-1,8),RAMY=DEC2BIN(ROW(M63)-1,8)),DATA,M63)</f>
        <v>0</v>
      </c>
      <c r="N63" s="87">
        <f ca="1">IF(AND(OP="11",RAMX=DEC2BIN(COLUMN(N63)-1,8),RAMY=DEC2BIN(ROW(N63)-1,8)),DATA,N63)</f>
        <v>0</v>
      </c>
      <c r="O63" s="87">
        <f ca="1">IF(AND(OP="11",RAMX=DEC2BIN(COLUMN(O63)-1,8),RAMY=DEC2BIN(ROW(O63)-1,8)),DATA,O63)</f>
        <v>0</v>
      </c>
      <c r="P63" s="87">
        <f ca="1">IF(AND(OP="11",RAMX=DEC2BIN(COLUMN(P63)-1,8),RAMY=DEC2BIN(ROW(P63)-1,8)),DATA,P63)</f>
        <v>0</v>
      </c>
      <c r="Q63" s="87">
        <f ca="1">IF(AND(OP="11",RAMX=DEC2BIN(COLUMN(Q63)-1,8),RAMY=DEC2BIN(ROW(Q63)-1,8)),DATA,Q63)</f>
        <v>0</v>
      </c>
      <c r="R63" s="87">
        <f ca="1">IF(AND(OP="11",RAMX=DEC2BIN(COLUMN(R63)-1,8),RAMY=DEC2BIN(ROW(R63)-1,8)),DATA,R63)</f>
        <v>0</v>
      </c>
      <c r="S63" s="87">
        <f ca="1">IF(AND(OP="11",RAMX=DEC2BIN(COLUMN(S63)-1,8),RAMY=DEC2BIN(ROW(S63)-1,8)),DATA,S63)</f>
        <v>0</v>
      </c>
      <c r="T63" s="87">
        <f ca="1">IF(AND(OP="11",RAMX=DEC2BIN(COLUMN(T63)-1,8),RAMY=DEC2BIN(ROW(T63)-1,8)),DATA,T63)</f>
        <v>0</v>
      </c>
      <c r="U63" s="87">
        <f ca="1">IF(AND(OP="11",RAMX=DEC2BIN(COLUMN(U63)-1,8),RAMY=DEC2BIN(ROW(U63)-1,8)),DATA,U63)</f>
        <v>0</v>
      </c>
      <c r="V63" s="87">
        <f ca="1">IF(AND(OP="11",RAMX=DEC2BIN(COLUMN(V63)-1,8),RAMY=DEC2BIN(ROW(V63)-1,8)),DATA,V63)</f>
        <v>0</v>
      </c>
      <c r="W63" s="87">
        <f ca="1">IF(AND(OP="11",RAMX=DEC2BIN(COLUMN(W63)-1,8),RAMY=DEC2BIN(ROW(W63)-1,8)),DATA,W63)</f>
        <v>0</v>
      </c>
      <c r="X63" s="87">
        <f ca="1">IF(AND(OP="11",RAMX=DEC2BIN(COLUMN(X63)-1,8),RAMY=DEC2BIN(ROW(X63)-1,8)),DATA,X63)</f>
        <v>0</v>
      </c>
      <c r="Y63" s="87">
        <f ca="1">IF(AND(OP="11",RAMX=DEC2BIN(COLUMN(Y63)-1,8),RAMY=DEC2BIN(ROW(Y63)-1,8)),DATA,Y63)</f>
        <v>0</v>
      </c>
      <c r="Z63" s="87">
        <f ca="1">IF(AND(OP="11",RAMX=DEC2BIN(COLUMN(Z63)-1,8),RAMY=DEC2BIN(ROW(Z63)-1,8)),DATA,Z63)</f>
        <v>0</v>
      </c>
      <c r="AA63" s="87">
        <f ca="1">IF(AND(OP="11",RAMX=DEC2BIN(COLUMN(AA63)-1,8),RAMY=DEC2BIN(ROW(AA63)-1,8)),DATA,AA63)</f>
        <v>0</v>
      </c>
      <c r="AB63" s="87">
        <f ca="1">IF(AND(OP="11",RAMX=DEC2BIN(COLUMN(AB63)-1,8),RAMY=DEC2BIN(ROW(AB63)-1,8)),DATA,AB63)</f>
        <v>0</v>
      </c>
      <c r="AC63" s="87">
        <f ca="1">IF(AND(OP="11",RAMX=DEC2BIN(COLUMN(AC63)-1,8),RAMY=DEC2BIN(ROW(AC63)-1,8)),DATA,AC63)</f>
        <v>0</v>
      </c>
      <c r="AD63" s="87">
        <f ca="1">IF(AND(OP="11",RAMX=DEC2BIN(COLUMN(AD63)-1,8),RAMY=DEC2BIN(ROW(AD63)-1,8)),DATA,AD63)</f>
        <v>0</v>
      </c>
      <c r="AE63" s="87">
        <f ca="1">IF(AND(OP="11",RAMX=DEC2BIN(COLUMN(AE63)-1,8),RAMY=DEC2BIN(ROW(AE63)-1,8)),DATA,AE63)</f>
        <v>0</v>
      </c>
      <c r="AF63" s="87">
        <f ca="1">IF(AND(OP="11",RAMX=DEC2BIN(COLUMN(AF63)-1,8),RAMY=DEC2BIN(ROW(AF63)-1,8)),DATA,AF63)</f>
        <v>0</v>
      </c>
      <c r="AG63" s="87">
        <f ca="1">IF(AND(OP="11",RAMX=DEC2BIN(COLUMN(AG63)-1,8),RAMY=DEC2BIN(ROW(AG63)-1,8)),DATA,AG63)</f>
        <v>0</v>
      </c>
      <c r="AH63" s="87">
        <f ca="1">IF(AND(OP="11",RAMX=DEC2BIN(COLUMN(AH63)-1,8),RAMY=DEC2BIN(ROW(AH63)-1,8)),DATA,AH63)</f>
        <v>0</v>
      </c>
      <c r="AI63" s="87">
        <f ca="1">IF(AND(OP="11",RAMX=DEC2BIN(COLUMN(AI63)-1,8),RAMY=DEC2BIN(ROW(AI63)-1,8)),DATA,AI63)</f>
        <v>0</v>
      </c>
      <c r="AJ63" s="87">
        <f ca="1">IF(AND(OP="11",RAMX=DEC2BIN(COLUMN(AJ63)-1,8),RAMY=DEC2BIN(ROW(AJ63)-1,8)),DATA,AJ63)</f>
        <v>0</v>
      </c>
      <c r="AK63" s="87">
        <f ca="1">IF(AND(OP="11",RAMX=DEC2BIN(COLUMN(AK63)-1,8),RAMY=DEC2BIN(ROW(AK63)-1,8)),DATA,AK63)</f>
        <v>0</v>
      </c>
      <c r="AL63" s="87">
        <f ca="1">IF(AND(OP="11",RAMX=DEC2BIN(COLUMN(AL63)-1,8),RAMY=DEC2BIN(ROW(AL63)-1,8)),DATA,AL63)</f>
        <v>0</v>
      </c>
      <c r="AM63" s="87">
        <f ca="1">IF(AND(OP="11",RAMX=DEC2BIN(COLUMN(AM63)-1,8),RAMY=DEC2BIN(ROW(AM63)-1,8)),DATA,AM63)</f>
        <v>0</v>
      </c>
      <c r="AN63" s="87">
        <f ca="1">IF(AND(OP="11",RAMX=DEC2BIN(COLUMN(AN63)-1,8),RAMY=DEC2BIN(ROW(AN63)-1,8)),DATA,AN63)</f>
        <v>0</v>
      </c>
      <c r="AO63" s="87">
        <f ca="1">IF(AND(OP="11",RAMX=DEC2BIN(COLUMN(AO63)-1,8),RAMY=DEC2BIN(ROW(AO63)-1,8)),DATA,AO63)</f>
        <v>0</v>
      </c>
      <c r="AP63" s="87">
        <f ca="1">IF(AND(OP="11",RAMX=DEC2BIN(COLUMN(AP63)-1,8),RAMY=DEC2BIN(ROW(AP63)-1,8)),DATA,AP63)</f>
        <v>0</v>
      </c>
      <c r="AQ63" s="87">
        <f ca="1">IF(AND(OP="11",RAMX=DEC2BIN(COLUMN(AQ63)-1,8),RAMY=DEC2BIN(ROW(AQ63)-1,8)),DATA,AQ63)</f>
        <v>0</v>
      </c>
      <c r="AR63" s="87">
        <f ca="1">IF(AND(OP="11",RAMX=DEC2BIN(COLUMN(AR63)-1,8),RAMY=DEC2BIN(ROW(AR63)-1,8)),DATA,AR63)</f>
        <v>0</v>
      </c>
      <c r="AS63" s="87">
        <f ca="1">IF(AND(OP="11",RAMX=DEC2BIN(COLUMN(AS63)-1,8),RAMY=DEC2BIN(ROW(AS63)-1,8)),DATA,AS63)</f>
        <v>0</v>
      </c>
      <c r="AT63" s="87">
        <f ca="1">IF(AND(OP="11",RAMX=DEC2BIN(COLUMN(AT63)-1,8),RAMY=DEC2BIN(ROW(AT63)-1,8)),DATA,AT63)</f>
        <v>0</v>
      </c>
      <c r="AU63" s="87">
        <f ca="1">IF(AND(OP="11",RAMX=DEC2BIN(COLUMN(AU63)-1,8),RAMY=DEC2BIN(ROW(AU63)-1,8)),DATA,AU63)</f>
        <v>0</v>
      </c>
      <c r="AV63" s="87">
        <f ca="1">IF(AND(OP="11",RAMX=DEC2BIN(COLUMN(AV63)-1,8),RAMY=DEC2BIN(ROW(AV63)-1,8)),DATA,AV63)</f>
        <v>0</v>
      </c>
      <c r="AW63" s="87">
        <f ca="1">IF(AND(OP="11",RAMX=DEC2BIN(COLUMN(AW63)-1,8),RAMY=DEC2BIN(ROW(AW63)-1,8)),DATA,AW63)</f>
        <v>0</v>
      </c>
      <c r="AX63" s="87">
        <f ca="1">IF(AND(OP="11",RAMX=DEC2BIN(COLUMN(AX63)-1,8),RAMY=DEC2BIN(ROW(AX63)-1,8)),DATA,AX63)</f>
        <v>0</v>
      </c>
      <c r="AY63" s="87">
        <f ca="1">IF(AND(OP="11",RAMX=DEC2BIN(COLUMN(AY63)-1,8),RAMY=DEC2BIN(ROW(AY63)-1,8)),DATA,AY63)</f>
        <v>0</v>
      </c>
      <c r="AZ63" s="87">
        <f ca="1">IF(AND(OP="11",RAMX=DEC2BIN(COLUMN(AZ63)-1,8),RAMY=DEC2BIN(ROW(AZ63)-1,8)),DATA,AZ63)</f>
        <v>0</v>
      </c>
      <c r="BA63" s="87">
        <f ca="1">IF(AND(OP="11",RAMX=DEC2BIN(COLUMN(BA63)-1,8),RAMY=DEC2BIN(ROW(BA63)-1,8)),DATA,BA63)</f>
        <v>0</v>
      </c>
      <c r="BB63" s="87">
        <f ca="1">IF(AND(OP="11",RAMX=DEC2BIN(COLUMN(BB63)-1,8),RAMY=DEC2BIN(ROW(BB63)-1,8)),DATA,BB63)</f>
        <v>0</v>
      </c>
      <c r="BC63" s="87">
        <f ca="1">IF(AND(OP="11",RAMX=DEC2BIN(COLUMN(BC63)-1,8),RAMY=DEC2BIN(ROW(BC63)-1,8)),DATA,BC63)</f>
        <v>0</v>
      </c>
      <c r="BD63" s="87">
        <f ca="1">IF(AND(OP="11",RAMX=DEC2BIN(COLUMN(BD63)-1,8),RAMY=DEC2BIN(ROW(BD63)-1,8)),DATA,BD63)</f>
        <v>0</v>
      </c>
      <c r="BE63" s="87">
        <f ca="1">IF(AND(OP="11",RAMX=DEC2BIN(COLUMN(BE63)-1,8),RAMY=DEC2BIN(ROW(BE63)-1,8)),DATA,BE63)</f>
        <v>0</v>
      </c>
      <c r="BF63" s="87">
        <f ca="1">IF(AND(OP="11",RAMX=DEC2BIN(COLUMN(BF63)-1,8),RAMY=DEC2BIN(ROW(BF63)-1,8)),DATA,BF63)</f>
        <v>0</v>
      </c>
      <c r="BG63" s="87">
        <f ca="1">IF(AND(OP="11",RAMX=DEC2BIN(COLUMN(BG63)-1,8),RAMY=DEC2BIN(ROW(BG63)-1,8)),DATA,BG63)</f>
        <v>0</v>
      </c>
      <c r="BH63" s="87">
        <f ca="1">IF(AND(OP="11",RAMX=DEC2BIN(COLUMN(BH63)-1,8),RAMY=DEC2BIN(ROW(BH63)-1,8)),DATA,BH63)</f>
        <v>0</v>
      </c>
      <c r="BI63" s="87">
        <f ca="1">IF(AND(OP="11",RAMX=DEC2BIN(COLUMN(BI63)-1,8),RAMY=DEC2BIN(ROW(BI63)-1,8)),DATA,BI63)</f>
        <v>0</v>
      </c>
      <c r="BJ63" s="87">
        <f ca="1">IF(AND(OP="11",RAMX=DEC2BIN(COLUMN(BJ63)-1,8),RAMY=DEC2BIN(ROW(BJ63)-1,8)),DATA,BJ63)</f>
        <v>0</v>
      </c>
      <c r="BK63" s="87">
        <f ca="1">IF(AND(OP="11",RAMX=DEC2BIN(COLUMN(BK63)-1,8),RAMY=DEC2BIN(ROW(BK63)-1,8)),DATA,BK63)</f>
        <v>0</v>
      </c>
      <c r="BL63" s="87">
        <f ca="1">IF(AND(OP="11",RAMX=DEC2BIN(COLUMN(BL63)-1,8),RAMY=DEC2BIN(ROW(BL63)-1,8)),DATA,BL63)</f>
        <v>0</v>
      </c>
    </row>
    <row r="64" spans="1:64" x14ac:dyDescent="0.25">
      <c r="A64" s="87">
        <f ca="1">IF(AND(OP="11",RAMX=DEC2BIN(COLUMN(A64)-1,8),RAMY=DEC2BIN(ROW(A64)-1,8)),DATA,A64)</f>
        <v>0</v>
      </c>
      <c r="B64" s="87">
        <f ca="1">IF(AND(OP="11",RAMX=DEC2BIN(COLUMN(B64)-1,8),RAMY=DEC2BIN(ROW(B64)-1,8)),DATA,B64)</f>
        <v>0</v>
      </c>
      <c r="C64" s="87">
        <f ca="1">IF(AND(OP="11",RAMX=DEC2BIN(COLUMN(C64)-1,8),RAMY=DEC2BIN(ROW(C64)-1,8)),DATA,C64)</f>
        <v>0</v>
      </c>
      <c r="D64" s="87">
        <f ca="1">IF(AND(OP="11",RAMX=DEC2BIN(COLUMN(D64)-1,8),RAMY=DEC2BIN(ROW(D64)-1,8)),DATA,D64)</f>
        <v>0</v>
      </c>
      <c r="E64" s="87">
        <f ca="1">IF(AND(OP="11",RAMX=DEC2BIN(COLUMN(E64)-1,8),RAMY=DEC2BIN(ROW(E64)-1,8)),DATA,E64)</f>
        <v>0</v>
      </c>
      <c r="F64" s="87">
        <f ca="1">IF(AND(OP="11",RAMX=DEC2BIN(COLUMN(F64)-1,8),RAMY=DEC2BIN(ROW(F64)-1,8)),DATA,F64)</f>
        <v>0</v>
      </c>
      <c r="G64" s="87">
        <f ca="1">IF(AND(OP="11",RAMX=DEC2BIN(COLUMN(G64)-1,8),RAMY=DEC2BIN(ROW(G64)-1,8)),DATA,G64)</f>
        <v>0</v>
      </c>
      <c r="H64" s="87">
        <f ca="1">IF(AND(OP="11",RAMX=DEC2BIN(COLUMN(H64)-1,8),RAMY=DEC2BIN(ROW(H64)-1,8)),DATA,H64)</f>
        <v>0</v>
      </c>
      <c r="I64" s="87">
        <f ca="1">IF(AND(OP="11",RAMX=DEC2BIN(COLUMN(I64)-1,8),RAMY=DEC2BIN(ROW(I64)-1,8)),DATA,I64)</f>
        <v>0</v>
      </c>
      <c r="J64" s="87">
        <f ca="1">IF(AND(OP="11",RAMX=DEC2BIN(COLUMN(J64)-1,8),RAMY=DEC2BIN(ROW(J64)-1,8)),DATA,J64)</f>
        <v>0</v>
      </c>
      <c r="K64" s="87">
        <f ca="1">IF(AND(OP="11",RAMX=DEC2BIN(COLUMN(K64)-1,8),RAMY=DEC2BIN(ROW(K64)-1,8)),DATA,K64)</f>
        <v>0</v>
      </c>
      <c r="L64" s="87">
        <f ca="1">IF(AND(OP="11",RAMX=DEC2BIN(COLUMN(L64)-1,8),RAMY=DEC2BIN(ROW(L64)-1,8)),DATA,L64)</f>
        <v>0</v>
      </c>
      <c r="M64" s="87">
        <f ca="1">IF(AND(OP="11",RAMX=DEC2BIN(COLUMN(M64)-1,8),RAMY=DEC2BIN(ROW(M64)-1,8)),DATA,M64)</f>
        <v>0</v>
      </c>
      <c r="N64" s="87">
        <f ca="1">IF(AND(OP="11",RAMX=DEC2BIN(COLUMN(N64)-1,8),RAMY=DEC2BIN(ROW(N64)-1,8)),DATA,N64)</f>
        <v>0</v>
      </c>
      <c r="O64" s="87">
        <f ca="1">IF(AND(OP="11",RAMX=DEC2BIN(COLUMN(O64)-1,8),RAMY=DEC2BIN(ROW(O64)-1,8)),DATA,O64)</f>
        <v>0</v>
      </c>
      <c r="P64" s="87">
        <f ca="1">IF(AND(OP="11",RAMX=DEC2BIN(COLUMN(P64)-1,8),RAMY=DEC2BIN(ROW(P64)-1,8)),DATA,P64)</f>
        <v>0</v>
      </c>
      <c r="Q64" s="87">
        <f ca="1">IF(AND(OP="11",RAMX=DEC2BIN(COLUMN(Q64)-1,8),RAMY=DEC2BIN(ROW(Q64)-1,8)),DATA,Q64)</f>
        <v>0</v>
      </c>
      <c r="R64" s="87">
        <f ca="1">IF(AND(OP="11",RAMX=DEC2BIN(COLUMN(R64)-1,8),RAMY=DEC2BIN(ROW(R64)-1,8)),DATA,R64)</f>
        <v>0</v>
      </c>
      <c r="S64" s="87">
        <f ca="1">IF(AND(OP="11",RAMX=DEC2BIN(COLUMN(S64)-1,8),RAMY=DEC2BIN(ROW(S64)-1,8)),DATA,S64)</f>
        <v>0</v>
      </c>
      <c r="T64" s="87">
        <f ca="1">IF(AND(OP="11",RAMX=DEC2BIN(COLUMN(T64)-1,8),RAMY=DEC2BIN(ROW(T64)-1,8)),DATA,T64)</f>
        <v>0</v>
      </c>
      <c r="U64" s="87">
        <f ca="1">IF(AND(OP="11",RAMX=DEC2BIN(COLUMN(U64)-1,8),RAMY=DEC2BIN(ROW(U64)-1,8)),DATA,U64)</f>
        <v>0</v>
      </c>
      <c r="V64" s="87">
        <f ca="1">IF(AND(OP="11",RAMX=DEC2BIN(COLUMN(V64)-1,8),RAMY=DEC2BIN(ROW(V64)-1,8)),DATA,V64)</f>
        <v>0</v>
      </c>
      <c r="W64" s="87">
        <f ca="1">IF(AND(OP="11",RAMX=DEC2BIN(COLUMN(W64)-1,8),RAMY=DEC2BIN(ROW(W64)-1,8)),DATA,W64)</f>
        <v>0</v>
      </c>
      <c r="X64" s="87">
        <f ca="1">IF(AND(OP="11",RAMX=DEC2BIN(COLUMN(X64)-1,8),RAMY=DEC2BIN(ROW(X64)-1,8)),DATA,X64)</f>
        <v>0</v>
      </c>
      <c r="Y64" s="87">
        <f ca="1">IF(AND(OP="11",RAMX=DEC2BIN(COLUMN(Y64)-1,8),RAMY=DEC2BIN(ROW(Y64)-1,8)),DATA,Y64)</f>
        <v>0</v>
      </c>
      <c r="Z64" s="87">
        <f ca="1">IF(AND(OP="11",RAMX=DEC2BIN(COLUMN(Z64)-1,8),RAMY=DEC2BIN(ROW(Z64)-1,8)),DATA,Z64)</f>
        <v>0</v>
      </c>
      <c r="AA64" s="87">
        <f ca="1">IF(AND(OP="11",RAMX=DEC2BIN(COLUMN(AA64)-1,8),RAMY=DEC2BIN(ROW(AA64)-1,8)),DATA,AA64)</f>
        <v>0</v>
      </c>
      <c r="AB64" s="87">
        <f ca="1">IF(AND(OP="11",RAMX=DEC2BIN(COLUMN(AB64)-1,8),RAMY=DEC2BIN(ROW(AB64)-1,8)),DATA,AB64)</f>
        <v>0</v>
      </c>
      <c r="AC64" s="87">
        <f ca="1">IF(AND(OP="11",RAMX=DEC2BIN(COLUMN(AC64)-1,8),RAMY=DEC2BIN(ROW(AC64)-1,8)),DATA,AC64)</f>
        <v>0</v>
      </c>
      <c r="AD64" s="87">
        <f ca="1">IF(AND(OP="11",RAMX=DEC2BIN(COLUMN(AD64)-1,8),RAMY=DEC2BIN(ROW(AD64)-1,8)),DATA,AD64)</f>
        <v>0</v>
      </c>
      <c r="AE64" s="87">
        <f ca="1">IF(AND(OP="11",RAMX=DEC2BIN(COLUMN(AE64)-1,8),RAMY=DEC2BIN(ROW(AE64)-1,8)),DATA,AE64)</f>
        <v>0</v>
      </c>
      <c r="AF64" s="87">
        <f ca="1">IF(AND(OP="11",RAMX=DEC2BIN(COLUMN(AF64)-1,8),RAMY=DEC2BIN(ROW(AF64)-1,8)),DATA,AF64)</f>
        <v>0</v>
      </c>
      <c r="AG64" s="87">
        <f ca="1">IF(AND(OP="11",RAMX=DEC2BIN(COLUMN(AG64)-1,8),RAMY=DEC2BIN(ROW(AG64)-1,8)),DATA,AG64)</f>
        <v>0</v>
      </c>
      <c r="AH64" s="87">
        <f ca="1">IF(AND(OP="11",RAMX=DEC2BIN(COLUMN(AH64)-1,8),RAMY=DEC2BIN(ROW(AH64)-1,8)),DATA,AH64)</f>
        <v>0</v>
      </c>
      <c r="AI64" s="87">
        <f ca="1">IF(AND(OP="11",RAMX=DEC2BIN(COLUMN(AI64)-1,8),RAMY=DEC2BIN(ROW(AI64)-1,8)),DATA,AI64)</f>
        <v>0</v>
      </c>
      <c r="AJ64" s="87">
        <f ca="1">IF(AND(OP="11",RAMX=DEC2BIN(COLUMN(AJ64)-1,8),RAMY=DEC2BIN(ROW(AJ64)-1,8)),DATA,AJ64)</f>
        <v>0</v>
      </c>
      <c r="AK64" s="87">
        <f ca="1">IF(AND(OP="11",RAMX=DEC2BIN(COLUMN(AK64)-1,8),RAMY=DEC2BIN(ROW(AK64)-1,8)),DATA,AK64)</f>
        <v>0</v>
      </c>
      <c r="AL64" s="87">
        <f ca="1">IF(AND(OP="11",RAMX=DEC2BIN(COLUMN(AL64)-1,8),RAMY=DEC2BIN(ROW(AL64)-1,8)),DATA,AL64)</f>
        <v>0</v>
      </c>
      <c r="AM64" s="87">
        <f ca="1">IF(AND(OP="11",RAMX=DEC2BIN(COLUMN(AM64)-1,8),RAMY=DEC2BIN(ROW(AM64)-1,8)),DATA,AM64)</f>
        <v>0</v>
      </c>
      <c r="AN64" s="87">
        <f ca="1">IF(AND(OP="11",RAMX=DEC2BIN(COLUMN(AN64)-1,8),RAMY=DEC2BIN(ROW(AN64)-1,8)),DATA,AN64)</f>
        <v>0</v>
      </c>
      <c r="AO64" s="87">
        <f ca="1">IF(AND(OP="11",RAMX=DEC2BIN(COLUMN(AO64)-1,8),RAMY=DEC2BIN(ROW(AO64)-1,8)),DATA,AO64)</f>
        <v>0</v>
      </c>
      <c r="AP64" s="87">
        <f ca="1">IF(AND(OP="11",RAMX=DEC2BIN(COLUMN(AP64)-1,8),RAMY=DEC2BIN(ROW(AP64)-1,8)),DATA,AP64)</f>
        <v>0</v>
      </c>
      <c r="AQ64" s="87">
        <f ca="1">IF(AND(OP="11",RAMX=DEC2BIN(COLUMN(AQ64)-1,8),RAMY=DEC2BIN(ROW(AQ64)-1,8)),DATA,AQ64)</f>
        <v>0</v>
      </c>
      <c r="AR64" s="87">
        <f ca="1">IF(AND(OP="11",RAMX=DEC2BIN(COLUMN(AR64)-1,8),RAMY=DEC2BIN(ROW(AR64)-1,8)),DATA,AR64)</f>
        <v>0</v>
      </c>
      <c r="AS64" s="87">
        <f ca="1">IF(AND(OP="11",RAMX=DEC2BIN(COLUMN(AS64)-1,8),RAMY=DEC2BIN(ROW(AS64)-1,8)),DATA,AS64)</f>
        <v>0</v>
      </c>
      <c r="AT64" s="87">
        <f ca="1">IF(AND(OP="11",RAMX=DEC2BIN(COLUMN(AT64)-1,8),RAMY=DEC2BIN(ROW(AT64)-1,8)),DATA,AT64)</f>
        <v>0</v>
      </c>
      <c r="AU64" s="87">
        <f ca="1">IF(AND(OP="11",RAMX=DEC2BIN(COLUMN(AU64)-1,8),RAMY=DEC2BIN(ROW(AU64)-1,8)),DATA,AU64)</f>
        <v>0</v>
      </c>
      <c r="AV64" s="87">
        <f ca="1">IF(AND(OP="11",RAMX=DEC2BIN(COLUMN(AV64)-1,8),RAMY=DEC2BIN(ROW(AV64)-1,8)),DATA,AV64)</f>
        <v>0</v>
      </c>
      <c r="AW64" s="87">
        <f ca="1">IF(AND(OP="11",RAMX=DEC2BIN(COLUMN(AW64)-1,8),RAMY=DEC2BIN(ROW(AW64)-1,8)),DATA,AW64)</f>
        <v>0</v>
      </c>
      <c r="AX64" s="87">
        <f ca="1">IF(AND(OP="11",RAMX=DEC2BIN(COLUMN(AX64)-1,8),RAMY=DEC2BIN(ROW(AX64)-1,8)),DATA,AX64)</f>
        <v>0</v>
      </c>
      <c r="AY64" s="87">
        <f ca="1">IF(AND(OP="11",RAMX=DEC2BIN(COLUMN(AY64)-1,8),RAMY=DEC2BIN(ROW(AY64)-1,8)),DATA,AY64)</f>
        <v>0</v>
      </c>
      <c r="AZ64" s="87">
        <f ca="1">IF(AND(OP="11",RAMX=DEC2BIN(COLUMN(AZ64)-1,8),RAMY=DEC2BIN(ROW(AZ64)-1,8)),DATA,AZ64)</f>
        <v>0</v>
      </c>
      <c r="BA64" s="87">
        <f ca="1">IF(AND(OP="11",RAMX=DEC2BIN(COLUMN(BA64)-1,8),RAMY=DEC2BIN(ROW(BA64)-1,8)),DATA,BA64)</f>
        <v>0</v>
      </c>
      <c r="BB64" s="87">
        <f ca="1">IF(AND(OP="11",RAMX=DEC2BIN(COLUMN(BB64)-1,8),RAMY=DEC2BIN(ROW(BB64)-1,8)),DATA,BB64)</f>
        <v>0</v>
      </c>
      <c r="BC64" s="87">
        <f ca="1">IF(AND(OP="11",RAMX=DEC2BIN(COLUMN(BC64)-1,8),RAMY=DEC2BIN(ROW(BC64)-1,8)),DATA,BC64)</f>
        <v>0</v>
      </c>
      <c r="BD64" s="87">
        <f ca="1">IF(AND(OP="11",RAMX=DEC2BIN(COLUMN(BD64)-1,8),RAMY=DEC2BIN(ROW(BD64)-1,8)),DATA,BD64)</f>
        <v>0</v>
      </c>
      <c r="BE64" s="87">
        <f ca="1">IF(AND(OP="11",RAMX=DEC2BIN(COLUMN(BE64)-1,8),RAMY=DEC2BIN(ROW(BE64)-1,8)),DATA,BE64)</f>
        <v>0</v>
      </c>
      <c r="BF64" s="87">
        <f ca="1">IF(AND(OP="11",RAMX=DEC2BIN(COLUMN(BF64)-1,8),RAMY=DEC2BIN(ROW(BF64)-1,8)),DATA,BF64)</f>
        <v>0</v>
      </c>
      <c r="BG64" s="87">
        <f ca="1">IF(AND(OP="11",RAMX=DEC2BIN(COLUMN(BG64)-1,8),RAMY=DEC2BIN(ROW(BG64)-1,8)),DATA,BG64)</f>
        <v>0</v>
      </c>
      <c r="BH64" s="87">
        <f ca="1">IF(AND(OP="11",RAMX=DEC2BIN(COLUMN(BH64)-1,8),RAMY=DEC2BIN(ROW(BH64)-1,8)),DATA,BH64)</f>
        <v>0</v>
      </c>
      <c r="BI64" s="87">
        <f ca="1">IF(AND(OP="11",RAMX=DEC2BIN(COLUMN(BI64)-1,8),RAMY=DEC2BIN(ROW(BI64)-1,8)),DATA,BI64)</f>
        <v>0</v>
      </c>
      <c r="BJ64" s="87">
        <f ca="1">IF(AND(OP="11",RAMX=DEC2BIN(COLUMN(BJ64)-1,8),RAMY=DEC2BIN(ROW(BJ64)-1,8)),DATA,BJ64)</f>
        <v>0</v>
      </c>
      <c r="BK64" s="87">
        <f ca="1">IF(AND(OP="11",RAMX=DEC2BIN(COLUMN(BK64)-1,8),RAMY=DEC2BIN(ROW(BK64)-1,8)),DATA,BK64)</f>
        <v>0</v>
      </c>
      <c r="BL64" s="87">
        <f ca="1">IF(AND(OP="11",RAMX=DEC2BIN(COLUMN(BL64)-1,8),RAMY=DEC2BIN(ROW(BL64)-1,8)),DATA,BL64)</f>
        <v>0</v>
      </c>
    </row>
    <row r="66" spans="1:2" x14ac:dyDescent="0.25">
      <c r="A66" t="str">
        <f ca="1">_xlfn.CONCAT('Logic Gate Sheet'!AO82:BD82)</f>
        <v>0000000000000001</v>
      </c>
      <c r="B66" t="s">
        <v>92</v>
      </c>
    </row>
    <row r="67" spans="1:2" x14ac:dyDescent="0.25">
      <c r="A67" t="str">
        <f>'Logic Gate Sheet'!AY90</f>
        <v>10</v>
      </c>
      <c r="B67" t="s">
        <v>94</v>
      </c>
    </row>
    <row r="68" spans="1:2" x14ac:dyDescent="0.25">
      <c r="A68" t="str">
        <f ca="1">'Logic Gate Sheet'!AU88</f>
        <v>00000000</v>
      </c>
      <c r="B68" s="101" t="s">
        <v>96</v>
      </c>
    </row>
    <row r="69" spans="1:2" x14ac:dyDescent="0.25">
      <c r="A69" t="str">
        <f ca="1">'Logic Gate Sheet'!AW88</f>
        <v>00000000</v>
      </c>
      <c r="B69" s="101" t="s">
        <v>95</v>
      </c>
    </row>
  </sheetData>
  <conditionalFormatting sqref="A1:BL64">
    <cfRule type="containsText" dxfId="3" priority="1" operator="containsText" text="0000">
      <formula>NOT(ISERROR(SEARCH("0000",A1)))</formula>
    </cfRule>
    <cfRule type="cellIs" dxfId="2" priority="2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O1000"/>
  <sheetViews>
    <sheetView workbookViewId="0"/>
  </sheetViews>
  <sheetFormatPr defaultColWidth="14.42578125" defaultRowHeight="15" customHeight="1" x14ac:dyDescent="0.25"/>
  <cols>
    <col min="1" max="26" width="8.7109375" customWidth="1"/>
  </cols>
  <sheetData>
    <row r="1" spans="1:15" x14ac:dyDescent="0.25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</row>
    <row r="2" spans="1:15" x14ac:dyDescent="0.25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</row>
    <row r="3" spans="1:15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</row>
    <row r="4" spans="1:15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</row>
    <row r="5" spans="1:15" x14ac:dyDescent="0.25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</row>
    <row r="6" spans="1:15" x14ac:dyDescent="0.25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</row>
    <row r="7" spans="1:15" x14ac:dyDescent="0.25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</row>
    <row r="8" spans="1:15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</row>
    <row r="9" spans="1:15" x14ac:dyDescent="0.2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</row>
    <row r="10" spans="1:15" x14ac:dyDescent="0.25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</row>
    <row r="11" spans="1:15" x14ac:dyDescent="0.25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</row>
    <row r="12" spans="1:15" x14ac:dyDescent="0.25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</row>
    <row r="13" spans="1:15" x14ac:dyDescent="0.2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</row>
    <row r="14" spans="1:15" x14ac:dyDescent="0.25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</row>
    <row r="15" spans="1:15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</row>
    <row r="16" spans="1:15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</row>
    <row r="17" spans="1:15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</row>
    <row r="18" spans="1:15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</row>
    <row r="19" spans="1:15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</row>
    <row r="20" spans="1:15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</row>
    <row r="21" spans="1:15" ht="15.75" customHeight="1" x14ac:dyDescent="0.2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</row>
    <row r="22" spans="1:15" ht="15.75" customHeight="1" x14ac:dyDescent="0.2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</row>
    <row r="23" spans="1:15" ht="15.75" customHeight="1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</row>
    <row r="24" spans="1:15" ht="15.75" customHeight="1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</row>
    <row r="25" spans="1:15" ht="15.75" customHeight="1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</row>
    <row r="26" spans="1:15" ht="15.75" customHeight="1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</row>
    <row r="27" spans="1:15" ht="15.75" customHeight="1" x14ac:dyDescent="0.2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</row>
    <row r="28" spans="1:15" ht="15.75" customHeight="1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</row>
    <row r="29" spans="1:15" ht="15.75" customHeight="1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</row>
    <row r="30" spans="1:15" ht="15.75" customHeight="1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</row>
    <row r="31" spans="1:15" ht="15.75" customHeight="1" x14ac:dyDescent="0.2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</row>
    <row r="32" spans="1:15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27</vt:i4>
      </vt:variant>
    </vt:vector>
  </HeadingPairs>
  <TitlesOfParts>
    <vt:vector size="31" baseType="lpstr">
      <vt:lpstr>Logic Gate Sheet</vt:lpstr>
      <vt:lpstr>ROM</vt:lpstr>
      <vt:lpstr>RAM</vt:lpstr>
      <vt:lpstr>Board</vt:lpstr>
      <vt:lpstr>AND.1</vt:lpstr>
      <vt:lpstr>AND.2</vt:lpstr>
      <vt:lpstr>CLOCK</vt:lpstr>
      <vt:lpstr>DATA</vt:lpstr>
      <vt:lpstr>DATABIT1</vt:lpstr>
      <vt:lpstr>DATABIT2</vt:lpstr>
      <vt:lpstr>DATABIT3</vt:lpstr>
      <vt:lpstr>DATABIT4</vt:lpstr>
      <vt:lpstr>HIDDENX</vt:lpstr>
      <vt:lpstr>HIDDENY</vt:lpstr>
      <vt:lpstr>INPUT</vt:lpstr>
      <vt:lpstr>JK.1</vt:lpstr>
      <vt:lpstr>JK.2</vt:lpstr>
      <vt:lpstr>JK.3</vt:lpstr>
      <vt:lpstr>JK.4</vt:lpstr>
      <vt:lpstr>NOT.1</vt:lpstr>
      <vt:lpstr>NOT.2</vt:lpstr>
      <vt:lpstr>NOT.3</vt:lpstr>
      <vt:lpstr>NOT.4</vt:lpstr>
      <vt:lpstr>OP</vt:lpstr>
      <vt:lpstr>OPBIT</vt:lpstr>
      <vt:lpstr>OPBITS</vt:lpstr>
      <vt:lpstr>RAMX</vt:lpstr>
      <vt:lpstr>RAMY</vt:lpstr>
      <vt:lpstr>RESET</vt:lpstr>
      <vt:lpstr>XDEC</vt:lpstr>
      <vt:lpstr>YDEC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Nevarez</dc:creator>
  <cp:lastModifiedBy>Sebastian Nevarez</cp:lastModifiedBy>
  <dcterms:created xsi:type="dcterms:W3CDTF">2024-01-30T18:04:00Z</dcterms:created>
  <dcterms:modified xsi:type="dcterms:W3CDTF">2024-09-01T19:11:00Z</dcterms:modified>
</cp:coreProperties>
</file>