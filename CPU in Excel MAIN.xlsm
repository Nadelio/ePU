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28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ENGa\ePU\"/>
    </mc:Choice>
  </mc:AlternateContent>
  <xr:revisionPtr revIDLastSave="0" documentId="13_ncr:1_{6A85C539-8622-4078-B28A-82B7295869A8}" xr6:coauthVersionLast="47" xr6:coauthVersionMax="47" xr10:uidLastSave="{00000000-0000-0000-0000-000000000000}"/>
  <bookViews>
    <workbookView xWindow="28680" yWindow="285" windowWidth="25440" windowHeight="15990" xr2:uid="{00000000-000D-0000-FFFF-FFFF00000000}"/>
  </bookViews>
  <sheets>
    <sheet name="Logic Gate Sheet" sheetId="1" r:id="rId1"/>
    <sheet name="ROM" sheetId="3" r:id="rId2"/>
    <sheet name="RAM" sheetId="4" r:id="rId3"/>
    <sheet name="Board" sheetId="2" r:id="rId4"/>
  </sheets>
  <definedNames>
    <definedName name="AND.1">'Logic Gate Sheet'!$K$6</definedName>
    <definedName name="AND.2">'Logic Gate Sheet'!$K$8</definedName>
    <definedName name="CLOCK">'Logic Gate Sheet'!$A$1</definedName>
    <definedName name="DATA">RAM!$A$66</definedName>
    <definedName name="DATABIT1">'Logic Gate Sheet'!$AG$82</definedName>
    <definedName name="DATABIT2">'Logic Gate Sheet'!$AF$82</definedName>
    <definedName name="DATABIT3">'Logic Gate Sheet'!$AE$82</definedName>
    <definedName name="DATABIT4">'Logic Gate Sheet'!$AD$82</definedName>
    <definedName name="HIDDENX">'Logic Gate Sheet'!$AJ$83</definedName>
    <definedName name="HIDDENY">'Logic Gate Sheet'!$AL$83</definedName>
    <definedName name="INPUT">'Logic Gate Sheet'!$C$1</definedName>
    <definedName name="JK.1">'Logic Gate Sheet'!$J$4</definedName>
    <definedName name="JK.2">'Logic Gate Sheet'!$J$5</definedName>
    <definedName name="JK.3">'Logic Gate Sheet'!$J$7</definedName>
    <definedName name="JK.4">'Logic Gate Sheet'!$J$9</definedName>
    <definedName name="NOT.1">'Logic Gate Sheet'!$M$12</definedName>
    <definedName name="NOT.2">'Logic Gate Sheet'!$K$12</definedName>
    <definedName name="NOT.3">'Logic Gate Sheet'!$I$12</definedName>
    <definedName name="NOT.4">'Logic Gate Sheet'!$G$12</definedName>
    <definedName name="OP">RAM!$A$67</definedName>
    <definedName name="OPBIT">'Logic Gate Sheet'!$AB$81</definedName>
    <definedName name="OPBITS">'Logic Gate Sheet'!$AY$90</definedName>
    <definedName name="RAMX">RAM!$A$68</definedName>
    <definedName name="RAMY">RAM!$A$69</definedName>
    <definedName name="RESET">'Logic Gate Sheet'!$E$1</definedName>
    <definedName name="XDEC">'Logic Gate Sheet'!$AU$86</definedName>
    <definedName name="YDEC">'Logic Gate Sheet'!$AW$86</definedName>
  </definedNames>
  <calcPr calcId="191029" iterate="1" iterateCount="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uri="GoogleSheetsCustomDataVersion2">
      <go:sheetsCustomData xmlns:go="http://customooxmlschemas.google.com/" r:id="rId6" roundtripDataChecksum="RkY8dfxyruKbR5SZeI5rriqa7qTHrPYKG1hT1ZZXoDA="/>
    </ext>
  </extLst>
</workbook>
</file>

<file path=xl/calcChain.xml><?xml version="1.0" encoding="utf-8"?>
<calcChain xmlns="http://schemas.openxmlformats.org/spreadsheetml/2006/main">
  <c r="AY90" i="1" l="1"/>
  <c r="AB81" i="1"/>
  <c r="J86" i="1"/>
  <c r="M86" i="1" s="1"/>
  <c r="I86" i="1"/>
  <c r="L86" i="1" s="1"/>
  <c r="J102" i="1"/>
  <c r="U87" i="1"/>
  <c r="U88" i="1" s="1"/>
  <c r="H83" i="1"/>
  <c r="H84" i="1"/>
  <c r="H79" i="1" a="1"/>
  <c r="A67" i="4" l="1"/>
  <c r="H79" i="1"/>
  <c r="L130" i="1"/>
  <c r="L132" i="1" s="1"/>
  <c r="L120" i="1"/>
  <c r="L122" i="1" s="1"/>
  <c r="U141" i="1"/>
  <c r="U137" i="1"/>
  <c r="U133" i="1"/>
  <c r="U129" i="1"/>
  <c r="U123" i="1"/>
  <c r="T123" i="1" s="1"/>
  <c r="U119" i="1"/>
  <c r="T119" i="1" s="1"/>
  <c r="U115" i="1"/>
  <c r="T115" i="1" s="1"/>
  <c r="U111" i="1"/>
  <c r="T111" i="1" s="1"/>
  <c r="L100" i="1"/>
  <c r="L102" i="1" s="1"/>
  <c r="K102" i="1"/>
  <c r="AD59" i="1"/>
  <c r="AC59" i="1" s="1"/>
  <c r="S122" i="1"/>
  <c r="S118" i="1"/>
  <c r="S114" i="1"/>
  <c r="S110" i="1"/>
  <c r="V106" i="1"/>
  <c r="V108" i="1" s="1"/>
  <c r="T106" i="1"/>
  <c r="T108" i="1" s="1"/>
  <c r="U106" i="1"/>
  <c r="U108" i="1" s="1"/>
  <c r="S106" i="1"/>
  <c r="V101" i="1"/>
  <c r="V103" i="1" s="1"/>
  <c r="U101" i="1"/>
  <c r="U103" i="1" s="1"/>
  <c r="T101" i="1"/>
  <c r="T103" i="1" s="1"/>
  <c r="S101" i="1"/>
  <c r="S103" i="1" s="1"/>
  <c r="S108" i="1"/>
  <c r="K132" i="1"/>
  <c r="K112" i="1"/>
  <c r="K122" i="1"/>
  <c r="L110" i="1"/>
  <c r="L112" i="1" s="1"/>
  <c r="AB62" i="1"/>
  <c r="AB58" i="1"/>
  <c r="AB54" i="1"/>
  <c r="AD55" i="1"/>
  <c r="AC55" i="1" s="1"/>
  <c r="AD63" i="1"/>
  <c r="AC63" i="1" s="1"/>
  <c r="AB50" i="1"/>
  <c r="AD51" i="1"/>
  <c r="AC51" i="1" s="1"/>
  <c r="AB36" i="1"/>
  <c r="AB38" i="1" s="1"/>
  <c r="AC36" i="1"/>
  <c r="AC38" i="1" s="1"/>
  <c r="AD36" i="1"/>
  <c r="AD38" i="1" s="1"/>
  <c r="AE36" i="1"/>
  <c r="AE38" i="1" s="1"/>
  <c r="AB43" i="1"/>
  <c r="AB45" i="1" s="1"/>
  <c r="AC43" i="1"/>
  <c r="AC45" i="1" s="1"/>
  <c r="AD43" i="1"/>
  <c r="AD45" i="1" s="1"/>
  <c r="AE43" i="1"/>
  <c r="AE45" i="1" s="1"/>
  <c r="S30" i="1"/>
  <c r="AC27" i="1"/>
  <c r="AE28" i="1"/>
  <c r="AD28" i="1" s="1"/>
  <c r="U58" i="1"/>
  <c r="U60" i="1" s="1"/>
  <c r="U48" i="1"/>
  <c r="U50" i="1" s="1"/>
  <c r="U38" i="1"/>
  <c r="U40" i="1" s="1"/>
  <c r="U28" i="1"/>
  <c r="U30" i="1" s="1"/>
  <c r="T18" i="1"/>
  <c r="T23" i="1" s="1"/>
  <c r="AB18" i="1"/>
  <c r="AB23" i="1" s="1"/>
  <c r="AC6" i="1"/>
  <c r="AD7" i="1" s="1"/>
  <c r="V7" i="1"/>
  <c r="V9" i="1" s="1"/>
  <c r="T60" i="1"/>
  <c r="L56" i="1"/>
  <c r="I59" i="1" s="1"/>
  <c r="J56" i="1"/>
  <c r="K58" i="1" s="1"/>
  <c r="T50" i="1"/>
  <c r="L44" i="1"/>
  <c r="I47" i="1" s="1"/>
  <c r="J44" i="1"/>
  <c r="T40" i="1"/>
  <c r="L32" i="1"/>
  <c r="I35" i="1" s="1"/>
  <c r="J32" i="1"/>
  <c r="T30" i="1"/>
  <c r="S20" i="1"/>
  <c r="R23" i="1" s="1"/>
  <c r="L20" i="1"/>
  <c r="I23" i="1" s="1"/>
  <c r="J20" i="1"/>
  <c r="Z19" i="1"/>
  <c r="Z21" i="1" s="1"/>
  <c r="Z23" i="1" s="1"/>
  <c r="T8" i="1"/>
  <c r="AA7" i="1"/>
  <c r="AA9" i="1" s="1"/>
  <c r="C3" i="1"/>
  <c r="K46" i="1" l="1"/>
  <c r="I37" i="1"/>
  <c r="S116" i="1"/>
  <c r="U126" i="1" s="1"/>
  <c r="S132" i="1" s="1"/>
  <c r="S124" i="1"/>
  <c r="S126" i="1" s="1"/>
  <c r="S140" i="1" s="1"/>
  <c r="S120" i="1"/>
  <c r="T126" i="1" s="1"/>
  <c r="S136" i="1" s="1"/>
  <c r="S112" i="1"/>
  <c r="V126" i="1" s="1"/>
  <c r="S128" i="1" s="1"/>
  <c r="K22" i="1"/>
  <c r="L23" i="1" s="1"/>
  <c r="I25" i="1"/>
  <c r="V12" i="1"/>
  <c r="K34" i="1"/>
  <c r="K36" i="1" s="1"/>
  <c r="U62" i="1"/>
  <c r="J135" i="1"/>
  <c r="J115" i="1"/>
  <c r="J105" i="1"/>
  <c r="L124" i="1"/>
  <c r="J125" i="1"/>
  <c r="L134" i="1"/>
  <c r="L114" i="1"/>
  <c r="L104" i="1"/>
  <c r="K105" i="1" s="1"/>
  <c r="AB52" i="1"/>
  <c r="AE66" i="1" s="1"/>
  <c r="AB56" i="1"/>
  <c r="AD66" i="1" s="1"/>
  <c r="AB60" i="1"/>
  <c r="AC66" i="1" s="1"/>
  <c r="AB64" i="1"/>
  <c r="AB66" i="1" s="1"/>
  <c r="U52" i="1"/>
  <c r="U42" i="1"/>
  <c r="U32" i="1"/>
  <c r="T33" i="1" s="1"/>
  <c r="AC29" i="1"/>
  <c r="AC31" i="1" s="1"/>
  <c r="K60" i="1"/>
  <c r="AC14" i="1"/>
  <c r="AC8" i="1"/>
  <c r="AB10" i="1" s="1"/>
  <c r="AA12" i="1" s="1"/>
  <c r="AA14" i="1" s="1"/>
  <c r="S43" i="1"/>
  <c r="I49" i="1"/>
  <c r="S53" i="1"/>
  <c r="S33" i="1"/>
  <c r="S63" i="1"/>
  <c r="I61" i="1"/>
  <c r="K48" i="1"/>
  <c r="U8" i="1"/>
  <c r="U10" i="1" s="1"/>
  <c r="U12" i="1" s="1"/>
  <c r="K107" i="1" l="1"/>
  <c r="K109" i="1" s="1"/>
  <c r="J112" i="1" s="1"/>
  <c r="K115" i="1" s="1"/>
  <c r="K117" i="1" s="1"/>
  <c r="K119" i="1" s="1"/>
  <c r="J122" i="1" s="1"/>
  <c r="L106" i="1"/>
  <c r="L109" i="1" s="1"/>
  <c r="O144" i="1" s="1"/>
  <c r="T129" i="1" s="1"/>
  <c r="S130" i="1" s="1"/>
  <c r="V144" i="1" s="1"/>
  <c r="X151" i="1" s="1"/>
  <c r="T35" i="1"/>
  <c r="T37" i="1" s="1"/>
  <c r="S40" i="1" s="1"/>
  <c r="U44" i="1" s="1"/>
  <c r="U34" i="1"/>
  <c r="U37" i="1" s="1"/>
  <c r="X72" i="1" s="1"/>
  <c r="K24" i="1"/>
  <c r="J26" i="1" s="1"/>
  <c r="I28" i="1" s="1"/>
  <c r="I30" i="1" s="1"/>
  <c r="H32" i="1" s="1"/>
  <c r="L35" i="1" s="1"/>
  <c r="K30" i="1"/>
  <c r="M68" i="1" s="1"/>
  <c r="L116" i="1" l="1"/>
  <c r="L119" i="1" s="1"/>
  <c r="N144" i="1" s="1"/>
  <c r="T133" i="1" s="1"/>
  <c r="S134" i="1" s="1"/>
  <c r="U144" i="1" s="1"/>
  <c r="L126" i="1"/>
  <c r="K125" i="1"/>
  <c r="K127" i="1" s="1"/>
  <c r="K129" i="1" s="1"/>
  <c r="J132" i="1" s="1"/>
  <c r="K42" i="1"/>
  <c r="L68" i="1" s="1"/>
  <c r="J38" i="1"/>
  <c r="I40" i="1" s="1"/>
  <c r="I42" i="1" s="1"/>
  <c r="H44" i="1" s="1"/>
  <c r="L47" i="1" s="1"/>
  <c r="T43" i="1"/>
  <c r="T45" i="1" s="1"/>
  <c r="T47" i="1" s="1"/>
  <c r="S50" i="1" s="1"/>
  <c r="U54" i="1" s="1"/>
  <c r="U47" i="1"/>
  <c r="W72" i="1" s="1"/>
  <c r="W151" i="1" l="1"/>
  <c r="S146" i="1"/>
  <c r="L129" i="1"/>
  <c r="M144" i="1" s="1"/>
  <c r="L136" i="1"/>
  <c r="K135" i="1"/>
  <c r="K137" i="1" s="1"/>
  <c r="K139" i="1" s="1"/>
  <c r="U57" i="1"/>
  <c r="V72" i="1" s="1"/>
  <c r="T53" i="1"/>
  <c r="T55" i="1" s="1"/>
  <c r="T57" i="1" s="1"/>
  <c r="S60" i="1" s="1"/>
  <c r="U64" i="1" s="1"/>
  <c r="K54" i="1"/>
  <c r="K68" i="1" s="1"/>
  <c r="J50" i="1"/>
  <c r="I52" i="1" s="1"/>
  <c r="I54" i="1" s="1"/>
  <c r="H56" i="1" s="1"/>
  <c r="L59" i="1" s="1"/>
  <c r="T137" i="1" l="1"/>
  <c r="S138" i="1" s="1"/>
  <c r="T144" i="1" s="1"/>
  <c r="L139" i="1"/>
  <c r="L144" i="1" s="1"/>
  <c r="T141" i="1" s="1"/>
  <c r="S142" i="1" s="1"/>
  <c r="S144" i="1" s="1"/>
  <c r="I143" i="1"/>
  <c r="P151" i="1" s="1"/>
  <c r="I144" i="1"/>
  <c r="M151" i="1" s="1"/>
  <c r="K66" i="1"/>
  <c r="J68" i="1" s="1"/>
  <c r="J62" i="1"/>
  <c r="I64" i="1" s="1"/>
  <c r="I66" i="1" s="1"/>
  <c r="H68" i="1" s="1"/>
  <c r="T63" i="1"/>
  <c r="T65" i="1" s="1"/>
  <c r="T67" i="1" s="1"/>
  <c r="U67" i="1"/>
  <c r="U72" i="1" s="1"/>
  <c r="V151" i="1" l="1"/>
  <c r="S147" i="1"/>
  <c r="S148" i="1" s="1"/>
  <c r="S149" i="1" s="1"/>
  <c r="S151" i="1" s="1"/>
  <c r="J151" i="1"/>
  <c r="U151" i="1"/>
  <c r="R71" i="1"/>
  <c r="R72" i="1"/>
  <c r="A1" i="1"/>
  <c r="A3" i="1"/>
  <c r="J4" i="1"/>
  <c r="A5" i="1"/>
  <c r="J5" i="1"/>
  <c r="K6" i="1"/>
  <c r="A7" i="1"/>
  <c r="J7" i="1"/>
  <c r="K8" i="1" a="1"/>
  <c r="K8" i="1"/>
  <c r="A9" i="1"/>
  <c r="J9" i="1"/>
  <c r="A11" i="1"/>
  <c r="G12" i="1"/>
  <c r="I12" i="1"/>
  <c r="K12" i="1"/>
  <c r="M12" i="1"/>
  <c r="A13" i="1"/>
  <c r="G14" i="1"/>
  <c r="I14" i="1"/>
  <c r="K14" i="1"/>
  <c r="M14" i="1"/>
  <c r="A15" i="1"/>
  <c r="A17" i="1"/>
  <c r="A19" i="1"/>
  <c r="A21" i="1"/>
  <c r="AF80" i="1"/>
  <c r="AG80" i="1"/>
  <c r="AI80" i="1"/>
  <c r="AJ80" i="1"/>
  <c r="V81" i="1" a="1"/>
  <c r="V81" i="1"/>
  <c r="AD82" i="1"/>
  <c r="AE82" i="1"/>
  <c r="AF82" i="1"/>
  <c r="AG82" i="1"/>
  <c r="AO82" i="1"/>
  <c r="AP82" i="1"/>
  <c r="AQ82" i="1"/>
  <c r="AR82" i="1"/>
  <c r="AS82" i="1"/>
  <c r="AT82" i="1"/>
  <c r="AU82" i="1"/>
  <c r="AV82" i="1"/>
  <c r="AW82" i="1"/>
  <c r="AX82" i="1"/>
  <c r="AY82" i="1"/>
  <c r="AZ82" i="1"/>
  <c r="BA82" i="1"/>
  <c r="BB82" i="1"/>
  <c r="BC82" i="1"/>
  <c r="BD82" i="1"/>
  <c r="AD83" i="1" a="1"/>
  <c r="AD83" i="1"/>
  <c r="AE83" i="1" a="1"/>
  <c r="AE83" i="1"/>
  <c r="AF83" i="1" a="1"/>
  <c r="AF83" i="1"/>
  <c r="AG83" i="1" a="1"/>
  <c r="AG83" i="1"/>
  <c r="AJ83" i="1"/>
  <c r="AL83" i="1"/>
  <c r="AO83" i="1" a="1"/>
  <c r="AO83" i="1"/>
  <c r="AP83" i="1" a="1"/>
  <c r="AP83" i="1"/>
  <c r="AQ83" i="1" a="1"/>
  <c r="AQ83" i="1"/>
  <c r="AR83" i="1" a="1"/>
  <c r="AR83" i="1"/>
  <c r="AS83" i="1" a="1"/>
  <c r="AS83" i="1"/>
  <c r="AT83" i="1" a="1"/>
  <c r="AT83" i="1"/>
  <c r="AU83" i="1" a="1"/>
  <c r="AU83" i="1"/>
  <c r="AV83" i="1" a="1"/>
  <c r="AV83" i="1"/>
  <c r="AW83" i="1" a="1"/>
  <c r="AW83" i="1"/>
  <c r="AX83" i="1" a="1"/>
  <c r="AX83" i="1"/>
  <c r="AY83" i="1" a="1"/>
  <c r="AY83" i="1"/>
  <c r="AZ83" i="1" a="1"/>
  <c r="AZ83" i="1"/>
  <c r="BA83" i="1" a="1"/>
  <c r="BA83" i="1"/>
  <c r="BB83" i="1" a="1"/>
  <c r="BB83" i="1"/>
  <c r="BC83" i="1" a="1"/>
  <c r="BC83" i="1"/>
  <c r="BD83" i="1" a="1"/>
  <c r="BD83" i="1"/>
  <c r="P85" i="1"/>
  <c r="R85" i="1"/>
  <c r="AU86" i="1"/>
  <c r="AW86" i="1"/>
  <c r="AU88" i="1"/>
  <c r="AW88" i="1"/>
  <c r="H89" i="1" a="1"/>
  <c r="H89" i="1"/>
  <c r="I89" i="1" a="1"/>
  <c r="I89" i="1"/>
  <c r="J89" i="1" a="1"/>
  <c r="J89" i="1"/>
  <c r="K89" i="1" a="1"/>
  <c r="K89" i="1"/>
  <c r="P89" i="1"/>
  <c r="R89" i="1"/>
  <c r="F91" i="1"/>
  <c r="G91" i="1"/>
  <c r="H91" i="1"/>
  <c r="I91" i="1"/>
  <c r="F92" i="1"/>
  <c r="G92" i="1"/>
  <c r="H92" i="1"/>
  <c r="I92" i="1"/>
  <c r="F93" i="1"/>
  <c r="G93" i="1"/>
  <c r="H93" i="1"/>
  <c r="I93" i="1"/>
  <c r="F94" i="1"/>
  <c r="G94" i="1"/>
  <c r="H94" i="1"/>
  <c r="I94" i="1"/>
  <c r="A1" i="4"/>
  <c r="B1" i="4"/>
  <c r="C1" i="4"/>
  <c r="D1" i="4"/>
  <c r="E1" i="4"/>
  <c r="F1" i="4"/>
  <c r="G1" i="4"/>
  <c r="H1" i="4"/>
  <c r="I1" i="4"/>
  <c r="J1" i="4"/>
  <c r="K1" i="4"/>
  <c r="L1" i="4"/>
  <c r="M1" i="4"/>
  <c r="N1" i="4"/>
  <c r="O1" i="4"/>
  <c r="P1" i="4"/>
  <c r="Q1" i="4"/>
  <c r="R1" i="4"/>
  <c r="S1" i="4"/>
  <c r="T1" i="4"/>
  <c r="U1" i="4"/>
  <c r="V1" i="4"/>
  <c r="W1" i="4"/>
  <c r="X1" i="4"/>
  <c r="Y1" i="4"/>
  <c r="Z1" i="4"/>
  <c r="AA1" i="4"/>
  <c r="AB1" i="4"/>
  <c r="AC1" i="4"/>
  <c r="AD1" i="4"/>
  <c r="AE1" i="4"/>
  <c r="AF1" i="4"/>
  <c r="AG1" i="4"/>
  <c r="AH1" i="4"/>
  <c r="AI1" i="4"/>
  <c r="AJ1" i="4"/>
  <c r="AK1" i="4"/>
  <c r="AL1" i="4"/>
  <c r="AM1" i="4"/>
  <c r="AN1" i="4"/>
  <c r="AO1" i="4"/>
  <c r="AP1" i="4"/>
  <c r="AQ1" i="4"/>
  <c r="AR1" i="4"/>
  <c r="AS1" i="4"/>
  <c r="AT1" i="4"/>
  <c r="AU1" i="4"/>
  <c r="AV1" i="4"/>
  <c r="AW1" i="4"/>
  <c r="AX1" i="4"/>
  <c r="AY1" i="4"/>
  <c r="AZ1" i="4"/>
  <c r="BA1" i="4"/>
  <c r="BB1" i="4"/>
  <c r="BC1" i="4"/>
  <c r="BD1" i="4"/>
  <c r="BE1" i="4"/>
  <c r="BF1" i="4"/>
  <c r="BG1" i="4"/>
  <c r="BH1" i="4"/>
  <c r="BI1" i="4"/>
  <c r="BJ1" i="4"/>
  <c r="BK1" i="4"/>
  <c r="BL1" i="4"/>
  <c r="A2" i="4"/>
  <c r="B2" i="4"/>
  <c r="C2" i="4"/>
  <c r="D2" i="4"/>
  <c r="E2" i="4"/>
  <c r="F2" i="4"/>
  <c r="G2" i="4"/>
  <c r="H2" i="4"/>
  <c r="I2" i="4"/>
  <c r="J2" i="4"/>
  <c r="K2" i="4"/>
  <c r="L2" i="4"/>
  <c r="M2" i="4"/>
  <c r="N2" i="4"/>
  <c r="O2" i="4"/>
  <c r="P2" i="4"/>
  <c r="Q2" i="4"/>
  <c r="R2" i="4"/>
  <c r="S2" i="4"/>
  <c r="T2" i="4"/>
  <c r="U2" i="4"/>
  <c r="V2" i="4"/>
  <c r="W2" i="4"/>
  <c r="X2" i="4"/>
  <c r="Y2" i="4"/>
  <c r="Z2" i="4"/>
  <c r="AA2" i="4"/>
  <c r="AB2" i="4"/>
  <c r="AC2" i="4"/>
  <c r="AD2" i="4"/>
  <c r="AE2" i="4"/>
  <c r="AF2" i="4"/>
  <c r="AG2" i="4"/>
  <c r="AH2" i="4"/>
  <c r="AI2" i="4"/>
  <c r="AJ2" i="4"/>
  <c r="AK2" i="4"/>
  <c r="AL2" i="4"/>
  <c r="AM2" i="4"/>
  <c r="AN2" i="4"/>
  <c r="AO2" i="4"/>
  <c r="AP2" i="4"/>
  <c r="AQ2" i="4"/>
  <c r="AR2" i="4"/>
  <c r="AS2" i="4"/>
  <c r="AT2" i="4"/>
  <c r="AU2" i="4"/>
  <c r="AV2" i="4"/>
  <c r="AW2" i="4"/>
  <c r="AX2" i="4"/>
  <c r="AY2" i="4"/>
  <c r="AZ2" i="4"/>
  <c r="BA2" i="4"/>
  <c r="BB2" i="4"/>
  <c r="BC2" i="4"/>
  <c r="BD2" i="4"/>
  <c r="BE2" i="4"/>
  <c r="BF2" i="4"/>
  <c r="BG2" i="4"/>
  <c r="BH2" i="4"/>
  <c r="BI2" i="4"/>
  <c r="BJ2" i="4"/>
  <c r="BK2" i="4"/>
  <c r="BL2" i="4"/>
  <c r="A3" i="4"/>
  <c r="B3" i="4"/>
  <c r="C3" i="4"/>
  <c r="D3" i="4"/>
  <c r="E3" i="4"/>
  <c r="F3" i="4"/>
  <c r="G3" i="4"/>
  <c r="H3" i="4"/>
  <c r="I3" i="4"/>
  <c r="J3" i="4"/>
  <c r="K3" i="4"/>
  <c r="L3" i="4"/>
  <c r="M3" i="4"/>
  <c r="N3" i="4"/>
  <c r="O3" i="4"/>
  <c r="P3" i="4"/>
  <c r="Q3" i="4"/>
  <c r="R3" i="4"/>
  <c r="S3" i="4"/>
  <c r="T3" i="4"/>
  <c r="U3" i="4"/>
  <c r="V3" i="4"/>
  <c r="W3" i="4"/>
  <c r="X3" i="4"/>
  <c r="Y3" i="4"/>
  <c r="Z3" i="4"/>
  <c r="AA3" i="4"/>
  <c r="AB3" i="4"/>
  <c r="AC3" i="4"/>
  <c r="AD3" i="4"/>
  <c r="AE3" i="4"/>
  <c r="AF3" i="4"/>
  <c r="AG3" i="4"/>
  <c r="AH3" i="4"/>
  <c r="AI3" i="4"/>
  <c r="AJ3" i="4"/>
  <c r="AK3" i="4"/>
  <c r="AL3" i="4"/>
  <c r="AM3" i="4"/>
  <c r="AN3" i="4"/>
  <c r="AO3" i="4"/>
  <c r="AP3" i="4"/>
  <c r="AQ3" i="4"/>
  <c r="AR3" i="4"/>
  <c r="AS3" i="4"/>
  <c r="AT3" i="4"/>
  <c r="AU3" i="4"/>
  <c r="AV3" i="4"/>
  <c r="AW3" i="4"/>
  <c r="AX3" i="4"/>
  <c r="AY3" i="4"/>
  <c r="AZ3" i="4"/>
  <c r="BA3" i="4"/>
  <c r="BB3" i="4"/>
  <c r="BC3" i="4"/>
  <c r="BD3" i="4"/>
  <c r="BE3" i="4"/>
  <c r="BF3" i="4"/>
  <c r="BG3" i="4"/>
  <c r="BH3" i="4"/>
  <c r="BI3" i="4"/>
  <c r="BJ3" i="4"/>
  <c r="BK3" i="4"/>
  <c r="BL3" i="4"/>
  <c r="A4" i="4"/>
  <c r="B4" i="4"/>
  <c r="C4" i="4"/>
  <c r="D4" i="4"/>
  <c r="E4" i="4"/>
  <c r="F4" i="4"/>
  <c r="G4" i="4"/>
  <c r="H4" i="4"/>
  <c r="I4" i="4"/>
  <c r="J4" i="4"/>
  <c r="K4" i="4"/>
  <c r="L4" i="4"/>
  <c r="M4" i="4"/>
  <c r="N4" i="4"/>
  <c r="O4" i="4"/>
  <c r="P4" i="4"/>
  <c r="Q4" i="4"/>
  <c r="R4" i="4"/>
  <c r="S4" i="4"/>
  <c r="T4" i="4"/>
  <c r="U4" i="4"/>
  <c r="V4" i="4"/>
  <c r="W4" i="4"/>
  <c r="X4" i="4"/>
  <c r="Y4" i="4"/>
  <c r="Z4" i="4"/>
  <c r="AA4" i="4"/>
  <c r="AB4" i="4"/>
  <c r="AC4" i="4"/>
  <c r="AD4" i="4"/>
  <c r="AE4" i="4"/>
  <c r="AF4" i="4"/>
  <c r="AG4" i="4"/>
  <c r="AH4" i="4"/>
  <c r="AI4" i="4"/>
  <c r="AJ4" i="4"/>
  <c r="AK4" i="4"/>
  <c r="AL4" i="4"/>
  <c r="AM4" i="4"/>
  <c r="AN4" i="4"/>
  <c r="AO4" i="4"/>
  <c r="AP4" i="4"/>
  <c r="AQ4" i="4"/>
  <c r="AR4" i="4"/>
  <c r="AS4" i="4"/>
  <c r="AT4" i="4"/>
  <c r="AU4" i="4"/>
  <c r="AV4" i="4"/>
  <c r="AW4" i="4"/>
  <c r="AX4" i="4"/>
  <c r="AY4" i="4"/>
  <c r="AZ4" i="4"/>
  <c r="BA4" i="4"/>
  <c r="BB4" i="4"/>
  <c r="BC4" i="4"/>
  <c r="BD4" i="4"/>
  <c r="BE4" i="4"/>
  <c r="BF4" i="4"/>
  <c r="BG4" i="4"/>
  <c r="BH4" i="4"/>
  <c r="BI4" i="4"/>
  <c r="BJ4" i="4"/>
  <c r="BK4" i="4"/>
  <c r="BL4" i="4"/>
  <c r="A5" i="4"/>
  <c r="B5" i="4"/>
  <c r="C5" i="4"/>
  <c r="D5" i="4"/>
  <c r="E5" i="4"/>
  <c r="F5" i="4"/>
  <c r="G5" i="4"/>
  <c r="H5" i="4"/>
  <c r="I5" i="4"/>
  <c r="J5" i="4"/>
  <c r="K5" i="4"/>
  <c r="L5" i="4"/>
  <c r="M5" i="4"/>
  <c r="N5" i="4"/>
  <c r="O5" i="4"/>
  <c r="P5" i="4"/>
  <c r="Q5" i="4"/>
  <c r="R5" i="4"/>
  <c r="S5" i="4"/>
  <c r="T5" i="4"/>
  <c r="U5" i="4"/>
  <c r="V5" i="4"/>
  <c r="W5" i="4"/>
  <c r="X5" i="4"/>
  <c r="Y5" i="4"/>
  <c r="Z5" i="4"/>
  <c r="AA5" i="4"/>
  <c r="AB5" i="4"/>
  <c r="AC5" i="4"/>
  <c r="AD5" i="4"/>
  <c r="AE5" i="4"/>
  <c r="AF5" i="4"/>
  <c r="AG5" i="4"/>
  <c r="AH5" i="4"/>
  <c r="AI5" i="4"/>
  <c r="AJ5" i="4"/>
  <c r="AK5" i="4"/>
  <c r="AL5" i="4"/>
  <c r="AM5" i="4"/>
  <c r="AN5" i="4"/>
  <c r="AO5" i="4"/>
  <c r="AP5" i="4"/>
  <c r="AQ5" i="4"/>
  <c r="AR5" i="4"/>
  <c r="AS5" i="4"/>
  <c r="AT5" i="4"/>
  <c r="AU5" i="4"/>
  <c r="AV5" i="4"/>
  <c r="AW5" i="4"/>
  <c r="AX5" i="4"/>
  <c r="AY5" i="4"/>
  <c r="AZ5" i="4"/>
  <c r="BA5" i="4"/>
  <c r="BB5" i="4"/>
  <c r="BC5" i="4"/>
  <c r="BD5" i="4"/>
  <c r="BE5" i="4"/>
  <c r="BF5" i="4"/>
  <c r="BG5" i="4"/>
  <c r="BH5" i="4"/>
  <c r="BI5" i="4"/>
  <c r="BJ5" i="4"/>
  <c r="BK5" i="4"/>
  <c r="BL5" i="4"/>
  <c r="A6" i="4"/>
  <c r="B6" i="4"/>
  <c r="C6" i="4"/>
  <c r="D6" i="4"/>
  <c r="E6" i="4"/>
  <c r="F6" i="4"/>
  <c r="G6" i="4"/>
  <c r="H6" i="4"/>
  <c r="I6" i="4"/>
  <c r="J6" i="4"/>
  <c r="K6" i="4"/>
  <c r="L6" i="4"/>
  <c r="M6" i="4"/>
  <c r="N6" i="4"/>
  <c r="O6" i="4"/>
  <c r="P6" i="4"/>
  <c r="Q6" i="4"/>
  <c r="R6" i="4"/>
  <c r="S6" i="4"/>
  <c r="T6" i="4"/>
  <c r="U6" i="4"/>
  <c r="V6" i="4"/>
  <c r="W6" i="4"/>
  <c r="X6" i="4"/>
  <c r="Y6" i="4"/>
  <c r="Z6" i="4"/>
  <c r="AA6" i="4"/>
  <c r="AB6" i="4"/>
  <c r="AC6" i="4"/>
  <c r="AD6" i="4"/>
  <c r="AE6" i="4"/>
  <c r="AF6" i="4"/>
  <c r="AG6" i="4"/>
  <c r="AH6" i="4"/>
  <c r="AI6" i="4"/>
  <c r="AJ6" i="4"/>
  <c r="AK6" i="4"/>
  <c r="AL6" i="4"/>
  <c r="AM6" i="4"/>
  <c r="AN6" i="4"/>
  <c r="AO6" i="4"/>
  <c r="AP6" i="4"/>
  <c r="AQ6" i="4"/>
  <c r="AR6" i="4"/>
  <c r="AS6" i="4"/>
  <c r="AT6" i="4"/>
  <c r="AU6" i="4"/>
  <c r="AV6" i="4"/>
  <c r="AW6" i="4"/>
  <c r="AX6" i="4"/>
  <c r="AY6" i="4"/>
  <c r="AZ6" i="4"/>
  <c r="BA6" i="4"/>
  <c r="BB6" i="4"/>
  <c r="BC6" i="4"/>
  <c r="BD6" i="4"/>
  <c r="BE6" i="4"/>
  <c r="BF6" i="4"/>
  <c r="BG6" i="4"/>
  <c r="BH6" i="4"/>
  <c r="BI6" i="4"/>
  <c r="BJ6" i="4"/>
  <c r="BK6" i="4"/>
  <c r="BL6" i="4"/>
  <c r="A7" i="4"/>
  <c r="B7" i="4"/>
  <c r="C7" i="4"/>
  <c r="D7" i="4"/>
  <c r="E7" i="4"/>
  <c r="F7" i="4"/>
  <c r="G7" i="4"/>
  <c r="H7" i="4"/>
  <c r="I7" i="4"/>
  <c r="J7" i="4"/>
  <c r="K7" i="4"/>
  <c r="L7" i="4"/>
  <c r="M7" i="4"/>
  <c r="N7" i="4"/>
  <c r="O7" i="4"/>
  <c r="P7" i="4"/>
  <c r="Q7" i="4"/>
  <c r="R7" i="4"/>
  <c r="S7" i="4"/>
  <c r="T7" i="4"/>
  <c r="U7" i="4"/>
  <c r="V7" i="4"/>
  <c r="W7" i="4"/>
  <c r="X7" i="4"/>
  <c r="Y7" i="4"/>
  <c r="Z7" i="4"/>
  <c r="AA7" i="4"/>
  <c r="AB7" i="4"/>
  <c r="AC7" i="4"/>
  <c r="AD7" i="4"/>
  <c r="AE7" i="4"/>
  <c r="AF7" i="4"/>
  <c r="AG7" i="4"/>
  <c r="AH7" i="4"/>
  <c r="AI7" i="4"/>
  <c r="AJ7" i="4"/>
  <c r="AK7" i="4"/>
  <c r="AL7" i="4"/>
  <c r="AM7" i="4"/>
  <c r="AN7" i="4"/>
  <c r="AO7" i="4"/>
  <c r="AP7" i="4"/>
  <c r="AQ7" i="4"/>
  <c r="AR7" i="4"/>
  <c r="AS7" i="4"/>
  <c r="AT7" i="4"/>
  <c r="AU7" i="4"/>
  <c r="AV7" i="4"/>
  <c r="AW7" i="4"/>
  <c r="AX7" i="4"/>
  <c r="AY7" i="4"/>
  <c r="AZ7" i="4"/>
  <c r="BA7" i="4"/>
  <c r="BB7" i="4"/>
  <c r="BC7" i="4"/>
  <c r="BD7" i="4"/>
  <c r="BE7" i="4"/>
  <c r="BF7" i="4"/>
  <c r="BG7" i="4"/>
  <c r="BH7" i="4"/>
  <c r="BI7" i="4"/>
  <c r="BJ7" i="4"/>
  <c r="BK7" i="4"/>
  <c r="BL7" i="4"/>
  <c r="A8" i="4"/>
  <c r="B8" i="4"/>
  <c r="C8" i="4"/>
  <c r="D8" i="4"/>
  <c r="E8" i="4"/>
  <c r="F8" i="4"/>
  <c r="G8" i="4"/>
  <c r="H8" i="4"/>
  <c r="I8" i="4"/>
  <c r="J8" i="4"/>
  <c r="K8" i="4"/>
  <c r="L8" i="4"/>
  <c r="M8" i="4"/>
  <c r="N8" i="4"/>
  <c r="O8" i="4"/>
  <c r="P8" i="4"/>
  <c r="Q8" i="4"/>
  <c r="R8" i="4"/>
  <c r="S8" i="4"/>
  <c r="T8" i="4"/>
  <c r="U8" i="4"/>
  <c r="V8" i="4"/>
  <c r="W8" i="4"/>
  <c r="X8" i="4"/>
  <c r="Y8" i="4"/>
  <c r="Z8" i="4"/>
  <c r="AA8" i="4"/>
  <c r="AB8" i="4"/>
  <c r="AC8" i="4"/>
  <c r="AD8" i="4"/>
  <c r="AE8" i="4"/>
  <c r="AF8" i="4"/>
  <c r="AG8" i="4"/>
  <c r="AH8" i="4"/>
  <c r="AI8" i="4"/>
  <c r="AJ8" i="4"/>
  <c r="AK8" i="4"/>
  <c r="AL8" i="4"/>
  <c r="AM8" i="4"/>
  <c r="AN8" i="4"/>
  <c r="AO8" i="4"/>
  <c r="AP8" i="4"/>
  <c r="AQ8" i="4"/>
  <c r="AR8" i="4"/>
  <c r="AS8" i="4"/>
  <c r="AT8" i="4"/>
  <c r="AU8" i="4"/>
  <c r="AV8" i="4"/>
  <c r="AW8" i="4"/>
  <c r="AX8" i="4"/>
  <c r="AY8" i="4"/>
  <c r="AZ8" i="4"/>
  <c r="BA8" i="4"/>
  <c r="BB8" i="4"/>
  <c r="BC8" i="4"/>
  <c r="BD8" i="4"/>
  <c r="BE8" i="4"/>
  <c r="BF8" i="4"/>
  <c r="BG8" i="4"/>
  <c r="BH8" i="4"/>
  <c r="BI8" i="4"/>
  <c r="BJ8" i="4"/>
  <c r="BK8" i="4"/>
  <c r="BL8" i="4"/>
  <c r="A9" i="4"/>
  <c r="B9" i="4"/>
  <c r="C9" i="4"/>
  <c r="D9" i="4"/>
  <c r="E9" i="4"/>
  <c r="F9" i="4"/>
  <c r="G9" i="4"/>
  <c r="H9" i="4"/>
  <c r="I9" i="4"/>
  <c r="J9" i="4"/>
  <c r="K9" i="4"/>
  <c r="L9" i="4"/>
  <c r="M9" i="4"/>
  <c r="N9" i="4"/>
  <c r="O9" i="4"/>
  <c r="P9" i="4"/>
  <c r="Q9" i="4"/>
  <c r="R9" i="4"/>
  <c r="S9" i="4"/>
  <c r="T9" i="4"/>
  <c r="U9" i="4"/>
  <c r="V9" i="4"/>
  <c r="W9" i="4"/>
  <c r="X9" i="4"/>
  <c r="Y9" i="4"/>
  <c r="Z9" i="4"/>
  <c r="AA9" i="4"/>
  <c r="AB9" i="4"/>
  <c r="AC9" i="4"/>
  <c r="AD9" i="4"/>
  <c r="AE9" i="4"/>
  <c r="AF9" i="4"/>
  <c r="AG9" i="4"/>
  <c r="AH9" i="4"/>
  <c r="AI9" i="4"/>
  <c r="AJ9" i="4"/>
  <c r="AK9" i="4"/>
  <c r="AL9" i="4"/>
  <c r="AM9" i="4"/>
  <c r="AN9" i="4"/>
  <c r="AO9" i="4"/>
  <c r="AP9" i="4"/>
  <c r="AQ9" i="4"/>
  <c r="AR9" i="4"/>
  <c r="AS9" i="4"/>
  <c r="AT9" i="4"/>
  <c r="AU9" i="4"/>
  <c r="AV9" i="4"/>
  <c r="AW9" i="4"/>
  <c r="AX9" i="4"/>
  <c r="AY9" i="4"/>
  <c r="AZ9" i="4"/>
  <c r="BA9" i="4"/>
  <c r="BB9" i="4"/>
  <c r="BC9" i="4"/>
  <c r="BD9" i="4"/>
  <c r="BE9" i="4"/>
  <c r="BF9" i="4"/>
  <c r="BG9" i="4"/>
  <c r="BH9" i="4"/>
  <c r="BI9" i="4"/>
  <c r="BJ9" i="4"/>
  <c r="BK9" i="4"/>
  <c r="BL9" i="4"/>
  <c r="A10" i="4"/>
  <c r="B10" i="4"/>
  <c r="C10" i="4"/>
  <c r="D10" i="4"/>
  <c r="E10" i="4"/>
  <c r="F10" i="4"/>
  <c r="G10" i="4"/>
  <c r="H10" i="4"/>
  <c r="I10" i="4"/>
  <c r="J10" i="4"/>
  <c r="K10" i="4"/>
  <c r="L10" i="4"/>
  <c r="M10" i="4"/>
  <c r="N10" i="4"/>
  <c r="O10" i="4"/>
  <c r="P10" i="4"/>
  <c r="Q10" i="4"/>
  <c r="R10" i="4"/>
  <c r="S10" i="4"/>
  <c r="T10" i="4"/>
  <c r="U10" i="4"/>
  <c r="V10" i="4"/>
  <c r="W10" i="4"/>
  <c r="X10" i="4"/>
  <c r="Y10" i="4"/>
  <c r="Z10" i="4"/>
  <c r="AA10" i="4"/>
  <c r="AB10" i="4"/>
  <c r="AC10" i="4"/>
  <c r="AD10" i="4"/>
  <c r="AE10" i="4"/>
  <c r="AF10" i="4"/>
  <c r="AG10" i="4"/>
  <c r="AH10" i="4"/>
  <c r="AI10" i="4"/>
  <c r="AJ10" i="4"/>
  <c r="AK10" i="4"/>
  <c r="AL10" i="4"/>
  <c r="AM10" i="4"/>
  <c r="AN10" i="4"/>
  <c r="AO10" i="4"/>
  <c r="AP10" i="4"/>
  <c r="AQ10" i="4"/>
  <c r="AR10" i="4"/>
  <c r="AS10" i="4"/>
  <c r="AT10" i="4"/>
  <c r="AU10" i="4"/>
  <c r="AV10" i="4"/>
  <c r="AW10" i="4"/>
  <c r="AX10" i="4"/>
  <c r="AY10" i="4"/>
  <c r="AZ10" i="4"/>
  <c r="BA10" i="4"/>
  <c r="BB10" i="4"/>
  <c r="BC10" i="4"/>
  <c r="BD10" i="4"/>
  <c r="BE10" i="4"/>
  <c r="BF10" i="4"/>
  <c r="BG10" i="4"/>
  <c r="BH10" i="4"/>
  <c r="BI10" i="4"/>
  <c r="BJ10" i="4"/>
  <c r="BK10" i="4"/>
  <c r="BL10" i="4"/>
  <c r="A11" i="4"/>
  <c r="B11" i="4"/>
  <c r="C11" i="4"/>
  <c r="D11" i="4"/>
  <c r="E11" i="4"/>
  <c r="F11" i="4"/>
  <c r="G11" i="4"/>
  <c r="H11" i="4"/>
  <c r="I11" i="4"/>
  <c r="J11" i="4"/>
  <c r="K11" i="4"/>
  <c r="L11" i="4"/>
  <c r="M11" i="4"/>
  <c r="N11" i="4"/>
  <c r="O11" i="4"/>
  <c r="P11" i="4"/>
  <c r="Q11" i="4"/>
  <c r="R11" i="4"/>
  <c r="S11" i="4"/>
  <c r="T11" i="4"/>
  <c r="U11" i="4"/>
  <c r="V11" i="4"/>
  <c r="W11" i="4"/>
  <c r="X11" i="4"/>
  <c r="Y11" i="4"/>
  <c r="Z11" i="4"/>
  <c r="AA11" i="4"/>
  <c r="AB11" i="4"/>
  <c r="AC11" i="4"/>
  <c r="AD11" i="4"/>
  <c r="AE11" i="4"/>
  <c r="AF11" i="4"/>
  <c r="AG11" i="4"/>
  <c r="AH11" i="4"/>
  <c r="AI11" i="4"/>
  <c r="AJ11" i="4"/>
  <c r="AK11" i="4"/>
  <c r="AL11" i="4"/>
  <c r="AM11" i="4"/>
  <c r="AN11" i="4"/>
  <c r="AO11" i="4"/>
  <c r="AP11" i="4"/>
  <c r="AQ11" i="4"/>
  <c r="AR11" i="4"/>
  <c r="AS11" i="4"/>
  <c r="AT11" i="4"/>
  <c r="AU11" i="4"/>
  <c r="AV11" i="4"/>
  <c r="AW11" i="4"/>
  <c r="AX11" i="4"/>
  <c r="AY11" i="4"/>
  <c r="AZ11" i="4"/>
  <c r="BA11" i="4"/>
  <c r="BB11" i="4"/>
  <c r="BC11" i="4"/>
  <c r="BD11" i="4"/>
  <c r="BE11" i="4"/>
  <c r="BF11" i="4"/>
  <c r="BG11" i="4"/>
  <c r="BH11" i="4"/>
  <c r="BI11" i="4"/>
  <c r="BJ11" i="4"/>
  <c r="BK11" i="4"/>
  <c r="BL11" i="4"/>
  <c r="A12" i="4"/>
  <c r="B12" i="4"/>
  <c r="C12" i="4"/>
  <c r="D12" i="4"/>
  <c r="E12" i="4"/>
  <c r="F12" i="4"/>
  <c r="G12" i="4"/>
  <c r="H12" i="4"/>
  <c r="I12" i="4"/>
  <c r="J12" i="4"/>
  <c r="K12" i="4"/>
  <c r="L12" i="4"/>
  <c r="M12" i="4"/>
  <c r="N12" i="4"/>
  <c r="O12" i="4"/>
  <c r="P12" i="4"/>
  <c r="Q12" i="4"/>
  <c r="R12" i="4"/>
  <c r="S12" i="4"/>
  <c r="T12" i="4"/>
  <c r="U12" i="4"/>
  <c r="V12" i="4"/>
  <c r="W12" i="4"/>
  <c r="X12" i="4"/>
  <c r="Y12" i="4"/>
  <c r="Z12" i="4"/>
  <c r="AA12" i="4"/>
  <c r="AB12" i="4"/>
  <c r="AC12" i="4"/>
  <c r="AD12" i="4"/>
  <c r="AE12" i="4"/>
  <c r="AF12" i="4"/>
  <c r="AG12" i="4"/>
  <c r="AH12" i="4"/>
  <c r="AI12" i="4"/>
  <c r="AJ12" i="4"/>
  <c r="AK12" i="4"/>
  <c r="AL12" i="4"/>
  <c r="AM12" i="4"/>
  <c r="AN12" i="4"/>
  <c r="AO12" i="4"/>
  <c r="AP12" i="4"/>
  <c r="AQ12" i="4"/>
  <c r="AR12" i="4"/>
  <c r="AS12" i="4"/>
  <c r="AT12" i="4"/>
  <c r="AU12" i="4"/>
  <c r="AV12" i="4"/>
  <c r="AW12" i="4"/>
  <c r="AX12" i="4"/>
  <c r="AY12" i="4"/>
  <c r="AZ12" i="4"/>
  <c r="BA12" i="4"/>
  <c r="BB12" i="4"/>
  <c r="BC12" i="4"/>
  <c r="BD12" i="4"/>
  <c r="BE12" i="4"/>
  <c r="BF12" i="4"/>
  <c r="BG12" i="4"/>
  <c r="BH12" i="4"/>
  <c r="BI12" i="4"/>
  <c r="BJ12" i="4"/>
  <c r="BK12" i="4"/>
  <c r="BL12" i="4"/>
  <c r="A13" i="4"/>
  <c r="B13" i="4"/>
  <c r="C13" i="4"/>
  <c r="D13" i="4"/>
  <c r="E13" i="4"/>
  <c r="F13" i="4"/>
  <c r="G13" i="4"/>
  <c r="H13" i="4"/>
  <c r="I13" i="4"/>
  <c r="J13" i="4"/>
  <c r="K13" i="4"/>
  <c r="L13" i="4"/>
  <c r="M13" i="4"/>
  <c r="N13" i="4"/>
  <c r="O13" i="4"/>
  <c r="P13" i="4"/>
  <c r="Q13" i="4"/>
  <c r="R13" i="4"/>
  <c r="S13" i="4"/>
  <c r="T13" i="4"/>
  <c r="U13" i="4"/>
  <c r="V13" i="4"/>
  <c r="W13" i="4"/>
  <c r="X13" i="4"/>
  <c r="Y13" i="4"/>
  <c r="Z13" i="4"/>
  <c r="AA13" i="4"/>
  <c r="AB13" i="4"/>
  <c r="AC13" i="4"/>
  <c r="AD13" i="4"/>
  <c r="AE13" i="4"/>
  <c r="AF13" i="4"/>
  <c r="AG13" i="4"/>
  <c r="AH13" i="4"/>
  <c r="AI13" i="4"/>
  <c r="AJ13" i="4"/>
  <c r="AK13" i="4"/>
  <c r="AL13" i="4"/>
  <c r="AM13" i="4"/>
  <c r="AN13" i="4"/>
  <c r="AO13" i="4"/>
  <c r="AP13" i="4"/>
  <c r="AQ13" i="4"/>
  <c r="AR13" i="4"/>
  <c r="AS13" i="4"/>
  <c r="AT13" i="4"/>
  <c r="AU13" i="4"/>
  <c r="AV13" i="4"/>
  <c r="AW13" i="4"/>
  <c r="AX13" i="4"/>
  <c r="AY13" i="4"/>
  <c r="AZ13" i="4"/>
  <c r="BA13" i="4"/>
  <c r="BB13" i="4"/>
  <c r="BC13" i="4"/>
  <c r="BD13" i="4"/>
  <c r="BE13" i="4"/>
  <c r="BF13" i="4"/>
  <c r="BG13" i="4"/>
  <c r="BH13" i="4"/>
  <c r="BI13" i="4"/>
  <c r="BJ13" i="4"/>
  <c r="BK13" i="4"/>
  <c r="BL13" i="4"/>
  <c r="A14" i="4"/>
  <c r="B14" i="4"/>
  <c r="C14" i="4"/>
  <c r="D14" i="4"/>
  <c r="E14" i="4"/>
  <c r="F14" i="4"/>
  <c r="G14" i="4"/>
  <c r="H14" i="4"/>
  <c r="I14" i="4"/>
  <c r="J14" i="4"/>
  <c r="K14" i="4"/>
  <c r="L14" i="4"/>
  <c r="M14" i="4"/>
  <c r="N14" i="4"/>
  <c r="O14" i="4"/>
  <c r="P14" i="4"/>
  <c r="Q14" i="4"/>
  <c r="R14" i="4"/>
  <c r="S14" i="4"/>
  <c r="T14" i="4"/>
  <c r="U14" i="4"/>
  <c r="V14" i="4"/>
  <c r="W14" i="4"/>
  <c r="X14" i="4"/>
  <c r="Y14" i="4"/>
  <c r="Z14" i="4"/>
  <c r="AA14" i="4"/>
  <c r="AB14" i="4"/>
  <c r="AC14" i="4"/>
  <c r="AD14" i="4"/>
  <c r="AE14" i="4"/>
  <c r="AF14" i="4"/>
  <c r="AG14" i="4"/>
  <c r="AH14" i="4"/>
  <c r="AI14" i="4"/>
  <c r="AJ14" i="4"/>
  <c r="AK14" i="4"/>
  <c r="AL14" i="4"/>
  <c r="AM14" i="4"/>
  <c r="AN14" i="4"/>
  <c r="AO14" i="4"/>
  <c r="AP14" i="4"/>
  <c r="AQ14" i="4"/>
  <c r="AR14" i="4"/>
  <c r="AS14" i="4"/>
  <c r="AT14" i="4"/>
  <c r="AU14" i="4"/>
  <c r="AV14" i="4"/>
  <c r="AW14" i="4"/>
  <c r="AX14" i="4"/>
  <c r="AY14" i="4"/>
  <c r="AZ14" i="4"/>
  <c r="BA14" i="4"/>
  <c r="BB14" i="4"/>
  <c r="BC14" i="4"/>
  <c r="BD14" i="4"/>
  <c r="BE14" i="4"/>
  <c r="BF14" i="4"/>
  <c r="BG14" i="4"/>
  <c r="BH14" i="4"/>
  <c r="BI14" i="4"/>
  <c r="BJ14" i="4"/>
  <c r="BK14" i="4"/>
  <c r="BL14" i="4"/>
  <c r="A15" i="4"/>
  <c r="B15" i="4"/>
  <c r="C15" i="4"/>
  <c r="D15" i="4"/>
  <c r="E15" i="4"/>
  <c r="F15" i="4"/>
  <c r="G15" i="4"/>
  <c r="H15" i="4"/>
  <c r="I15" i="4"/>
  <c r="J15" i="4"/>
  <c r="K15" i="4"/>
  <c r="L15" i="4"/>
  <c r="M15" i="4"/>
  <c r="N15" i="4"/>
  <c r="O15" i="4"/>
  <c r="P15" i="4"/>
  <c r="Q15" i="4"/>
  <c r="R15" i="4"/>
  <c r="S15" i="4"/>
  <c r="T15" i="4"/>
  <c r="U15" i="4"/>
  <c r="V15" i="4"/>
  <c r="W15" i="4"/>
  <c r="X15" i="4"/>
  <c r="Y15" i="4"/>
  <c r="Z15" i="4"/>
  <c r="AA15" i="4"/>
  <c r="AB15" i="4"/>
  <c r="AC15" i="4"/>
  <c r="AD15" i="4"/>
  <c r="AE15" i="4"/>
  <c r="AF15" i="4"/>
  <c r="AG15" i="4"/>
  <c r="AH15" i="4"/>
  <c r="AI15" i="4"/>
  <c r="AJ15" i="4"/>
  <c r="AK15" i="4"/>
  <c r="AL15" i="4"/>
  <c r="AM15" i="4"/>
  <c r="AN15" i="4"/>
  <c r="AO15" i="4"/>
  <c r="AP15" i="4"/>
  <c r="AQ15" i="4"/>
  <c r="AR15" i="4"/>
  <c r="AS15" i="4"/>
  <c r="AT15" i="4"/>
  <c r="AU15" i="4"/>
  <c r="AV15" i="4"/>
  <c r="AW15" i="4"/>
  <c r="AX15" i="4"/>
  <c r="AY15" i="4"/>
  <c r="AZ15" i="4"/>
  <c r="BA15" i="4"/>
  <c r="BB15" i="4"/>
  <c r="BC15" i="4"/>
  <c r="BD15" i="4"/>
  <c r="BE15" i="4"/>
  <c r="BF15" i="4"/>
  <c r="BG15" i="4"/>
  <c r="BH15" i="4"/>
  <c r="BI15" i="4"/>
  <c r="BJ15" i="4"/>
  <c r="BK15" i="4"/>
  <c r="BL15" i="4"/>
  <c r="A16" i="4"/>
  <c r="B16" i="4"/>
  <c r="C16" i="4"/>
  <c r="D16" i="4"/>
  <c r="E16" i="4"/>
  <c r="F16" i="4"/>
  <c r="G16" i="4"/>
  <c r="H16" i="4"/>
  <c r="I16" i="4"/>
  <c r="J16" i="4"/>
  <c r="K16" i="4"/>
  <c r="L16" i="4"/>
  <c r="M16" i="4"/>
  <c r="N16" i="4"/>
  <c r="O16" i="4"/>
  <c r="P16" i="4"/>
  <c r="Q16" i="4"/>
  <c r="R16" i="4"/>
  <c r="S16" i="4"/>
  <c r="T16" i="4"/>
  <c r="U16" i="4"/>
  <c r="V16" i="4"/>
  <c r="W16" i="4"/>
  <c r="X16" i="4"/>
  <c r="Y16" i="4"/>
  <c r="Z16" i="4"/>
  <c r="AA16" i="4"/>
  <c r="AB16" i="4"/>
  <c r="AC16" i="4"/>
  <c r="AD16" i="4"/>
  <c r="AE16" i="4"/>
  <c r="AF16" i="4"/>
  <c r="AG16" i="4"/>
  <c r="AH16" i="4"/>
  <c r="AI16" i="4"/>
  <c r="AJ16" i="4"/>
  <c r="AK16" i="4"/>
  <c r="AL16" i="4"/>
  <c r="AM16" i="4"/>
  <c r="AN16" i="4"/>
  <c r="AO16" i="4"/>
  <c r="AP16" i="4"/>
  <c r="AQ16" i="4"/>
  <c r="AR16" i="4"/>
  <c r="AS16" i="4"/>
  <c r="AT16" i="4"/>
  <c r="AU16" i="4"/>
  <c r="AV16" i="4"/>
  <c r="AW16" i="4"/>
  <c r="AX16" i="4"/>
  <c r="AY16" i="4"/>
  <c r="AZ16" i="4"/>
  <c r="BA16" i="4"/>
  <c r="BB16" i="4"/>
  <c r="BC16" i="4"/>
  <c r="BD16" i="4"/>
  <c r="BE16" i="4"/>
  <c r="BF16" i="4"/>
  <c r="BG16" i="4"/>
  <c r="BH16" i="4"/>
  <c r="BI16" i="4"/>
  <c r="BJ16" i="4"/>
  <c r="BK16" i="4"/>
  <c r="BL16" i="4"/>
  <c r="A17" i="4"/>
  <c r="B17" i="4"/>
  <c r="C17" i="4"/>
  <c r="D17" i="4"/>
  <c r="E17" i="4"/>
  <c r="F17" i="4"/>
  <c r="G17" i="4"/>
  <c r="H17" i="4"/>
  <c r="I17" i="4"/>
  <c r="J17" i="4"/>
  <c r="K17" i="4"/>
  <c r="L17" i="4"/>
  <c r="M17" i="4"/>
  <c r="N17" i="4"/>
  <c r="O17" i="4"/>
  <c r="P17" i="4"/>
  <c r="Q17" i="4"/>
  <c r="R17" i="4"/>
  <c r="S17" i="4"/>
  <c r="T17" i="4"/>
  <c r="U17" i="4"/>
  <c r="V17" i="4"/>
  <c r="W17" i="4"/>
  <c r="X17" i="4"/>
  <c r="Y17" i="4"/>
  <c r="Z17" i="4"/>
  <c r="AA17" i="4"/>
  <c r="AB17" i="4"/>
  <c r="AC17" i="4"/>
  <c r="AD17" i="4"/>
  <c r="AE17" i="4"/>
  <c r="AF17" i="4"/>
  <c r="AG17" i="4"/>
  <c r="AH17" i="4"/>
  <c r="AI17" i="4"/>
  <c r="AJ17" i="4"/>
  <c r="AK17" i="4"/>
  <c r="AL17" i="4"/>
  <c r="AM17" i="4"/>
  <c r="AN17" i="4"/>
  <c r="AO17" i="4"/>
  <c r="AP17" i="4"/>
  <c r="AQ17" i="4"/>
  <c r="AR17" i="4"/>
  <c r="AS17" i="4"/>
  <c r="AT17" i="4"/>
  <c r="AU17" i="4"/>
  <c r="AV17" i="4"/>
  <c r="AW17" i="4"/>
  <c r="AX17" i="4"/>
  <c r="AY17" i="4"/>
  <c r="AZ17" i="4"/>
  <c r="BA17" i="4"/>
  <c r="BB17" i="4"/>
  <c r="BC17" i="4"/>
  <c r="BD17" i="4"/>
  <c r="BE17" i="4"/>
  <c r="BF17" i="4"/>
  <c r="BG17" i="4"/>
  <c r="BH17" i="4"/>
  <c r="BI17" i="4"/>
  <c r="BJ17" i="4"/>
  <c r="BK17" i="4"/>
  <c r="BL17" i="4"/>
  <c r="A18" i="4"/>
  <c r="B18" i="4"/>
  <c r="C18" i="4"/>
  <c r="D18" i="4"/>
  <c r="E18" i="4"/>
  <c r="F18" i="4"/>
  <c r="G18" i="4"/>
  <c r="H18" i="4"/>
  <c r="I18" i="4"/>
  <c r="J18" i="4"/>
  <c r="K18" i="4"/>
  <c r="L18" i="4"/>
  <c r="M18" i="4"/>
  <c r="N18" i="4"/>
  <c r="O18" i="4"/>
  <c r="P18" i="4"/>
  <c r="Q18" i="4"/>
  <c r="R18" i="4"/>
  <c r="S18" i="4"/>
  <c r="T18" i="4"/>
  <c r="U18" i="4"/>
  <c r="V18" i="4"/>
  <c r="W18" i="4"/>
  <c r="X18" i="4"/>
  <c r="Y18" i="4"/>
  <c r="Z18" i="4"/>
  <c r="AA18" i="4"/>
  <c r="AB18" i="4"/>
  <c r="AC18" i="4"/>
  <c r="AD18" i="4"/>
  <c r="AE18" i="4"/>
  <c r="AF18" i="4"/>
  <c r="AG18" i="4"/>
  <c r="AH18" i="4"/>
  <c r="AI18" i="4"/>
  <c r="AJ18" i="4"/>
  <c r="AK18" i="4"/>
  <c r="AL18" i="4"/>
  <c r="AM18" i="4"/>
  <c r="AN18" i="4"/>
  <c r="AO18" i="4"/>
  <c r="AP18" i="4"/>
  <c r="AQ18" i="4"/>
  <c r="AR18" i="4"/>
  <c r="AS18" i="4"/>
  <c r="AT18" i="4"/>
  <c r="AU18" i="4"/>
  <c r="AV18" i="4"/>
  <c r="AW18" i="4"/>
  <c r="AX18" i="4"/>
  <c r="AY18" i="4"/>
  <c r="AZ18" i="4"/>
  <c r="BA18" i="4"/>
  <c r="BB18" i="4"/>
  <c r="BC18" i="4"/>
  <c r="BD18" i="4"/>
  <c r="BE18" i="4"/>
  <c r="BF18" i="4"/>
  <c r="BG18" i="4"/>
  <c r="BH18" i="4"/>
  <c r="BI18" i="4"/>
  <c r="BJ18" i="4"/>
  <c r="BK18" i="4"/>
  <c r="BL18" i="4"/>
  <c r="A19" i="4"/>
  <c r="B19" i="4"/>
  <c r="C19" i="4"/>
  <c r="D19" i="4"/>
  <c r="E19" i="4"/>
  <c r="F19" i="4"/>
  <c r="G19" i="4"/>
  <c r="H19" i="4"/>
  <c r="I19" i="4"/>
  <c r="J19" i="4"/>
  <c r="K19" i="4"/>
  <c r="L19" i="4"/>
  <c r="M19" i="4"/>
  <c r="N19" i="4"/>
  <c r="O19" i="4"/>
  <c r="P19" i="4"/>
  <c r="Q19" i="4"/>
  <c r="R19" i="4"/>
  <c r="S19" i="4"/>
  <c r="T19" i="4"/>
  <c r="U19" i="4"/>
  <c r="V19" i="4"/>
  <c r="W19" i="4"/>
  <c r="X19" i="4"/>
  <c r="Y19" i="4"/>
  <c r="Z19" i="4"/>
  <c r="AA19" i="4"/>
  <c r="AB19" i="4"/>
  <c r="AC19" i="4"/>
  <c r="AD19" i="4"/>
  <c r="AE19" i="4"/>
  <c r="AF19" i="4"/>
  <c r="AG19" i="4"/>
  <c r="AH19" i="4"/>
  <c r="AI19" i="4"/>
  <c r="AJ19" i="4"/>
  <c r="AK19" i="4"/>
  <c r="AL19" i="4"/>
  <c r="AM19" i="4"/>
  <c r="AN19" i="4"/>
  <c r="AO19" i="4"/>
  <c r="AP19" i="4"/>
  <c r="AQ19" i="4"/>
  <c r="AR19" i="4"/>
  <c r="AS19" i="4"/>
  <c r="AT19" i="4"/>
  <c r="AU19" i="4"/>
  <c r="AV19" i="4"/>
  <c r="AW19" i="4"/>
  <c r="AX19" i="4"/>
  <c r="AY19" i="4"/>
  <c r="AZ19" i="4"/>
  <c r="BA19" i="4"/>
  <c r="BB19" i="4"/>
  <c r="BC19" i="4"/>
  <c r="BD19" i="4"/>
  <c r="BE19" i="4"/>
  <c r="BF19" i="4"/>
  <c r="BG19" i="4"/>
  <c r="BH19" i="4"/>
  <c r="BI19" i="4"/>
  <c r="BJ19" i="4"/>
  <c r="BK19" i="4"/>
  <c r="BL19" i="4"/>
  <c r="A20" i="4"/>
  <c r="B20" i="4"/>
  <c r="C20" i="4"/>
  <c r="D20" i="4"/>
  <c r="E20" i="4"/>
  <c r="F20" i="4"/>
  <c r="G20" i="4"/>
  <c r="H20" i="4"/>
  <c r="I20" i="4"/>
  <c r="J20" i="4"/>
  <c r="K20" i="4"/>
  <c r="L20" i="4"/>
  <c r="M20" i="4"/>
  <c r="N20" i="4"/>
  <c r="O20" i="4"/>
  <c r="P20" i="4"/>
  <c r="Q20" i="4"/>
  <c r="R20" i="4"/>
  <c r="S20" i="4"/>
  <c r="T20" i="4"/>
  <c r="U20" i="4"/>
  <c r="V20" i="4"/>
  <c r="W20" i="4"/>
  <c r="X20" i="4"/>
  <c r="Y20" i="4"/>
  <c r="Z20" i="4"/>
  <c r="AA20" i="4"/>
  <c r="AB20" i="4"/>
  <c r="AC20" i="4"/>
  <c r="AD20" i="4"/>
  <c r="AE20" i="4"/>
  <c r="AF20" i="4"/>
  <c r="AG20" i="4"/>
  <c r="AH20" i="4"/>
  <c r="AI20" i="4"/>
  <c r="AJ20" i="4"/>
  <c r="AK20" i="4"/>
  <c r="AL20" i="4"/>
  <c r="AM20" i="4"/>
  <c r="AN20" i="4"/>
  <c r="AO20" i="4"/>
  <c r="AP20" i="4"/>
  <c r="AQ20" i="4"/>
  <c r="AR20" i="4"/>
  <c r="AS20" i="4"/>
  <c r="AT20" i="4"/>
  <c r="AU20" i="4"/>
  <c r="AV20" i="4"/>
  <c r="AW20" i="4"/>
  <c r="AX20" i="4"/>
  <c r="AY20" i="4"/>
  <c r="AZ20" i="4"/>
  <c r="BA20" i="4"/>
  <c r="BB20" i="4"/>
  <c r="BC20" i="4"/>
  <c r="BD20" i="4"/>
  <c r="BE20" i="4"/>
  <c r="BF20" i="4"/>
  <c r="BG20" i="4"/>
  <c r="BH20" i="4"/>
  <c r="BI20" i="4"/>
  <c r="BJ20" i="4"/>
  <c r="BK20" i="4"/>
  <c r="BL20" i="4"/>
  <c r="A21" i="4"/>
  <c r="B21" i="4"/>
  <c r="C21" i="4"/>
  <c r="D21" i="4"/>
  <c r="E21" i="4"/>
  <c r="F21" i="4"/>
  <c r="G21" i="4"/>
  <c r="H21" i="4"/>
  <c r="I21" i="4"/>
  <c r="J21" i="4"/>
  <c r="K21" i="4"/>
  <c r="L21" i="4"/>
  <c r="M21" i="4"/>
  <c r="N21" i="4"/>
  <c r="O21" i="4"/>
  <c r="P21" i="4"/>
  <c r="Q21" i="4"/>
  <c r="R21" i="4"/>
  <c r="S21" i="4"/>
  <c r="T21" i="4"/>
  <c r="U21" i="4"/>
  <c r="V21" i="4"/>
  <c r="W21" i="4"/>
  <c r="X21" i="4"/>
  <c r="Y21" i="4"/>
  <c r="Z21" i="4"/>
  <c r="AA21" i="4"/>
  <c r="AB21" i="4"/>
  <c r="AC21" i="4"/>
  <c r="AD21" i="4"/>
  <c r="AE21" i="4"/>
  <c r="AF21" i="4"/>
  <c r="AG21" i="4"/>
  <c r="AH21" i="4"/>
  <c r="AI21" i="4"/>
  <c r="AJ21" i="4"/>
  <c r="AK21" i="4"/>
  <c r="AL21" i="4"/>
  <c r="AM21" i="4"/>
  <c r="AN21" i="4"/>
  <c r="AO21" i="4"/>
  <c r="AP21" i="4"/>
  <c r="AQ21" i="4"/>
  <c r="AR21" i="4"/>
  <c r="AS21" i="4"/>
  <c r="AT21" i="4"/>
  <c r="AU21" i="4"/>
  <c r="AV21" i="4"/>
  <c r="AW21" i="4"/>
  <c r="AX21" i="4"/>
  <c r="AY21" i="4"/>
  <c r="AZ21" i="4"/>
  <c r="BA21" i="4"/>
  <c r="BB21" i="4"/>
  <c r="BC21" i="4"/>
  <c r="BD21" i="4"/>
  <c r="BE21" i="4"/>
  <c r="BF21" i="4"/>
  <c r="BG21" i="4"/>
  <c r="BH21" i="4"/>
  <c r="BI21" i="4"/>
  <c r="BJ21" i="4"/>
  <c r="BK21" i="4"/>
  <c r="BL21" i="4"/>
  <c r="A22" i="4"/>
  <c r="B22" i="4"/>
  <c r="C22" i="4"/>
  <c r="D22" i="4"/>
  <c r="E22" i="4"/>
  <c r="F22" i="4"/>
  <c r="G22" i="4"/>
  <c r="H22" i="4"/>
  <c r="I22" i="4"/>
  <c r="J22" i="4"/>
  <c r="K22" i="4"/>
  <c r="L22" i="4"/>
  <c r="M22" i="4"/>
  <c r="N22" i="4"/>
  <c r="O22" i="4"/>
  <c r="P22" i="4"/>
  <c r="Q22" i="4"/>
  <c r="R22" i="4"/>
  <c r="S22" i="4"/>
  <c r="T22" i="4"/>
  <c r="U22" i="4"/>
  <c r="V22" i="4"/>
  <c r="W22" i="4"/>
  <c r="X22" i="4"/>
  <c r="Y22" i="4"/>
  <c r="Z22" i="4"/>
  <c r="AA22" i="4"/>
  <c r="AB22" i="4"/>
  <c r="AC22" i="4"/>
  <c r="AD22" i="4"/>
  <c r="AE22" i="4"/>
  <c r="AF22" i="4"/>
  <c r="AG22" i="4"/>
  <c r="AH22" i="4"/>
  <c r="AI22" i="4"/>
  <c r="AJ22" i="4"/>
  <c r="AK22" i="4"/>
  <c r="AL22" i="4"/>
  <c r="AM22" i="4"/>
  <c r="AN22" i="4"/>
  <c r="AO22" i="4"/>
  <c r="AP22" i="4"/>
  <c r="AQ22" i="4"/>
  <c r="AR22" i="4"/>
  <c r="AS22" i="4"/>
  <c r="AT22" i="4"/>
  <c r="AU22" i="4"/>
  <c r="AV22" i="4"/>
  <c r="AW22" i="4"/>
  <c r="AX22" i="4"/>
  <c r="AY22" i="4"/>
  <c r="AZ22" i="4"/>
  <c r="BA22" i="4"/>
  <c r="BB22" i="4"/>
  <c r="BC22" i="4"/>
  <c r="BD22" i="4"/>
  <c r="BE22" i="4"/>
  <c r="BF22" i="4"/>
  <c r="BG22" i="4"/>
  <c r="BH22" i="4"/>
  <c r="BI22" i="4"/>
  <c r="BJ22" i="4"/>
  <c r="BK22" i="4"/>
  <c r="BL22" i="4"/>
  <c r="A23" i="4"/>
  <c r="B23" i="4"/>
  <c r="C23" i="4"/>
  <c r="D23" i="4"/>
  <c r="E23" i="4"/>
  <c r="F23" i="4"/>
  <c r="G23" i="4"/>
  <c r="H23" i="4"/>
  <c r="I23" i="4"/>
  <c r="J23" i="4"/>
  <c r="K23" i="4"/>
  <c r="L23" i="4"/>
  <c r="M23" i="4"/>
  <c r="N23" i="4"/>
  <c r="O23" i="4"/>
  <c r="P23" i="4"/>
  <c r="Q23" i="4"/>
  <c r="R23" i="4"/>
  <c r="S23" i="4"/>
  <c r="T23" i="4"/>
  <c r="U23" i="4"/>
  <c r="V23" i="4"/>
  <c r="W23" i="4"/>
  <c r="X23" i="4"/>
  <c r="Y23" i="4"/>
  <c r="Z23" i="4"/>
  <c r="AA23" i="4"/>
  <c r="AB23" i="4"/>
  <c r="AC23" i="4"/>
  <c r="AD23" i="4"/>
  <c r="AE23" i="4"/>
  <c r="AF23" i="4"/>
  <c r="AG23" i="4"/>
  <c r="AH23" i="4"/>
  <c r="AI23" i="4"/>
  <c r="AJ23" i="4"/>
  <c r="AK23" i="4"/>
  <c r="AL23" i="4"/>
  <c r="AM23" i="4"/>
  <c r="AN23" i="4"/>
  <c r="AO23" i="4"/>
  <c r="AP23" i="4"/>
  <c r="AQ23" i="4"/>
  <c r="AR23" i="4"/>
  <c r="AS23" i="4"/>
  <c r="AT23" i="4"/>
  <c r="AU23" i="4"/>
  <c r="AV23" i="4"/>
  <c r="AW23" i="4"/>
  <c r="AX23" i="4"/>
  <c r="AY23" i="4"/>
  <c r="AZ23" i="4"/>
  <c r="BA23" i="4"/>
  <c r="BB23" i="4"/>
  <c r="BC23" i="4"/>
  <c r="BD23" i="4"/>
  <c r="BE23" i="4"/>
  <c r="BF23" i="4"/>
  <c r="BG23" i="4"/>
  <c r="BH23" i="4"/>
  <c r="BI23" i="4"/>
  <c r="BJ23" i="4"/>
  <c r="BK23" i="4"/>
  <c r="BL23" i="4"/>
  <c r="A24" i="4"/>
  <c r="B24" i="4"/>
  <c r="C24" i="4"/>
  <c r="D24" i="4"/>
  <c r="E24" i="4"/>
  <c r="F24" i="4"/>
  <c r="G24" i="4"/>
  <c r="H24" i="4"/>
  <c r="I24" i="4"/>
  <c r="J24" i="4"/>
  <c r="K24" i="4"/>
  <c r="L24" i="4"/>
  <c r="M24" i="4"/>
  <c r="N24" i="4"/>
  <c r="O24" i="4"/>
  <c r="P24" i="4"/>
  <c r="Q24" i="4"/>
  <c r="R24" i="4"/>
  <c r="S24" i="4"/>
  <c r="T24" i="4"/>
  <c r="U24" i="4"/>
  <c r="V24" i="4"/>
  <c r="W24" i="4"/>
  <c r="X24" i="4"/>
  <c r="Y24" i="4"/>
  <c r="Z24" i="4"/>
  <c r="AA24" i="4"/>
  <c r="AB24" i="4"/>
  <c r="AC24" i="4"/>
  <c r="AD24" i="4"/>
  <c r="AE24" i="4"/>
  <c r="AF24" i="4"/>
  <c r="AG24" i="4"/>
  <c r="AH24" i="4"/>
  <c r="AI24" i="4"/>
  <c r="AJ24" i="4"/>
  <c r="AK24" i="4"/>
  <c r="AL24" i="4"/>
  <c r="AM24" i="4"/>
  <c r="AN24" i="4"/>
  <c r="AO24" i="4"/>
  <c r="AP24" i="4"/>
  <c r="AQ24" i="4"/>
  <c r="AR24" i="4"/>
  <c r="AS24" i="4"/>
  <c r="AT24" i="4"/>
  <c r="AU24" i="4"/>
  <c r="AV24" i="4"/>
  <c r="AW24" i="4"/>
  <c r="AX24" i="4"/>
  <c r="AY24" i="4"/>
  <c r="AZ24" i="4"/>
  <c r="BA24" i="4"/>
  <c r="BB24" i="4"/>
  <c r="BC24" i="4"/>
  <c r="BD24" i="4"/>
  <c r="BE24" i="4"/>
  <c r="BF24" i="4"/>
  <c r="BG24" i="4"/>
  <c r="BH24" i="4"/>
  <c r="BI24" i="4"/>
  <c r="BJ24" i="4"/>
  <c r="BK24" i="4"/>
  <c r="BL24" i="4"/>
  <c r="A25" i="4"/>
  <c r="B25" i="4"/>
  <c r="C25" i="4"/>
  <c r="D25" i="4"/>
  <c r="E25" i="4"/>
  <c r="F25" i="4"/>
  <c r="G25" i="4"/>
  <c r="H25" i="4"/>
  <c r="I25" i="4"/>
  <c r="J25" i="4"/>
  <c r="K25" i="4"/>
  <c r="L25" i="4"/>
  <c r="M25" i="4"/>
  <c r="N25" i="4"/>
  <c r="O25" i="4"/>
  <c r="P25" i="4"/>
  <c r="Q25" i="4"/>
  <c r="R25" i="4"/>
  <c r="S25" i="4"/>
  <c r="T25" i="4"/>
  <c r="U25" i="4"/>
  <c r="V25" i="4"/>
  <c r="W25" i="4"/>
  <c r="X25" i="4"/>
  <c r="Y25" i="4"/>
  <c r="Z25" i="4"/>
  <c r="AA25" i="4"/>
  <c r="AB25" i="4"/>
  <c r="AC25" i="4"/>
  <c r="AD25" i="4"/>
  <c r="AE25" i="4"/>
  <c r="AF25" i="4"/>
  <c r="AG25" i="4"/>
  <c r="AH25" i="4"/>
  <c r="AI25" i="4"/>
  <c r="AJ25" i="4"/>
  <c r="AK25" i="4"/>
  <c r="AL25" i="4"/>
  <c r="AM25" i="4"/>
  <c r="AN25" i="4"/>
  <c r="AO25" i="4"/>
  <c r="AP25" i="4"/>
  <c r="AQ25" i="4"/>
  <c r="AR25" i="4"/>
  <c r="AS25" i="4"/>
  <c r="AT25" i="4"/>
  <c r="AU25" i="4"/>
  <c r="AV25" i="4"/>
  <c r="AW25" i="4"/>
  <c r="AX25" i="4"/>
  <c r="AY25" i="4"/>
  <c r="AZ25" i="4"/>
  <c r="BA25" i="4"/>
  <c r="BB25" i="4"/>
  <c r="BC25" i="4"/>
  <c r="BD25" i="4"/>
  <c r="BE25" i="4"/>
  <c r="BF25" i="4"/>
  <c r="BG25" i="4"/>
  <c r="BH25" i="4"/>
  <c r="BI25" i="4"/>
  <c r="BJ25" i="4"/>
  <c r="BK25" i="4"/>
  <c r="BL25" i="4"/>
  <c r="A26" i="4"/>
  <c r="B26" i="4"/>
  <c r="C26" i="4"/>
  <c r="D26" i="4"/>
  <c r="E26" i="4"/>
  <c r="F26" i="4"/>
  <c r="G26" i="4"/>
  <c r="H26" i="4"/>
  <c r="I26" i="4"/>
  <c r="J26" i="4"/>
  <c r="K26" i="4"/>
  <c r="L26" i="4"/>
  <c r="M26" i="4"/>
  <c r="N26" i="4"/>
  <c r="O26" i="4"/>
  <c r="P26" i="4"/>
  <c r="Q26" i="4"/>
  <c r="R26" i="4"/>
  <c r="S26" i="4"/>
  <c r="T26" i="4"/>
  <c r="U26" i="4"/>
  <c r="V26" i="4"/>
  <c r="W26" i="4"/>
  <c r="X26" i="4"/>
  <c r="Y26" i="4"/>
  <c r="Z26" i="4"/>
  <c r="AA26" i="4"/>
  <c r="AB26" i="4"/>
  <c r="AC26" i="4"/>
  <c r="AD26" i="4"/>
  <c r="AE26" i="4"/>
  <c r="AF26" i="4"/>
  <c r="AG26" i="4"/>
  <c r="AH26" i="4"/>
  <c r="AI26" i="4"/>
  <c r="AJ26" i="4"/>
  <c r="AK26" i="4"/>
  <c r="AL26" i="4"/>
  <c r="AM26" i="4"/>
  <c r="AN26" i="4"/>
  <c r="AO26" i="4"/>
  <c r="AP26" i="4"/>
  <c r="AQ26" i="4"/>
  <c r="AR26" i="4"/>
  <c r="AS26" i="4"/>
  <c r="AT26" i="4"/>
  <c r="AU26" i="4"/>
  <c r="AV26" i="4"/>
  <c r="AW26" i="4"/>
  <c r="AX26" i="4"/>
  <c r="AY26" i="4"/>
  <c r="AZ26" i="4"/>
  <c r="BA26" i="4"/>
  <c r="BB26" i="4"/>
  <c r="BC26" i="4"/>
  <c r="BD26" i="4"/>
  <c r="BE26" i="4"/>
  <c r="BF26" i="4"/>
  <c r="BG26" i="4"/>
  <c r="BH26" i="4"/>
  <c r="BI26" i="4"/>
  <c r="BJ26" i="4"/>
  <c r="BK26" i="4"/>
  <c r="BL26" i="4"/>
  <c r="A27" i="4"/>
  <c r="B27" i="4"/>
  <c r="C27" i="4"/>
  <c r="D27" i="4"/>
  <c r="E27" i="4"/>
  <c r="F27" i="4"/>
  <c r="G27" i="4"/>
  <c r="H27" i="4"/>
  <c r="I27" i="4"/>
  <c r="J27" i="4"/>
  <c r="K27" i="4"/>
  <c r="L27" i="4"/>
  <c r="M27" i="4"/>
  <c r="N27" i="4"/>
  <c r="O27" i="4"/>
  <c r="P27" i="4"/>
  <c r="Q27" i="4"/>
  <c r="R27" i="4"/>
  <c r="S27" i="4"/>
  <c r="T27" i="4"/>
  <c r="U27" i="4"/>
  <c r="V27" i="4"/>
  <c r="W27" i="4"/>
  <c r="X27" i="4"/>
  <c r="Y27" i="4"/>
  <c r="Z27" i="4"/>
  <c r="AA27" i="4"/>
  <c r="AB27" i="4"/>
  <c r="AC27" i="4"/>
  <c r="AD27" i="4"/>
  <c r="AE27" i="4"/>
  <c r="AF27" i="4"/>
  <c r="AG27" i="4"/>
  <c r="AH27" i="4"/>
  <c r="AI27" i="4"/>
  <c r="AJ27" i="4"/>
  <c r="AK27" i="4"/>
  <c r="AL27" i="4"/>
  <c r="AM27" i="4"/>
  <c r="AN27" i="4"/>
  <c r="AO27" i="4"/>
  <c r="AP27" i="4"/>
  <c r="AQ27" i="4"/>
  <c r="AR27" i="4"/>
  <c r="AS27" i="4"/>
  <c r="AT27" i="4"/>
  <c r="AU27" i="4"/>
  <c r="AV27" i="4"/>
  <c r="AW27" i="4"/>
  <c r="AX27" i="4"/>
  <c r="AY27" i="4"/>
  <c r="AZ27" i="4"/>
  <c r="BA27" i="4"/>
  <c r="BB27" i="4"/>
  <c r="BC27" i="4"/>
  <c r="BD27" i="4"/>
  <c r="BE27" i="4"/>
  <c r="BF27" i="4"/>
  <c r="BG27" i="4"/>
  <c r="BH27" i="4"/>
  <c r="BI27" i="4"/>
  <c r="BJ27" i="4"/>
  <c r="BK27" i="4"/>
  <c r="BL27" i="4"/>
  <c r="A28" i="4"/>
  <c r="B28" i="4"/>
  <c r="C28" i="4"/>
  <c r="D28" i="4"/>
  <c r="E28" i="4"/>
  <c r="F28" i="4"/>
  <c r="G28" i="4"/>
  <c r="H28" i="4"/>
  <c r="I28" i="4"/>
  <c r="J28" i="4"/>
  <c r="K28" i="4"/>
  <c r="L28" i="4"/>
  <c r="M28" i="4"/>
  <c r="N28" i="4"/>
  <c r="O28" i="4"/>
  <c r="P28" i="4"/>
  <c r="Q28" i="4"/>
  <c r="R28" i="4"/>
  <c r="S28" i="4"/>
  <c r="T28" i="4"/>
  <c r="U28" i="4"/>
  <c r="V28" i="4"/>
  <c r="W28" i="4"/>
  <c r="X28" i="4"/>
  <c r="Y28" i="4"/>
  <c r="Z28" i="4"/>
  <c r="AA28" i="4"/>
  <c r="AB28" i="4"/>
  <c r="AC28" i="4"/>
  <c r="AD28" i="4"/>
  <c r="AE28" i="4"/>
  <c r="AF28" i="4"/>
  <c r="AG28" i="4"/>
  <c r="AH28" i="4"/>
  <c r="AI28" i="4"/>
  <c r="AJ28" i="4"/>
  <c r="AK28" i="4"/>
  <c r="AL28" i="4"/>
  <c r="AM28" i="4"/>
  <c r="AN28" i="4"/>
  <c r="AO28" i="4"/>
  <c r="AP28" i="4"/>
  <c r="AQ28" i="4"/>
  <c r="AR28" i="4"/>
  <c r="AS28" i="4"/>
  <c r="AT28" i="4"/>
  <c r="AU28" i="4"/>
  <c r="AV28" i="4"/>
  <c r="AW28" i="4"/>
  <c r="AX28" i="4"/>
  <c r="AY28" i="4"/>
  <c r="AZ28" i="4"/>
  <c r="BA28" i="4"/>
  <c r="BB28" i="4"/>
  <c r="BC28" i="4"/>
  <c r="BD28" i="4"/>
  <c r="BE28" i="4"/>
  <c r="BF28" i="4"/>
  <c r="BG28" i="4"/>
  <c r="BH28" i="4"/>
  <c r="BI28" i="4"/>
  <c r="BJ28" i="4"/>
  <c r="BK28" i="4"/>
  <c r="BL28" i="4"/>
  <c r="A29" i="4"/>
  <c r="B29" i="4"/>
  <c r="C29" i="4"/>
  <c r="D29" i="4"/>
  <c r="E29" i="4"/>
  <c r="F29" i="4"/>
  <c r="G29" i="4"/>
  <c r="H29" i="4"/>
  <c r="I29" i="4"/>
  <c r="J29" i="4"/>
  <c r="K29" i="4"/>
  <c r="L29" i="4"/>
  <c r="M29" i="4"/>
  <c r="N29" i="4"/>
  <c r="O29" i="4"/>
  <c r="P29" i="4"/>
  <c r="Q29" i="4"/>
  <c r="R29" i="4"/>
  <c r="S29" i="4"/>
  <c r="T29" i="4"/>
  <c r="U29" i="4"/>
  <c r="V29" i="4"/>
  <c r="W29" i="4"/>
  <c r="X29" i="4"/>
  <c r="Y29" i="4"/>
  <c r="Z29" i="4"/>
  <c r="AA29" i="4"/>
  <c r="AB29" i="4"/>
  <c r="AC29" i="4"/>
  <c r="AD29" i="4"/>
  <c r="AE29" i="4"/>
  <c r="AF29" i="4"/>
  <c r="AG29" i="4"/>
  <c r="AH29" i="4"/>
  <c r="AI29" i="4"/>
  <c r="AJ29" i="4"/>
  <c r="AK29" i="4"/>
  <c r="AL29" i="4"/>
  <c r="AM29" i="4"/>
  <c r="AN29" i="4"/>
  <c r="AO29" i="4"/>
  <c r="AP29" i="4"/>
  <c r="AQ29" i="4"/>
  <c r="AR29" i="4"/>
  <c r="AS29" i="4"/>
  <c r="AT29" i="4"/>
  <c r="AU29" i="4"/>
  <c r="AV29" i="4"/>
  <c r="AW29" i="4"/>
  <c r="AX29" i="4"/>
  <c r="AY29" i="4"/>
  <c r="AZ29" i="4"/>
  <c r="BA29" i="4"/>
  <c r="BB29" i="4"/>
  <c r="BC29" i="4"/>
  <c r="BD29" i="4"/>
  <c r="BE29" i="4"/>
  <c r="BF29" i="4"/>
  <c r="BG29" i="4"/>
  <c r="BH29" i="4"/>
  <c r="BI29" i="4"/>
  <c r="BJ29" i="4"/>
  <c r="BK29" i="4"/>
  <c r="BL29" i="4"/>
  <c r="A30" i="4"/>
  <c r="B30" i="4"/>
  <c r="C30" i="4"/>
  <c r="D30" i="4"/>
  <c r="E30" i="4"/>
  <c r="F30" i="4"/>
  <c r="G30" i="4"/>
  <c r="H30" i="4"/>
  <c r="I30" i="4"/>
  <c r="J30" i="4"/>
  <c r="K30" i="4"/>
  <c r="L30" i="4"/>
  <c r="M30" i="4"/>
  <c r="N30" i="4"/>
  <c r="O30" i="4"/>
  <c r="P30" i="4"/>
  <c r="Q30" i="4"/>
  <c r="R30" i="4"/>
  <c r="S30" i="4"/>
  <c r="T30" i="4"/>
  <c r="U30" i="4"/>
  <c r="V30" i="4"/>
  <c r="W30" i="4"/>
  <c r="X30" i="4"/>
  <c r="Y30" i="4"/>
  <c r="Z30" i="4"/>
  <c r="AA30" i="4"/>
  <c r="AB30" i="4"/>
  <c r="AC30" i="4"/>
  <c r="AD30" i="4"/>
  <c r="AE30" i="4"/>
  <c r="AF30" i="4"/>
  <c r="AG30" i="4"/>
  <c r="AH30" i="4"/>
  <c r="AI30" i="4"/>
  <c r="AJ30" i="4"/>
  <c r="AK30" i="4"/>
  <c r="AL30" i="4"/>
  <c r="AM30" i="4"/>
  <c r="AN30" i="4"/>
  <c r="AO30" i="4"/>
  <c r="AP30" i="4"/>
  <c r="AQ30" i="4"/>
  <c r="AR30" i="4"/>
  <c r="AS30" i="4"/>
  <c r="AT30" i="4"/>
  <c r="AU30" i="4"/>
  <c r="AV30" i="4"/>
  <c r="AW30" i="4"/>
  <c r="AX30" i="4"/>
  <c r="AY30" i="4"/>
  <c r="AZ30" i="4"/>
  <c r="BA30" i="4"/>
  <c r="BB30" i="4"/>
  <c r="BC30" i="4"/>
  <c r="BD30" i="4"/>
  <c r="BE30" i="4"/>
  <c r="BF30" i="4"/>
  <c r="BG30" i="4"/>
  <c r="BH30" i="4"/>
  <c r="BI30" i="4"/>
  <c r="BJ30" i="4"/>
  <c r="BK30" i="4"/>
  <c r="BL30" i="4"/>
  <c r="A31" i="4"/>
  <c r="B31" i="4"/>
  <c r="C31" i="4"/>
  <c r="D31" i="4"/>
  <c r="E31" i="4"/>
  <c r="F31" i="4"/>
  <c r="G31" i="4"/>
  <c r="H31" i="4"/>
  <c r="I31" i="4"/>
  <c r="J31" i="4"/>
  <c r="K31" i="4"/>
  <c r="L31" i="4"/>
  <c r="M31" i="4"/>
  <c r="N31" i="4"/>
  <c r="O31" i="4"/>
  <c r="P31" i="4"/>
  <c r="Q31" i="4"/>
  <c r="R31" i="4"/>
  <c r="S31" i="4"/>
  <c r="T31" i="4"/>
  <c r="U31" i="4"/>
  <c r="V31" i="4"/>
  <c r="W31" i="4"/>
  <c r="X31" i="4"/>
  <c r="Y31" i="4"/>
  <c r="Z31" i="4"/>
  <c r="AA31" i="4"/>
  <c r="AB31" i="4"/>
  <c r="AC31" i="4"/>
  <c r="AD31" i="4"/>
  <c r="AE31" i="4"/>
  <c r="AF31" i="4"/>
  <c r="AG31" i="4"/>
  <c r="AH31" i="4"/>
  <c r="AI31" i="4"/>
  <c r="AJ31" i="4"/>
  <c r="AK31" i="4"/>
  <c r="AL31" i="4"/>
  <c r="AM31" i="4"/>
  <c r="AN31" i="4"/>
  <c r="AO31" i="4"/>
  <c r="AP31" i="4"/>
  <c r="AQ31" i="4"/>
  <c r="AR31" i="4"/>
  <c r="AS31" i="4"/>
  <c r="AT31" i="4"/>
  <c r="AU31" i="4"/>
  <c r="AV31" i="4"/>
  <c r="AW31" i="4"/>
  <c r="AX31" i="4"/>
  <c r="AY31" i="4"/>
  <c r="AZ31" i="4"/>
  <c r="BA31" i="4"/>
  <c r="BB31" i="4"/>
  <c r="BC31" i="4"/>
  <c r="BD31" i="4"/>
  <c r="BE31" i="4"/>
  <c r="BF31" i="4"/>
  <c r="BG31" i="4"/>
  <c r="BH31" i="4"/>
  <c r="BI31" i="4"/>
  <c r="BJ31" i="4"/>
  <c r="BK31" i="4"/>
  <c r="BL31" i="4"/>
  <c r="A32" i="4"/>
  <c r="B32" i="4"/>
  <c r="C32" i="4"/>
  <c r="D32" i="4"/>
  <c r="E32" i="4"/>
  <c r="F32" i="4"/>
  <c r="G32" i="4"/>
  <c r="H32" i="4"/>
  <c r="I32" i="4"/>
  <c r="J32" i="4"/>
  <c r="K32" i="4"/>
  <c r="L32" i="4"/>
  <c r="M32" i="4"/>
  <c r="N32" i="4"/>
  <c r="O32" i="4"/>
  <c r="P32" i="4"/>
  <c r="Q32" i="4"/>
  <c r="R32" i="4"/>
  <c r="S32" i="4"/>
  <c r="T32" i="4"/>
  <c r="U32" i="4"/>
  <c r="V32" i="4"/>
  <c r="W32" i="4"/>
  <c r="X32" i="4"/>
  <c r="Y32" i="4"/>
  <c r="Z32" i="4"/>
  <c r="AA32" i="4"/>
  <c r="AB32" i="4"/>
  <c r="AC32" i="4"/>
  <c r="AD32" i="4"/>
  <c r="AE32" i="4"/>
  <c r="AF32" i="4"/>
  <c r="AG32" i="4"/>
  <c r="AH32" i="4"/>
  <c r="AI32" i="4"/>
  <c r="AJ32" i="4"/>
  <c r="AK32" i="4"/>
  <c r="AL32" i="4"/>
  <c r="AM32" i="4"/>
  <c r="AN32" i="4"/>
  <c r="AO32" i="4"/>
  <c r="AP32" i="4"/>
  <c r="AQ32" i="4"/>
  <c r="AR32" i="4"/>
  <c r="AS32" i="4"/>
  <c r="AT32" i="4"/>
  <c r="AU32" i="4"/>
  <c r="AV32" i="4"/>
  <c r="AW32" i="4"/>
  <c r="AX32" i="4"/>
  <c r="AY32" i="4"/>
  <c r="AZ32" i="4"/>
  <c r="BA32" i="4"/>
  <c r="BB32" i="4"/>
  <c r="BC32" i="4"/>
  <c r="BD32" i="4"/>
  <c r="BE32" i="4"/>
  <c r="BF32" i="4"/>
  <c r="BG32" i="4"/>
  <c r="BH32" i="4"/>
  <c r="BI32" i="4"/>
  <c r="BJ32" i="4"/>
  <c r="BK32" i="4"/>
  <c r="BL32" i="4"/>
  <c r="A33" i="4"/>
  <c r="B33" i="4"/>
  <c r="C33" i="4"/>
  <c r="D33" i="4"/>
  <c r="E33" i="4"/>
  <c r="F33" i="4"/>
  <c r="G33" i="4"/>
  <c r="H33" i="4"/>
  <c r="I33" i="4"/>
  <c r="J33" i="4"/>
  <c r="K33" i="4"/>
  <c r="L33" i="4"/>
  <c r="M33" i="4"/>
  <c r="N33" i="4"/>
  <c r="O33" i="4"/>
  <c r="P33" i="4"/>
  <c r="Q33" i="4"/>
  <c r="R33" i="4"/>
  <c r="S33" i="4"/>
  <c r="T33" i="4"/>
  <c r="U33" i="4"/>
  <c r="V33" i="4"/>
  <c r="W33" i="4"/>
  <c r="X33" i="4"/>
  <c r="Y33" i="4"/>
  <c r="Z33" i="4"/>
  <c r="AA33" i="4"/>
  <c r="AB33" i="4"/>
  <c r="AC33" i="4"/>
  <c r="AD33" i="4"/>
  <c r="AE33" i="4"/>
  <c r="AF33" i="4"/>
  <c r="AG33" i="4"/>
  <c r="AH33" i="4"/>
  <c r="AI33" i="4"/>
  <c r="AJ33" i="4"/>
  <c r="AK33" i="4"/>
  <c r="AL33" i="4"/>
  <c r="AM33" i="4"/>
  <c r="AN33" i="4"/>
  <c r="AO33" i="4"/>
  <c r="AP33" i="4"/>
  <c r="AQ33" i="4"/>
  <c r="AR33" i="4"/>
  <c r="AS33" i="4"/>
  <c r="AT33" i="4"/>
  <c r="AU33" i="4"/>
  <c r="AV33" i="4"/>
  <c r="AW33" i="4"/>
  <c r="AX33" i="4"/>
  <c r="AY33" i="4"/>
  <c r="AZ33" i="4"/>
  <c r="BA33" i="4"/>
  <c r="BB33" i="4"/>
  <c r="BC33" i="4"/>
  <c r="BD33" i="4"/>
  <c r="BE33" i="4"/>
  <c r="BF33" i="4"/>
  <c r="BG33" i="4"/>
  <c r="BH33" i="4"/>
  <c r="BI33" i="4"/>
  <c r="BJ33" i="4"/>
  <c r="BK33" i="4"/>
  <c r="BL33" i="4"/>
  <c r="A34" i="4"/>
  <c r="B34" i="4"/>
  <c r="C34" i="4"/>
  <c r="D34" i="4"/>
  <c r="E34" i="4"/>
  <c r="F34" i="4"/>
  <c r="G34" i="4"/>
  <c r="H34" i="4"/>
  <c r="I34" i="4"/>
  <c r="J34" i="4"/>
  <c r="K34" i="4"/>
  <c r="L34" i="4"/>
  <c r="M34" i="4"/>
  <c r="N34" i="4"/>
  <c r="O34" i="4"/>
  <c r="P34" i="4"/>
  <c r="Q34" i="4"/>
  <c r="R34" i="4"/>
  <c r="S34" i="4"/>
  <c r="T34" i="4"/>
  <c r="U34" i="4"/>
  <c r="V34" i="4"/>
  <c r="W34" i="4"/>
  <c r="X34" i="4"/>
  <c r="Y34" i="4"/>
  <c r="Z34" i="4"/>
  <c r="AA34" i="4"/>
  <c r="AB34" i="4"/>
  <c r="AC34" i="4"/>
  <c r="AD34" i="4"/>
  <c r="AE34" i="4"/>
  <c r="AF34" i="4"/>
  <c r="AG34" i="4"/>
  <c r="AH34" i="4"/>
  <c r="AI34" i="4"/>
  <c r="AJ34" i="4"/>
  <c r="AK34" i="4"/>
  <c r="AL34" i="4"/>
  <c r="AM34" i="4"/>
  <c r="AN34" i="4"/>
  <c r="AO34" i="4"/>
  <c r="AP34" i="4"/>
  <c r="AQ34" i="4"/>
  <c r="AR34" i="4"/>
  <c r="AS34" i="4"/>
  <c r="AT34" i="4"/>
  <c r="AU34" i="4"/>
  <c r="AV34" i="4"/>
  <c r="AW34" i="4"/>
  <c r="AX34" i="4"/>
  <c r="AY34" i="4"/>
  <c r="AZ34" i="4"/>
  <c r="BA34" i="4"/>
  <c r="BB34" i="4"/>
  <c r="BC34" i="4"/>
  <c r="BD34" i="4"/>
  <c r="BE34" i="4"/>
  <c r="BF34" i="4"/>
  <c r="BG34" i="4"/>
  <c r="BH34" i="4"/>
  <c r="BI34" i="4"/>
  <c r="BJ34" i="4"/>
  <c r="BK34" i="4"/>
  <c r="BL34" i="4"/>
  <c r="A35" i="4"/>
  <c r="B35" i="4"/>
  <c r="C35" i="4"/>
  <c r="D35" i="4"/>
  <c r="E35" i="4"/>
  <c r="F35" i="4"/>
  <c r="G35" i="4"/>
  <c r="H35" i="4"/>
  <c r="I35" i="4"/>
  <c r="J35" i="4"/>
  <c r="K35" i="4"/>
  <c r="L35" i="4"/>
  <c r="M35" i="4"/>
  <c r="N35" i="4"/>
  <c r="O35" i="4"/>
  <c r="P35" i="4"/>
  <c r="Q35" i="4"/>
  <c r="R35" i="4"/>
  <c r="S35" i="4"/>
  <c r="T35" i="4"/>
  <c r="U35" i="4"/>
  <c r="V35" i="4"/>
  <c r="W35" i="4"/>
  <c r="X35" i="4"/>
  <c r="Y35" i="4"/>
  <c r="Z35" i="4"/>
  <c r="AA35" i="4"/>
  <c r="AB35" i="4"/>
  <c r="AC35" i="4"/>
  <c r="AD35" i="4"/>
  <c r="AE35" i="4"/>
  <c r="AF35" i="4"/>
  <c r="AG35" i="4"/>
  <c r="AH35" i="4"/>
  <c r="AI35" i="4"/>
  <c r="AJ35" i="4"/>
  <c r="AK35" i="4"/>
  <c r="AL35" i="4"/>
  <c r="AM35" i="4"/>
  <c r="AN35" i="4"/>
  <c r="AO35" i="4"/>
  <c r="AP35" i="4"/>
  <c r="AQ35" i="4"/>
  <c r="AR35" i="4"/>
  <c r="AS35" i="4"/>
  <c r="AT35" i="4"/>
  <c r="AU35" i="4"/>
  <c r="AV35" i="4"/>
  <c r="AW35" i="4"/>
  <c r="AX35" i="4"/>
  <c r="AY35" i="4"/>
  <c r="AZ35" i="4"/>
  <c r="BA35" i="4"/>
  <c r="BB35" i="4"/>
  <c r="BC35" i="4"/>
  <c r="BD35" i="4"/>
  <c r="BE35" i="4"/>
  <c r="BF35" i="4"/>
  <c r="BG35" i="4"/>
  <c r="BH35" i="4"/>
  <c r="BI35" i="4"/>
  <c r="BJ35" i="4"/>
  <c r="BK35" i="4"/>
  <c r="BL35" i="4"/>
  <c r="A36" i="4"/>
  <c r="B36" i="4"/>
  <c r="C36" i="4"/>
  <c r="D36" i="4"/>
  <c r="E36" i="4"/>
  <c r="F36" i="4"/>
  <c r="G36" i="4"/>
  <c r="H36" i="4"/>
  <c r="I36" i="4"/>
  <c r="J36" i="4"/>
  <c r="K36" i="4"/>
  <c r="L36" i="4"/>
  <c r="M36" i="4"/>
  <c r="N36" i="4"/>
  <c r="O36" i="4"/>
  <c r="P36" i="4"/>
  <c r="Q36" i="4"/>
  <c r="R36" i="4"/>
  <c r="S36" i="4"/>
  <c r="T36" i="4"/>
  <c r="U36" i="4"/>
  <c r="V36" i="4"/>
  <c r="W36" i="4"/>
  <c r="X36" i="4"/>
  <c r="Y36" i="4"/>
  <c r="Z36" i="4"/>
  <c r="AA36" i="4"/>
  <c r="AB36" i="4"/>
  <c r="AC36" i="4"/>
  <c r="AD36" i="4"/>
  <c r="AE36" i="4"/>
  <c r="AF36" i="4"/>
  <c r="AG36" i="4"/>
  <c r="AH36" i="4"/>
  <c r="AI36" i="4"/>
  <c r="AJ36" i="4"/>
  <c r="AK36" i="4"/>
  <c r="AL36" i="4"/>
  <c r="AM36" i="4"/>
  <c r="AN36" i="4"/>
  <c r="AO36" i="4"/>
  <c r="AP36" i="4"/>
  <c r="AQ36" i="4"/>
  <c r="AR36" i="4"/>
  <c r="AS36" i="4"/>
  <c r="AT36" i="4"/>
  <c r="AU36" i="4"/>
  <c r="AV36" i="4"/>
  <c r="AW36" i="4"/>
  <c r="AX36" i="4"/>
  <c r="AY36" i="4"/>
  <c r="AZ36" i="4"/>
  <c r="BA36" i="4"/>
  <c r="BB36" i="4"/>
  <c r="BC36" i="4"/>
  <c r="BD36" i="4"/>
  <c r="BE36" i="4"/>
  <c r="BF36" i="4"/>
  <c r="BG36" i="4"/>
  <c r="BH36" i="4"/>
  <c r="BI36" i="4"/>
  <c r="BJ36" i="4"/>
  <c r="BK36" i="4"/>
  <c r="BL36" i="4"/>
  <c r="A37" i="4"/>
  <c r="B37" i="4"/>
  <c r="C37" i="4"/>
  <c r="D37" i="4"/>
  <c r="E37" i="4"/>
  <c r="F37" i="4"/>
  <c r="G37" i="4"/>
  <c r="H37" i="4"/>
  <c r="I37" i="4"/>
  <c r="J37" i="4"/>
  <c r="K37" i="4"/>
  <c r="L37" i="4"/>
  <c r="M37" i="4"/>
  <c r="N37" i="4"/>
  <c r="O37" i="4"/>
  <c r="P37" i="4"/>
  <c r="Q37" i="4"/>
  <c r="R37" i="4"/>
  <c r="S37" i="4"/>
  <c r="T37" i="4"/>
  <c r="U37" i="4"/>
  <c r="V37" i="4"/>
  <c r="W37" i="4"/>
  <c r="X37" i="4"/>
  <c r="Y37" i="4"/>
  <c r="Z37" i="4"/>
  <c r="AA37" i="4"/>
  <c r="AB37" i="4"/>
  <c r="AC37" i="4"/>
  <c r="AD37" i="4"/>
  <c r="AE37" i="4"/>
  <c r="AF37" i="4"/>
  <c r="AG37" i="4"/>
  <c r="AH37" i="4"/>
  <c r="AI37" i="4"/>
  <c r="AJ37" i="4"/>
  <c r="AK37" i="4"/>
  <c r="AL37" i="4"/>
  <c r="AM37" i="4"/>
  <c r="AN37" i="4"/>
  <c r="AO37" i="4"/>
  <c r="AP37" i="4"/>
  <c r="AQ37" i="4"/>
  <c r="AR37" i="4"/>
  <c r="AS37" i="4"/>
  <c r="AT37" i="4"/>
  <c r="AU37" i="4"/>
  <c r="AV37" i="4"/>
  <c r="AW37" i="4"/>
  <c r="AX37" i="4"/>
  <c r="AY37" i="4"/>
  <c r="AZ37" i="4"/>
  <c r="BA37" i="4"/>
  <c r="BB37" i="4"/>
  <c r="BC37" i="4"/>
  <c r="BD37" i="4"/>
  <c r="BE37" i="4"/>
  <c r="BF37" i="4"/>
  <c r="BG37" i="4"/>
  <c r="BH37" i="4"/>
  <c r="BI37" i="4"/>
  <c r="BJ37" i="4"/>
  <c r="BK37" i="4"/>
  <c r="BL37" i="4"/>
  <c r="A38" i="4"/>
  <c r="B38" i="4"/>
  <c r="C38" i="4"/>
  <c r="D38" i="4"/>
  <c r="E38" i="4"/>
  <c r="F38" i="4"/>
  <c r="G38" i="4"/>
  <c r="H38" i="4"/>
  <c r="I38" i="4"/>
  <c r="J38" i="4"/>
  <c r="K38" i="4"/>
  <c r="L38" i="4"/>
  <c r="M38" i="4"/>
  <c r="N38" i="4"/>
  <c r="O38" i="4"/>
  <c r="P38" i="4"/>
  <c r="Q38" i="4"/>
  <c r="R38" i="4"/>
  <c r="S38" i="4"/>
  <c r="T38" i="4"/>
  <c r="U38" i="4"/>
  <c r="V38" i="4"/>
  <c r="W38" i="4"/>
  <c r="X38" i="4"/>
  <c r="Y38" i="4"/>
  <c r="Z38" i="4"/>
  <c r="AA38" i="4"/>
  <c r="AB38" i="4"/>
  <c r="AC38" i="4"/>
  <c r="AD38" i="4"/>
  <c r="AE38" i="4"/>
  <c r="AF38" i="4"/>
  <c r="AG38" i="4"/>
  <c r="AH38" i="4"/>
  <c r="AI38" i="4"/>
  <c r="AJ38" i="4"/>
  <c r="AK38" i="4"/>
  <c r="AL38" i="4"/>
  <c r="AM38" i="4"/>
  <c r="AN38" i="4"/>
  <c r="AO38" i="4"/>
  <c r="AP38" i="4"/>
  <c r="AQ38" i="4"/>
  <c r="AR38" i="4"/>
  <c r="AS38" i="4"/>
  <c r="AT38" i="4"/>
  <c r="AU38" i="4"/>
  <c r="AV38" i="4"/>
  <c r="AW38" i="4"/>
  <c r="AX38" i="4"/>
  <c r="AY38" i="4"/>
  <c r="AZ38" i="4"/>
  <c r="BA38" i="4"/>
  <c r="BB38" i="4"/>
  <c r="BC38" i="4"/>
  <c r="BD38" i="4"/>
  <c r="BE38" i="4"/>
  <c r="BF38" i="4"/>
  <c r="BG38" i="4"/>
  <c r="BH38" i="4"/>
  <c r="BI38" i="4"/>
  <c r="BJ38" i="4"/>
  <c r="BK38" i="4"/>
  <c r="BL38" i="4"/>
  <c r="A39" i="4"/>
  <c r="B39" i="4"/>
  <c r="C39" i="4"/>
  <c r="D39" i="4"/>
  <c r="E39" i="4"/>
  <c r="F39" i="4"/>
  <c r="G39" i="4"/>
  <c r="H39" i="4"/>
  <c r="I39" i="4"/>
  <c r="J39" i="4"/>
  <c r="K39" i="4"/>
  <c r="L39" i="4"/>
  <c r="M39" i="4"/>
  <c r="N39" i="4"/>
  <c r="O39" i="4"/>
  <c r="P39" i="4"/>
  <c r="Q39" i="4"/>
  <c r="R39" i="4"/>
  <c r="S39" i="4"/>
  <c r="T39" i="4"/>
  <c r="U39" i="4"/>
  <c r="V39" i="4"/>
  <c r="W39" i="4"/>
  <c r="X39" i="4"/>
  <c r="Y39" i="4"/>
  <c r="Z39" i="4"/>
  <c r="AA39" i="4"/>
  <c r="AB39" i="4"/>
  <c r="AC39" i="4"/>
  <c r="AD39" i="4"/>
  <c r="AE39" i="4"/>
  <c r="AF39" i="4"/>
  <c r="AG39" i="4"/>
  <c r="AH39" i="4"/>
  <c r="AI39" i="4"/>
  <c r="AJ39" i="4"/>
  <c r="AK39" i="4"/>
  <c r="AL39" i="4"/>
  <c r="AM39" i="4"/>
  <c r="AN39" i="4"/>
  <c r="AO39" i="4"/>
  <c r="AP39" i="4"/>
  <c r="AQ39" i="4"/>
  <c r="AR39" i="4"/>
  <c r="AS39" i="4"/>
  <c r="AT39" i="4"/>
  <c r="AU39" i="4"/>
  <c r="AV39" i="4"/>
  <c r="AW39" i="4"/>
  <c r="AX39" i="4"/>
  <c r="AY39" i="4"/>
  <c r="AZ39" i="4"/>
  <c r="BA39" i="4"/>
  <c r="BB39" i="4"/>
  <c r="BC39" i="4"/>
  <c r="BD39" i="4"/>
  <c r="BE39" i="4"/>
  <c r="BF39" i="4"/>
  <c r="BG39" i="4"/>
  <c r="BH39" i="4"/>
  <c r="BI39" i="4"/>
  <c r="BJ39" i="4"/>
  <c r="BK39" i="4"/>
  <c r="BL39" i="4"/>
  <c r="A40" i="4"/>
  <c r="B40" i="4"/>
  <c r="C40" i="4"/>
  <c r="D40" i="4"/>
  <c r="E40" i="4"/>
  <c r="F40" i="4"/>
  <c r="G40" i="4"/>
  <c r="H40" i="4"/>
  <c r="I40" i="4"/>
  <c r="J40" i="4"/>
  <c r="K40" i="4"/>
  <c r="L40" i="4"/>
  <c r="M40" i="4"/>
  <c r="N40" i="4"/>
  <c r="O40" i="4"/>
  <c r="P40" i="4"/>
  <c r="Q40" i="4"/>
  <c r="R40" i="4"/>
  <c r="S40" i="4"/>
  <c r="T40" i="4"/>
  <c r="U40" i="4"/>
  <c r="V40" i="4"/>
  <c r="W40" i="4"/>
  <c r="X40" i="4"/>
  <c r="Y40" i="4"/>
  <c r="Z40" i="4"/>
  <c r="AA40" i="4"/>
  <c r="AB40" i="4"/>
  <c r="AC40" i="4"/>
  <c r="AD40" i="4"/>
  <c r="AE40" i="4"/>
  <c r="AF40" i="4"/>
  <c r="AG40" i="4"/>
  <c r="AH40" i="4"/>
  <c r="AI40" i="4"/>
  <c r="AJ40" i="4"/>
  <c r="AK40" i="4"/>
  <c r="AL40" i="4"/>
  <c r="AM40" i="4"/>
  <c r="AN40" i="4"/>
  <c r="AO40" i="4"/>
  <c r="AP40" i="4"/>
  <c r="AQ40" i="4"/>
  <c r="AR40" i="4"/>
  <c r="AS40" i="4"/>
  <c r="AT40" i="4"/>
  <c r="AU40" i="4"/>
  <c r="AV40" i="4"/>
  <c r="AW40" i="4"/>
  <c r="AX40" i="4"/>
  <c r="AY40" i="4"/>
  <c r="AZ40" i="4"/>
  <c r="BA40" i="4"/>
  <c r="BB40" i="4"/>
  <c r="BC40" i="4"/>
  <c r="BD40" i="4"/>
  <c r="BE40" i="4"/>
  <c r="BF40" i="4"/>
  <c r="BG40" i="4"/>
  <c r="BH40" i="4"/>
  <c r="BI40" i="4"/>
  <c r="BJ40" i="4"/>
  <c r="BK40" i="4"/>
  <c r="BL40" i="4"/>
  <c r="A41" i="4"/>
  <c r="B41" i="4"/>
  <c r="C41" i="4"/>
  <c r="D41" i="4"/>
  <c r="E41" i="4"/>
  <c r="F41" i="4"/>
  <c r="G41" i="4"/>
  <c r="H41" i="4"/>
  <c r="I41" i="4"/>
  <c r="J41" i="4"/>
  <c r="K41" i="4"/>
  <c r="L41" i="4"/>
  <c r="M41" i="4"/>
  <c r="N41" i="4"/>
  <c r="O41" i="4"/>
  <c r="P41" i="4"/>
  <c r="Q41" i="4"/>
  <c r="R41" i="4"/>
  <c r="S41" i="4"/>
  <c r="T41" i="4"/>
  <c r="U41" i="4"/>
  <c r="V41" i="4"/>
  <c r="W41" i="4"/>
  <c r="X41" i="4"/>
  <c r="Y41" i="4"/>
  <c r="Z41" i="4"/>
  <c r="AA41" i="4"/>
  <c r="AB41" i="4"/>
  <c r="AC41" i="4"/>
  <c r="AD41" i="4"/>
  <c r="AE41" i="4"/>
  <c r="AF41" i="4"/>
  <c r="AG41" i="4"/>
  <c r="AH41" i="4"/>
  <c r="AI41" i="4"/>
  <c r="AJ41" i="4"/>
  <c r="AK41" i="4"/>
  <c r="AL41" i="4"/>
  <c r="AM41" i="4"/>
  <c r="AN41" i="4"/>
  <c r="AO41" i="4"/>
  <c r="AP41" i="4"/>
  <c r="AQ41" i="4"/>
  <c r="AR41" i="4"/>
  <c r="AS41" i="4"/>
  <c r="AT41" i="4"/>
  <c r="AU41" i="4"/>
  <c r="AV41" i="4"/>
  <c r="AW41" i="4"/>
  <c r="AX41" i="4"/>
  <c r="AY41" i="4"/>
  <c r="AZ41" i="4"/>
  <c r="BA41" i="4"/>
  <c r="BB41" i="4"/>
  <c r="BC41" i="4"/>
  <c r="BD41" i="4"/>
  <c r="BE41" i="4"/>
  <c r="BF41" i="4"/>
  <c r="BG41" i="4"/>
  <c r="BH41" i="4"/>
  <c r="BI41" i="4"/>
  <c r="BJ41" i="4"/>
  <c r="BK41" i="4"/>
  <c r="BL41" i="4"/>
  <c r="A42" i="4"/>
  <c r="B42" i="4"/>
  <c r="C42" i="4"/>
  <c r="D42" i="4"/>
  <c r="E42" i="4"/>
  <c r="F42" i="4"/>
  <c r="G42" i="4"/>
  <c r="H42" i="4"/>
  <c r="I42" i="4"/>
  <c r="J42" i="4"/>
  <c r="K42" i="4"/>
  <c r="L42" i="4"/>
  <c r="M42" i="4"/>
  <c r="N42" i="4"/>
  <c r="O42" i="4"/>
  <c r="P42" i="4"/>
  <c r="Q42" i="4"/>
  <c r="R42" i="4"/>
  <c r="S42" i="4"/>
  <c r="T42" i="4"/>
  <c r="U42" i="4"/>
  <c r="V42" i="4"/>
  <c r="W42" i="4"/>
  <c r="X42" i="4"/>
  <c r="Y42" i="4"/>
  <c r="Z42" i="4"/>
  <c r="AA42" i="4"/>
  <c r="AB42" i="4"/>
  <c r="AC42" i="4"/>
  <c r="AD42" i="4"/>
  <c r="AE42" i="4"/>
  <c r="AF42" i="4"/>
  <c r="AG42" i="4"/>
  <c r="AH42" i="4"/>
  <c r="AI42" i="4"/>
  <c r="AJ42" i="4"/>
  <c r="AK42" i="4"/>
  <c r="AL42" i="4"/>
  <c r="AM42" i="4"/>
  <c r="AN42" i="4"/>
  <c r="AO42" i="4"/>
  <c r="AP42" i="4"/>
  <c r="AQ42" i="4"/>
  <c r="AR42" i="4"/>
  <c r="AS42" i="4"/>
  <c r="AT42" i="4"/>
  <c r="AU42" i="4"/>
  <c r="AV42" i="4"/>
  <c r="AW42" i="4"/>
  <c r="AX42" i="4"/>
  <c r="AY42" i="4"/>
  <c r="AZ42" i="4"/>
  <c r="BA42" i="4"/>
  <c r="BB42" i="4"/>
  <c r="BC42" i="4"/>
  <c r="BD42" i="4"/>
  <c r="BE42" i="4"/>
  <c r="BF42" i="4"/>
  <c r="BG42" i="4"/>
  <c r="BH42" i="4"/>
  <c r="BI42" i="4"/>
  <c r="BJ42" i="4"/>
  <c r="BK42" i="4"/>
  <c r="BL42" i="4"/>
  <c r="A43" i="4"/>
  <c r="B43" i="4"/>
  <c r="C43" i="4"/>
  <c r="D43" i="4"/>
  <c r="E43" i="4"/>
  <c r="F43" i="4"/>
  <c r="G43" i="4"/>
  <c r="H43" i="4"/>
  <c r="I43" i="4"/>
  <c r="J43" i="4"/>
  <c r="K43" i="4"/>
  <c r="L43" i="4"/>
  <c r="M43" i="4"/>
  <c r="N43" i="4"/>
  <c r="O43" i="4"/>
  <c r="P43" i="4"/>
  <c r="Q43" i="4"/>
  <c r="R43" i="4"/>
  <c r="S43" i="4"/>
  <c r="T43" i="4"/>
  <c r="U43" i="4"/>
  <c r="V43" i="4"/>
  <c r="W43" i="4"/>
  <c r="X43" i="4"/>
  <c r="Y43" i="4"/>
  <c r="Z43" i="4"/>
  <c r="AA43" i="4"/>
  <c r="AB43" i="4"/>
  <c r="AC43" i="4"/>
  <c r="AD43" i="4"/>
  <c r="AE43" i="4"/>
  <c r="AF43" i="4"/>
  <c r="AG43" i="4"/>
  <c r="AH43" i="4"/>
  <c r="AI43" i="4"/>
  <c r="AJ43" i="4"/>
  <c r="AK43" i="4"/>
  <c r="AL43" i="4"/>
  <c r="AM43" i="4"/>
  <c r="AN43" i="4"/>
  <c r="AO43" i="4"/>
  <c r="AP43" i="4"/>
  <c r="AQ43" i="4"/>
  <c r="AR43" i="4"/>
  <c r="AS43" i="4"/>
  <c r="AT43" i="4"/>
  <c r="AU43" i="4"/>
  <c r="AV43" i="4"/>
  <c r="AW43" i="4"/>
  <c r="AX43" i="4"/>
  <c r="AY43" i="4"/>
  <c r="AZ43" i="4"/>
  <c r="BA43" i="4"/>
  <c r="BB43" i="4"/>
  <c r="BC43" i="4"/>
  <c r="BD43" i="4"/>
  <c r="BE43" i="4"/>
  <c r="BF43" i="4"/>
  <c r="BG43" i="4"/>
  <c r="BH43" i="4"/>
  <c r="BI43" i="4"/>
  <c r="BJ43" i="4"/>
  <c r="BK43" i="4"/>
  <c r="BL43" i="4"/>
  <c r="A44" i="4"/>
  <c r="B44" i="4"/>
  <c r="C44" i="4"/>
  <c r="D44" i="4"/>
  <c r="E44" i="4"/>
  <c r="F44" i="4"/>
  <c r="G44" i="4"/>
  <c r="H44" i="4"/>
  <c r="I44" i="4"/>
  <c r="J44" i="4"/>
  <c r="K44" i="4"/>
  <c r="L44" i="4"/>
  <c r="M44" i="4"/>
  <c r="N44" i="4"/>
  <c r="O44" i="4"/>
  <c r="P44" i="4"/>
  <c r="Q44" i="4"/>
  <c r="R44" i="4"/>
  <c r="S44" i="4"/>
  <c r="T44" i="4"/>
  <c r="U44" i="4"/>
  <c r="V44" i="4"/>
  <c r="W44" i="4"/>
  <c r="X44" i="4"/>
  <c r="Y44" i="4"/>
  <c r="Z44" i="4"/>
  <c r="AA44" i="4"/>
  <c r="AB44" i="4"/>
  <c r="AC44" i="4"/>
  <c r="AD44" i="4"/>
  <c r="AE44" i="4"/>
  <c r="AF44" i="4"/>
  <c r="AG44" i="4"/>
  <c r="AH44" i="4"/>
  <c r="AI44" i="4"/>
  <c r="AJ44" i="4"/>
  <c r="AK44" i="4"/>
  <c r="AL44" i="4"/>
  <c r="AM44" i="4"/>
  <c r="AN44" i="4"/>
  <c r="AO44" i="4"/>
  <c r="AP44" i="4"/>
  <c r="AQ44" i="4"/>
  <c r="AR44" i="4"/>
  <c r="AS44" i="4"/>
  <c r="AT44" i="4"/>
  <c r="AU44" i="4"/>
  <c r="AV44" i="4"/>
  <c r="AW44" i="4"/>
  <c r="AX44" i="4"/>
  <c r="AY44" i="4"/>
  <c r="AZ44" i="4"/>
  <c r="BA44" i="4"/>
  <c r="BB44" i="4"/>
  <c r="BC44" i="4"/>
  <c r="BD44" i="4"/>
  <c r="BE44" i="4"/>
  <c r="BF44" i="4"/>
  <c r="BG44" i="4"/>
  <c r="BH44" i="4"/>
  <c r="BI44" i="4"/>
  <c r="BJ44" i="4"/>
  <c r="BK44" i="4"/>
  <c r="BL44" i="4"/>
  <c r="A45" i="4"/>
  <c r="B45" i="4"/>
  <c r="C45" i="4"/>
  <c r="D45" i="4"/>
  <c r="E45" i="4"/>
  <c r="F45" i="4"/>
  <c r="G45" i="4"/>
  <c r="H45" i="4"/>
  <c r="I45" i="4"/>
  <c r="J45" i="4"/>
  <c r="K45" i="4"/>
  <c r="L45" i="4"/>
  <c r="M45" i="4"/>
  <c r="N45" i="4"/>
  <c r="O45" i="4"/>
  <c r="P45" i="4"/>
  <c r="Q45" i="4"/>
  <c r="R45" i="4"/>
  <c r="S45" i="4"/>
  <c r="T45" i="4"/>
  <c r="U45" i="4"/>
  <c r="V45" i="4"/>
  <c r="W45" i="4"/>
  <c r="X45" i="4"/>
  <c r="Y45" i="4"/>
  <c r="Z45" i="4"/>
  <c r="AA45" i="4"/>
  <c r="AB45" i="4"/>
  <c r="AC45" i="4"/>
  <c r="AD45" i="4"/>
  <c r="AE45" i="4"/>
  <c r="AF45" i="4"/>
  <c r="AG45" i="4"/>
  <c r="AH45" i="4"/>
  <c r="AI45" i="4"/>
  <c r="AJ45" i="4"/>
  <c r="AK45" i="4"/>
  <c r="AL45" i="4"/>
  <c r="AM45" i="4"/>
  <c r="AN45" i="4"/>
  <c r="AO45" i="4"/>
  <c r="AP45" i="4"/>
  <c r="AQ45" i="4"/>
  <c r="AR45" i="4"/>
  <c r="AS45" i="4"/>
  <c r="AT45" i="4"/>
  <c r="AU45" i="4"/>
  <c r="AV45" i="4"/>
  <c r="AW45" i="4"/>
  <c r="AX45" i="4"/>
  <c r="AY45" i="4"/>
  <c r="AZ45" i="4"/>
  <c r="BA45" i="4"/>
  <c r="BB45" i="4"/>
  <c r="BC45" i="4"/>
  <c r="BD45" i="4"/>
  <c r="BE45" i="4"/>
  <c r="BF45" i="4"/>
  <c r="BG45" i="4"/>
  <c r="BH45" i="4"/>
  <c r="BI45" i="4"/>
  <c r="BJ45" i="4"/>
  <c r="BK45" i="4"/>
  <c r="BL45" i="4"/>
  <c r="A46" i="4"/>
  <c r="B46" i="4"/>
  <c r="C46" i="4"/>
  <c r="D46" i="4"/>
  <c r="E46" i="4"/>
  <c r="F46" i="4"/>
  <c r="G46" i="4"/>
  <c r="H46" i="4"/>
  <c r="I46" i="4"/>
  <c r="J46" i="4"/>
  <c r="K46" i="4"/>
  <c r="L46" i="4"/>
  <c r="M46" i="4"/>
  <c r="N46" i="4"/>
  <c r="O46" i="4"/>
  <c r="P46" i="4"/>
  <c r="Q46" i="4"/>
  <c r="R46" i="4"/>
  <c r="S46" i="4"/>
  <c r="T46" i="4"/>
  <c r="U46" i="4"/>
  <c r="V46" i="4"/>
  <c r="W46" i="4"/>
  <c r="X46" i="4"/>
  <c r="Y46" i="4"/>
  <c r="Z46" i="4"/>
  <c r="AA46" i="4"/>
  <c r="AB46" i="4"/>
  <c r="AC46" i="4"/>
  <c r="AD46" i="4"/>
  <c r="AE46" i="4"/>
  <c r="AF46" i="4"/>
  <c r="AG46" i="4"/>
  <c r="AH46" i="4"/>
  <c r="AI46" i="4"/>
  <c r="AJ46" i="4"/>
  <c r="AK46" i="4"/>
  <c r="AL46" i="4"/>
  <c r="AM46" i="4"/>
  <c r="AN46" i="4"/>
  <c r="AO46" i="4"/>
  <c r="AP46" i="4"/>
  <c r="AQ46" i="4"/>
  <c r="AR46" i="4"/>
  <c r="AS46" i="4"/>
  <c r="AT46" i="4"/>
  <c r="AU46" i="4"/>
  <c r="AV46" i="4"/>
  <c r="AW46" i="4"/>
  <c r="AX46" i="4"/>
  <c r="AY46" i="4"/>
  <c r="AZ46" i="4"/>
  <c r="BA46" i="4"/>
  <c r="BB46" i="4"/>
  <c r="BC46" i="4"/>
  <c r="BD46" i="4"/>
  <c r="BE46" i="4"/>
  <c r="BF46" i="4"/>
  <c r="BG46" i="4"/>
  <c r="BH46" i="4"/>
  <c r="BI46" i="4"/>
  <c r="BJ46" i="4"/>
  <c r="BK46" i="4"/>
  <c r="BL46" i="4"/>
  <c r="A47" i="4"/>
  <c r="B47" i="4"/>
  <c r="C47" i="4"/>
  <c r="D47" i="4"/>
  <c r="E47" i="4"/>
  <c r="F47" i="4"/>
  <c r="G47" i="4"/>
  <c r="H47" i="4"/>
  <c r="I47" i="4"/>
  <c r="J47" i="4"/>
  <c r="K47" i="4"/>
  <c r="L47" i="4"/>
  <c r="M47" i="4"/>
  <c r="N47" i="4"/>
  <c r="O47" i="4"/>
  <c r="P47" i="4"/>
  <c r="Q47" i="4"/>
  <c r="R47" i="4"/>
  <c r="S47" i="4"/>
  <c r="T47" i="4"/>
  <c r="U47" i="4"/>
  <c r="V47" i="4"/>
  <c r="W47" i="4"/>
  <c r="X47" i="4"/>
  <c r="Y47" i="4"/>
  <c r="Z47" i="4"/>
  <c r="AA47" i="4"/>
  <c r="AB47" i="4"/>
  <c r="AC47" i="4"/>
  <c r="AD47" i="4"/>
  <c r="AE47" i="4"/>
  <c r="AF47" i="4"/>
  <c r="AG47" i="4"/>
  <c r="AH47" i="4"/>
  <c r="AI47" i="4"/>
  <c r="AJ47" i="4"/>
  <c r="AK47" i="4"/>
  <c r="AL47" i="4"/>
  <c r="AM47" i="4"/>
  <c r="AN47" i="4"/>
  <c r="AO47" i="4"/>
  <c r="AP47" i="4"/>
  <c r="AQ47" i="4"/>
  <c r="AR47" i="4"/>
  <c r="AS47" i="4"/>
  <c r="AT47" i="4"/>
  <c r="AU47" i="4"/>
  <c r="AV47" i="4"/>
  <c r="AW47" i="4"/>
  <c r="AX47" i="4"/>
  <c r="AY47" i="4"/>
  <c r="AZ47" i="4"/>
  <c r="BA47" i="4"/>
  <c r="BB47" i="4"/>
  <c r="BC47" i="4"/>
  <c r="BD47" i="4"/>
  <c r="BE47" i="4"/>
  <c r="BF47" i="4"/>
  <c r="BG47" i="4"/>
  <c r="BH47" i="4"/>
  <c r="BI47" i="4"/>
  <c r="BJ47" i="4"/>
  <c r="BK47" i="4"/>
  <c r="BL47" i="4"/>
  <c r="A48" i="4"/>
  <c r="B48" i="4"/>
  <c r="C48" i="4"/>
  <c r="D48" i="4"/>
  <c r="E48" i="4"/>
  <c r="F48" i="4"/>
  <c r="G48" i="4"/>
  <c r="H48" i="4"/>
  <c r="I48" i="4"/>
  <c r="J48" i="4"/>
  <c r="K48" i="4"/>
  <c r="L48" i="4"/>
  <c r="M48" i="4"/>
  <c r="N48" i="4"/>
  <c r="O48" i="4"/>
  <c r="P48" i="4"/>
  <c r="Q48" i="4"/>
  <c r="R48" i="4"/>
  <c r="S48" i="4"/>
  <c r="T48" i="4"/>
  <c r="U48" i="4"/>
  <c r="V48" i="4"/>
  <c r="W48" i="4"/>
  <c r="X48" i="4"/>
  <c r="Y48" i="4"/>
  <c r="Z48" i="4"/>
  <c r="AA48" i="4"/>
  <c r="AB48" i="4"/>
  <c r="AC48" i="4"/>
  <c r="AD48" i="4"/>
  <c r="AE48" i="4"/>
  <c r="AF48" i="4"/>
  <c r="AG48" i="4"/>
  <c r="AH48" i="4"/>
  <c r="AI48" i="4"/>
  <c r="AJ48" i="4"/>
  <c r="AK48" i="4"/>
  <c r="AL48" i="4"/>
  <c r="AM48" i="4"/>
  <c r="AN48" i="4"/>
  <c r="AO48" i="4"/>
  <c r="AP48" i="4"/>
  <c r="AQ48" i="4"/>
  <c r="AR48" i="4"/>
  <c r="AS48" i="4"/>
  <c r="AT48" i="4"/>
  <c r="AU48" i="4"/>
  <c r="AV48" i="4"/>
  <c r="AW48" i="4"/>
  <c r="AX48" i="4"/>
  <c r="AY48" i="4"/>
  <c r="AZ48" i="4"/>
  <c r="BA48" i="4"/>
  <c r="BB48" i="4"/>
  <c r="BC48" i="4"/>
  <c r="BD48" i="4"/>
  <c r="BE48" i="4"/>
  <c r="BF48" i="4"/>
  <c r="BG48" i="4"/>
  <c r="BH48" i="4"/>
  <c r="BI48" i="4"/>
  <c r="BJ48" i="4"/>
  <c r="BK48" i="4"/>
  <c r="BL48" i="4"/>
  <c r="A49" i="4"/>
  <c r="B49" i="4"/>
  <c r="C49" i="4"/>
  <c r="D49" i="4"/>
  <c r="E49" i="4"/>
  <c r="F49" i="4"/>
  <c r="G49" i="4"/>
  <c r="H49" i="4"/>
  <c r="I49" i="4"/>
  <c r="J49" i="4"/>
  <c r="K49" i="4"/>
  <c r="L49" i="4"/>
  <c r="M49" i="4"/>
  <c r="N49" i="4"/>
  <c r="O49" i="4"/>
  <c r="P49" i="4"/>
  <c r="Q49" i="4"/>
  <c r="R49" i="4"/>
  <c r="S49" i="4"/>
  <c r="T49" i="4"/>
  <c r="U49" i="4"/>
  <c r="V49" i="4"/>
  <c r="W49" i="4"/>
  <c r="X49" i="4"/>
  <c r="Y49" i="4"/>
  <c r="Z49" i="4"/>
  <c r="AA49" i="4"/>
  <c r="AB49" i="4"/>
  <c r="AC49" i="4"/>
  <c r="AD49" i="4"/>
  <c r="AE49" i="4"/>
  <c r="AF49" i="4"/>
  <c r="AG49" i="4"/>
  <c r="AH49" i="4"/>
  <c r="AI49" i="4"/>
  <c r="AJ49" i="4"/>
  <c r="AK49" i="4"/>
  <c r="AL49" i="4"/>
  <c r="AM49" i="4"/>
  <c r="AN49" i="4"/>
  <c r="AO49" i="4"/>
  <c r="AP49" i="4"/>
  <c r="AQ49" i="4"/>
  <c r="AR49" i="4"/>
  <c r="AS49" i="4"/>
  <c r="AT49" i="4"/>
  <c r="AU49" i="4"/>
  <c r="AV49" i="4"/>
  <c r="AW49" i="4"/>
  <c r="AX49" i="4"/>
  <c r="AY49" i="4"/>
  <c r="AZ49" i="4"/>
  <c r="BA49" i="4"/>
  <c r="BB49" i="4"/>
  <c r="BC49" i="4"/>
  <c r="BD49" i="4"/>
  <c r="BE49" i="4"/>
  <c r="BF49" i="4"/>
  <c r="BG49" i="4"/>
  <c r="BH49" i="4"/>
  <c r="BI49" i="4"/>
  <c r="BJ49" i="4"/>
  <c r="BK49" i="4"/>
  <c r="BL49" i="4"/>
  <c r="A50" i="4"/>
  <c r="B50" i="4"/>
  <c r="C50" i="4"/>
  <c r="D50" i="4"/>
  <c r="E50" i="4"/>
  <c r="F50" i="4"/>
  <c r="G50" i="4"/>
  <c r="H50" i="4"/>
  <c r="I50" i="4"/>
  <c r="J50" i="4"/>
  <c r="K50" i="4"/>
  <c r="L50" i="4"/>
  <c r="M50" i="4"/>
  <c r="N50" i="4"/>
  <c r="O50" i="4"/>
  <c r="P50" i="4"/>
  <c r="Q50" i="4"/>
  <c r="R50" i="4"/>
  <c r="S50" i="4"/>
  <c r="T50" i="4"/>
  <c r="U50" i="4"/>
  <c r="V50" i="4"/>
  <c r="W50" i="4"/>
  <c r="X50" i="4"/>
  <c r="Y50" i="4"/>
  <c r="Z50" i="4"/>
  <c r="AA50" i="4"/>
  <c r="AB50" i="4"/>
  <c r="AC50" i="4"/>
  <c r="AD50" i="4"/>
  <c r="AE50" i="4"/>
  <c r="AF50" i="4"/>
  <c r="AG50" i="4"/>
  <c r="AH50" i="4"/>
  <c r="AI50" i="4"/>
  <c r="AJ50" i="4"/>
  <c r="AK50" i="4"/>
  <c r="AL50" i="4"/>
  <c r="AM50" i="4"/>
  <c r="AN50" i="4"/>
  <c r="AO50" i="4"/>
  <c r="AP50" i="4"/>
  <c r="AQ50" i="4"/>
  <c r="AR50" i="4"/>
  <c r="AS50" i="4"/>
  <c r="AT50" i="4"/>
  <c r="AU50" i="4"/>
  <c r="AV50" i="4"/>
  <c r="AW50" i="4"/>
  <c r="AX50" i="4"/>
  <c r="AY50" i="4"/>
  <c r="AZ50" i="4"/>
  <c r="BA50" i="4"/>
  <c r="BB50" i="4"/>
  <c r="BC50" i="4"/>
  <c r="BD50" i="4"/>
  <c r="BE50" i="4"/>
  <c r="BF50" i="4"/>
  <c r="BG50" i="4"/>
  <c r="BH50" i="4"/>
  <c r="BI50" i="4"/>
  <c r="BJ50" i="4"/>
  <c r="BK50" i="4"/>
  <c r="BL50" i="4"/>
  <c r="A51" i="4"/>
  <c r="B51" i="4"/>
  <c r="C51" i="4"/>
  <c r="D51" i="4"/>
  <c r="E51" i="4"/>
  <c r="F51" i="4"/>
  <c r="G51" i="4"/>
  <c r="H51" i="4"/>
  <c r="I51" i="4"/>
  <c r="J51" i="4"/>
  <c r="K51" i="4"/>
  <c r="L51" i="4"/>
  <c r="M51" i="4"/>
  <c r="N51" i="4"/>
  <c r="O51" i="4"/>
  <c r="P51" i="4"/>
  <c r="Q51" i="4"/>
  <c r="R51" i="4"/>
  <c r="S51" i="4"/>
  <c r="T51" i="4"/>
  <c r="U51" i="4"/>
  <c r="V51" i="4"/>
  <c r="W51" i="4"/>
  <c r="X51" i="4"/>
  <c r="Y51" i="4"/>
  <c r="Z51" i="4"/>
  <c r="AA51" i="4"/>
  <c r="AB51" i="4"/>
  <c r="AC51" i="4"/>
  <c r="AD51" i="4"/>
  <c r="AE51" i="4"/>
  <c r="AF51" i="4"/>
  <c r="AG51" i="4"/>
  <c r="AH51" i="4"/>
  <c r="AI51" i="4"/>
  <c r="AJ51" i="4"/>
  <c r="AK51" i="4"/>
  <c r="AL51" i="4"/>
  <c r="AM51" i="4"/>
  <c r="AN51" i="4"/>
  <c r="AO51" i="4"/>
  <c r="AP51" i="4"/>
  <c r="AQ51" i="4"/>
  <c r="AR51" i="4"/>
  <c r="AS51" i="4"/>
  <c r="AT51" i="4"/>
  <c r="AU51" i="4"/>
  <c r="AV51" i="4"/>
  <c r="AW51" i="4"/>
  <c r="AX51" i="4"/>
  <c r="AY51" i="4"/>
  <c r="AZ51" i="4"/>
  <c r="BA51" i="4"/>
  <c r="BB51" i="4"/>
  <c r="BC51" i="4"/>
  <c r="BD51" i="4"/>
  <c r="BE51" i="4"/>
  <c r="BF51" i="4"/>
  <c r="BG51" i="4"/>
  <c r="BH51" i="4"/>
  <c r="BI51" i="4"/>
  <c r="BJ51" i="4"/>
  <c r="BK51" i="4"/>
  <c r="BL51" i="4"/>
  <c r="A52" i="4"/>
  <c r="B52" i="4"/>
  <c r="C52" i="4"/>
  <c r="D52" i="4"/>
  <c r="E52" i="4"/>
  <c r="F52" i="4"/>
  <c r="G52" i="4"/>
  <c r="H52" i="4"/>
  <c r="I52" i="4"/>
  <c r="J52" i="4"/>
  <c r="K52" i="4"/>
  <c r="L52" i="4"/>
  <c r="M52" i="4"/>
  <c r="N52" i="4"/>
  <c r="O52" i="4"/>
  <c r="P52" i="4"/>
  <c r="Q52" i="4"/>
  <c r="R52" i="4"/>
  <c r="S52" i="4"/>
  <c r="T52" i="4"/>
  <c r="U52" i="4"/>
  <c r="V52" i="4"/>
  <c r="W52" i="4"/>
  <c r="X52" i="4"/>
  <c r="Y52" i="4"/>
  <c r="Z52" i="4"/>
  <c r="AA52" i="4"/>
  <c r="AB52" i="4"/>
  <c r="AC52" i="4"/>
  <c r="AD52" i="4"/>
  <c r="AE52" i="4"/>
  <c r="AF52" i="4"/>
  <c r="AG52" i="4"/>
  <c r="AH52" i="4"/>
  <c r="AI52" i="4"/>
  <c r="AJ52" i="4"/>
  <c r="AK52" i="4"/>
  <c r="AL52" i="4"/>
  <c r="AM52" i="4"/>
  <c r="AN52" i="4"/>
  <c r="AO52" i="4"/>
  <c r="AP52" i="4"/>
  <c r="AQ52" i="4"/>
  <c r="AR52" i="4"/>
  <c r="AS52" i="4"/>
  <c r="AT52" i="4"/>
  <c r="AU52" i="4"/>
  <c r="AV52" i="4"/>
  <c r="AW52" i="4"/>
  <c r="AX52" i="4"/>
  <c r="AY52" i="4"/>
  <c r="AZ52" i="4"/>
  <c r="BA52" i="4"/>
  <c r="BB52" i="4"/>
  <c r="BC52" i="4"/>
  <c r="BD52" i="4"/>
  <c r="BE52" i="4"/>
  <c r="BF52" i="4"/>
  <c r="BG52" i="4"/>
  <c r="BH52" i="4"/>
  <c r="BI52" i="4"/>
  <c r="BJ52" i="4"/>
  <c r="BK52" i="4"/>
  <c r="BL52" i="4"/>
  <c r="A53" i="4"/>
  <c r="B53" i="4"/>
  <c r="C53" i="4"/>
  <c r="D53" i="4"/>
  <c r="E53" i="4"/>
  <c r="F53" i="4"/>
  <c r="G53" i="4"/>
  <c r="H53" i="4"/>
  <c r="I53" i="4"/>
  <c r="J53" i="4"/>
  <c r="K53" i="4"/>
  <c r="L53" i="4"/>
  <c r="M53" i="4"/>
  <c r="N53" i="4"/>
  <c r="O53" i="4"/>
  <c r="P53" i="4"/>
  <c r="Q53" i="4"/>
  <c r="R53" i="4"/>
  <c r="S53" i="4"/>
  <c r="T53" i="4"/>
  <c r="U53" i="4"/>
  <c r="V53" i="4"/>
  <c r="W53" i="4"/>
  <c r="X53" i="4"/>
  <c r="Y53" i="4"/>
  <c r="Z53" i="4"/>
  <c r="AA53" i="4"/>
  <c r="AB53" i="4"/>
  <c r="AC53" i="4"/>
  <c r="AD53" i="4"/>
  <c r="AE53" i="4"/>
  <c r="AF53" i="4"/>
  <c r="AG53" i="4"/>
  <c r="AH53" i="4"/>
  <c r="AI53" i="4"/>
  <c r="AJ53" i="4"/>
  <c r="AK53" i="4"/>
  <c r="AL53" i="4"/>
  <c r="AM53" i="4"/>
  <c r="AN53" i="4"/>
  <c r="AO53" i="4"/>
  <c r="AP53" i="4"/>
  <c r="AQ53" i="4"/>
  <c r="AR53" i="4"/>
  <c r="AS53" i="4"/>
  <c r="AT53" i="4"/>
  <c r="AU53" i="4"/>
  <c r="AV53" i="4"/>
  <c r="AW53" i="4"/>
  <c r="AX53" i="4"/>
  <c r="AY53" i="4"/>
  <c r="AZ53" i="4"/>
  <c r="BA53" i="4"/>
  <c r="BB53" i="4"/>
  <c r="BC53" i="4"/>
  <c r="BD53" i="4"/>
  <c r="BE53" i="4"/>
  <c r="BF53" i="4"/>
  <c r="BG53" i="4"/>
  <c r="BH53" i="4"/>
  <c r="BI53" i="4"/>
  <c r="BJ53" i="4"/>
  <c r="BK53" i="4"/>
  <c r="BL53" i="4"/>
  <c r="A54" i="4"/>
  <c r="B54" i="4"/>
  <c r="C54" i="4"/>
  <c r="D54" i="4"/>
  <c r="E54" i="4"/>
  <c r="F54" i="4"/>
  <c r="G54" i="4"/>
  <c r="H54" i="4"/>
  <c r="I54" i="4"/>
  <c r="J54" i="4"/>
  <c r="K54" i="4"/>
  <c r="L54" i="4"/>
  <c r="M54" i="4"/>
  <c r="N54" i="4"/>
  <c r="O54" i="4"/>
  <c r="P54" i="4"/>
  <c r="Q54" i="4"/>
  <c r="R54" i="4"/>
  <c r="S54" i="4"/>
  <c r="T54" i="4"/>
  <c r="U54" i="4"/>
  <c r="V54" i="4"/>
  <c r="W54" i="4"/>
  <c r="X54" i="4"/>
  <c r="Y54" i="4"/>
  <c r="Z54" i="4"/>
  <c r="AA54" i="4"/>
  <c r="AB54" i="4"/>
  <c r="AC54" i="4"/>
  <c r="AD54" i="4"/>
  <c r="AE54" i="4"/>
  <c r="AF54" i="4"/>
  <c r="AG54" i="4"/>
  <c r="AH54" i="4"/>
  <c r="AI54" i="4"/>
  <c r="AJ54" i="4"/>
  <c r="AK54" i="4"/>
  <c r="AL54" i="4"/>
  <c r="AM54" i="4"/>
  <c r="AN54" i="4"/>
  <c r="AO54" i="4"/>
  <c r="AP54" i="4"/>
  <c r="AQ54" i="4"/>
  <c r="AR54" i="4"/>
  <c r="AS54" i="4"/>
  <c r="AT54" i="4"/>
  <c r="AU54" i="4"/>
  <c r="AV54" i="4"/>
  <c r="AW54" i="4"/>
  <c r="AX54" i="4"/>
  <c r="AY54" i="4"/>
  <c r="AZ54" i="4"/>
  <c r="BA54" i="4"/>
  <c r="BB54" i="4"/>
  <c r="BC54" i="4"/>
  <c r="BD54" i="4"/>
  <c r="BE54" i="4"/>
  <c r="BF54" i="4"/>
  <c r="BG54" i="4"/>
  <c r="BH54" i="4"/>
  <c r="BI54" i="4"/>
  <c r="BJ54" i="4"/>
  <c r="BK54" i="4"/>
  <c r="BL54" i="4"/>
  <c r="A55" i="4"/>
  <c r="B55" i="4"/>
  <c r="C55" i="4"/>
  <c r="D55" i="4"/>
  <c r="E55" i="4"/>
  <c r="F55" i="4"/>
  <c r="G55" i="4"/>
  <c r="H55" i="4"/>
  <c r="I55" i="4"/>
  <c r="J55" i="4"/>
  <c r="K55" i="4"/>
  <c r="L55" i="4"/>
  <c r="M55" i="4"/>
  <c r="N55" i="4"/>
  <c r="O55" i="4"/>
  <c r="P55" i="4"/>
  <c r="Q55" i="4"/>
  <c r="R55" i="4"/>
  <c r="S55" i="4"/>
  <c r="T55" i="4"/>
  <c r="U55" i="4"/>
  <c r="V55" i="4"/>
  <c r="W55" i="4"/>
  <c r="X55" i="4"/>
  <c r="Y55" i="4"/>
  <c r="Z55" i="4"/>
  <c r="AA55" i="4"/>
  <c r="AB55" i="4"/>
  <c r="AC55" i="4"/>
  <c r="AD55" i="4"/>
  <c r="AE55" i="4"/>
  <c r="AF55" i="4"/>
  <c r="AG55" i="4"/>
  <c r="AH55" i="4"/>
  <c r="AI55" i="4"/>
  <c r="AJ55" i="4"/>
  <c r="AK55" i="4"/>
  <c r="AL55" i="4"/>
  <c r="AM55" i="4"/>
  <c r="AN55" i="4"/>
  <c r="AO55" i="4"/>
  <c r="AP55" i="4"/>
  <c r="AQ55" i="4"/>
  <c r="AR55" i="4"/>
  <c r="AS55" i="4"/>
  <c r="AT55" i="4"/>
  <c r="AU55" i="4"/>
  <c r="AV55" i="4"/>
  <c r="AW55" i="4"/>
  <c r="AX55" i="4"/>
  <c r="AY55" i="4"/>
  <c r="AZ55" i="4"/>
  <c r="BA55" i="4"/>
  <c r="BB55" i="4"/>
  <c r="BC55" i="4"/>
  <c r="BD55" i="4"/>
  <c r="BE55" i="4"/>
  <c r="BF55" i="4"/>
  <c r="BG55" i="4"/>
  <c r="BH55" i="4"/>
  <c r="BI55" i="4"/>
  <c r="BJ55" i="4"/>
  <c r="BK55" i="4"/>
  <c r="BL55" i="4"/>
  <c r="A56" i="4"/>
  <c r="B56" i="4"/>
  <c r="C56" i="4"/>
  <c r="D56" i="4"/>
  <c r="E56" i="4"/>
  <c r="F56" i="4"/>
  <c r="G56" i="4"/>
  <c r="H56" i="4"/>
  <c r="I56" i="4"/>
  <c r="J56" i="4"/>
  <c r="K56" i="4"/>
  <c r="L56" i="4"/>
  <c r="M56" i="4"/>
  <c r="N56" i="4"/>
  <c r="O56" i="4"/>
  <c r="P56" i="4"/>
  <c r="Q56" i="4"/>
  <c r="R56" i="4"/>
  <c r="S56" i="4"/>
  <c r="T56" i="4"/>
  <c r="U56" i="4"/>
  <c r="V56" i="4"/>
  <c r="W56" i="4"/>
  <c r="X56" i="4"/>
  <c r="Y56" i="4"/>
  <c r="Z56" i="4"/>
  <c r="AA56" i="4"/>
  <c r="AB56" i="4"/>
  <c r="AC56" i="4"/>
  <c r="AD56" i="4"/>
  <c r="AE56" i="4"/>
  <c r="AF56" i="4"/>
  <c r="AG56" i="4"/>
  <c r="AH56" i="4"/>
  <c r="AI56" i="4"/>
  <c r="AJ56" i="4"/>
  <c r="AK56" i="4"/>
  <c r="AL56" i="4"/>
  <c r="AM56" i="4"/>
  <c r="AN56" i="4"/>
  <c r="AO56" i="4"/>
  <c r="AP56" i="4"/>
  <c r="AQ56" i="4"/>
  <c r="AR56" i="4"/>
  <c r="AS56" i="4"/>
  <c r="AT56" i="4"/>
  <c r="AU56" i="4"/>
  <c r="AV56" i="4"/>
  <c r="AW56" i="4"/>
  <c r="AX56" i="4"/>
  <c r="AY56" i="4"/>
  <c r="AZ56" i="4"/>
  <c r="BA56" i="4"/>
  <c r="BB56" i="4"/>
  <c r="BC56" i="4"/>
  <c r="BD56" i="4"/>
  <c r="BE56" i="4"/>
  <c r="BF56" i="4"/>
  <c r="BG56" i="4"/>
  <c r="BH56" i="4"/>
  <c r="BI56" i="4"/>
  <c r="BJ56" i="4"/>
  <c r="BK56" i="4"/>
  <c r="BL56" i="4"/>
  <c r="A57" i="4"/>
  <c r="B57" i="4"/>
  <c r="C57" i="4"/>
  <c r="D57" i="4"/>
  <c r="E57" i="4"/>
  <c r="F57" i="4"/>
  <c r="G57" i="4"/>
  <c r="H57" i="4"/>
  <c r="I57" i="4"/>
  <c r="J57" i="4"/>
  <c r="K57" i="4"/>
  <c r="L57" i="4"/>
  <c r="M57" i="4"/>
  <c r="N57" i="4"/>
  <c r="O57" i="4"/>
  <c r="P57" i="4"/>
  <c r="Q57" i="4"/>
  <c r="R57" i="4"/>
  <c r="S57" i="4"/>
  <c r="T57" i="4"/>
  <c r="U57" i="4"/>
  <c r="V57" i="4"/>
  <c r="W57" i="4"/>
  <c r="X57" i="4"/>
  <c r="Y57" i="4"/>
  <c r="Z57" i="4"/>
  <c r="AA57" i="4"/>
  <c r="AB57" i="4"/>
  <c r="AC57" i="4"/>
  <c r="AD57" i="4"/>
  <c r="AE57" i="4"/>
  <c r="AF57" i="4"/>
  <c r="AG57" i="4"/>
  <c r="AH57" i="4"/>
  <c r="AI57" i="4"/>
  <c r="AJ57" i="4"/>
  <c r="AK57" i="4"/>
  <c r="AL57" i="4"/>
  <c r="AM57" i="4"/>
  <c r="AN57" i="4"/>
  <c r="AO57" i="4"/>
  <c r="AP57" i="4"/>
  <c r="AQ57" i="4"/>
  <c r="AR57" i="4"/>
  <c r="AS57" i="4"/>
  <c r="AT57" i="4"/>
  <c r="AU57" i="4"/>
  <c r="AV57" i="4"/>
  <c r="AW57" i="4"/>
  <c r="AX57" i="4"/>
  <c r="AY57" i="4"/>
  <c r="AZ57" i="4"/>
  <c r="BA57" i="4"/>
  <c r="BB57" i="4"/>
  <c r="BC57" i="4"/>
  <c r="BD57" i="4"/>
  <c r="BE57" i="4"/>
  <c r="BF57" i="4"/>
  <c r="BG57" i="4"/>
  <c r="BH57" i="4"/>
  <c r="BI57" i="4"/>
  <c r="BJ57" i="4"/>
  <c r="BK57" i="4"/>
  <c r="BL57" i="4"/>
  <c r="A58" i="4"/>
  <c r="B58" i="4"/>
  <c r="C58" i="4"/>
  <c r="D58" i="4"/>
  <c r="E58" i="4"/>
  <c r="F58" i="4"/>
  <c r="G58" i="4"/>
  <c r="H58" i="4"/>
  <c r="I58" i="4"/>
  <c r="J58" i="4"/>
  <c r="K58" i="4"/>
  <c r="L58" i="4"/>
  <c r="M58" i="4"/>
  <c r="N58" i="4"/>
  <c r="O58" i="4"/>
  <c r="P58" i="4"/>
  <c r="Q58" i="4"/>
  <c r="R58" i="4"/>
  <c r="S58" i="4"/>
  <c r="T58" i="4"/>
  <c r="U58" i="4"/>
  <c r="V58" i="4"/>
  <c r="W58" i="4"/>
  <c r="X58" i="4"/>
  <c r="Y58" i="4"/>
  <c r="Z58" i="4"/>
  <c r="AA58" i="4"/>
  <c r="AB58" i="4"/>
  <c r="AC58" i="4"/>
  <c r="AD58" i="4"/>
  <c r="AE58" i="4"/>
  <c r="AF58" i="4"/>
  <c r="AG58" i="4"/>
  <c r="AH58" i="4"/>
  <c r="AI58" i="4"/>
  <c r="AJ58" i="4"/>
  <c r="AK58" i="4"/>
  <c r="AL58" i="4"/>
  <c r="AM58" i="4"/>
  <c r="AN58" i="4"/>
  <c r="AO58" i="4"/>
  <c r="AP58" i="4"/>
  <c r="AQ58" i="4"/>
  <c r="AR58" i="4"/>
  <c r="AS58" i="4"/>
  <c r="AT58" i="4"/>
  <c r="AU58" i="4"/>
  <c r="AV58" i="4"/>
  <c r="AW58" i="4"/>
  <c r="AX58" i="4"/>
  <c r="AY58" i="4"/>
  <c r="AZ58" i="4"/>
  <c r="BA58" i="4"/>
  <c r="BB58" i="4"/>
  <c r="BC58" i="4"/>
  <c r="BD58" i="4"/>
  <c r="BE58" i="4"/>
  <c r="BF58" i="4"/>
  <c r="BG58" i="4"/>
  <c r="BH58" i="4"/>
  <c r="BI58" i="4"/>
  <c r="BJ58" i="4"/>
  <c r="BK58" i="4"/>
  <c r="BL58" i="4"/>
  <c r="A59" i="4"/>
  <c r="B59" i="4"/>
  <c r="C59" i="4"/>
  <c r="D59" i="4"/>
  <c r="E59" i="4"/>
  <c r="F59" i="4"/>
  <c r="G59" i="4"/>
  <c r="H59" i="4"/>
  <c r="I59" i="4"/>
  <c r="J59" i="4"/>
  <c r="K59" i="4"/>
  <c r="L59" i="4"/>
  <c r="M59" i="4"/>
  <c r="N59" i="4"/>
  <c r="O59" i="4"/>
  <c r="P59" i="4"/>
  <c r="Q59" i="4"/>
  <c r="R59" i="4"/>
  <c r="S59" i="4"/>
  <c r="T59" i="4"/>
  <c r="U59" i="4"/>
  <c r="V59" i="4"/>
  <c r="W59" i="4"/>
  <c r="X59" i="4"/>
  <c r="Y59" i="4"/>
  <c r="Z59" i="4"/>
  <c r="AA59" i="4"/>
  <c r="AB59" i="4"/>
  <c r="AC59" i="4"/>
  <c r="AD59" i="4"/>
  <c r="AE59" i="4"/>
  <c r="AF59" i="4"/>
  <c r="AG59" i="4"/>
  <c r="AH59" i="4"/>
  <c r="AI59" i="4"/>
  <c r="AJ59" i="4"/>
  <c r="AK59" i="4"/>
  <c r="AL59" i="4"/>
  <c r="AM59" i="4"/>
  <c r="AN59" i="4"/>
  <c r="AO59" i="4"/>
  <c r="AP59" i="4"/>
  <c r="AQ59" i="4"/>
  <c r="AR59" i="4"/>
  <c r="AS59" i="4"/>
  <c r="AT59" i="4"/>
  <c r="AU59" i="4"/>
  <c r="AV59" i="4"/>
  <c r="AW59" i="4"/>
  <c r="AX59" i="4"/>
  <c r="AY59" i="4"/>
  <c r="AZ59" i="4"/>
  <c r="BA59" i="4"/>
  <c r="BB59" i="4"/>
  <c r="BC59" i="4"/>
  <c r="BD59" i="4"/>
  <c r="BE59" i="4"/>
  <c r="BF59" i="4"/>
  <c r="BG59" i="4"/>
  <c r="BH59" i="4"/>
  <c r="BI59" i="4"/>
  <c r="BJ59" i="4"/>
  <c r="BK59" i="4"/>
  <c r="BL59" i="4"/>
  <c r="A60" i="4"/>
  <c r="B60" i="4"/>
  <c r="C60" i="4"/>
  <c r="D60" i="4"/>
  <c r="E60" i="4"/>
  <c r="F60" i="4"/>
  <c r="G60" i="4"/>
  <c r="H60" i="4"/>
  <c r="I60" i="4"/>
  <c r="J60" i="4"/>
  <c r="K60" i="4"/>
  <c r="L60" i="4"/>
  <c r="M60" i="4"/>
  <c r="N60" i="4"/>
  <c r="O60" i="4"/>
  <c r="P60" i="4"/>
  <c r="Q60" i="4"/>
  <c r="R60" i="4"/>
  <c r="S60" i="4"/>
  <c r="T60" i="4"/>
  <c r="U60" i="4"/>
  <c r="V60" i="4"/>
  <c r="W60" i="4"/>
  <c r="X60" i="4"/>
  <c r="Y60" i="4"/>
  <c r="Z60" i="4"/>
  <c r="AA60" i="4"/>
  <c r="AB60" i="4"/>
  <c r="AC60" i="4"/>
  <c r="AD60" i="4"/>
  <c r="AE60" i="4"/>
  <c r="AF60" i="4"/>
  <c r="AG60" i="4"/>
  <c r="AH60" i="4"/>
  <c r="AI60" i="4"/>
  <c r="AJ60" i="4"/>
  <c r="AK60" i="4"/>
  <c r="AL60" i="4"/>
  <c r="AM60" i="4"/>
  <c r="AN60" i="4"/>
  <c r="AO60" i="4"/>
  <c r="AP60" i="4"/>
  <c r="AQ60" i="4"/>
  <c r="AR60" i="4"/>
  <c r="AS60" i="4"/>
  <c r="AT60" i="4"/>
  <c r="AU60" i="4"/>
  <c r="AV60" i="4"/>
  <c r="AW60" i="4"/>
  <c r="AX60" i="4"/>
  <c r="AY60" i="4"/>
  <c r="AZ60" i="4"/>
  <c r="BA60" i="4"/>
  <c r="BB60" i="4"/>
  <c r="BC60" i="4"/>
  <c r="BD60" i="4"/>
  <c r="BE60" i="4"/>
  <c r="BF60" i="4"/>
  <c r="BG60" i="4"/>
  <c r="BH60" i="4"/>
  <c r="BI60" i="4"/>
  <c r="BJ60" i="4"/>
  <c r="BK60" i="4"/>
  <c r="BL60" i="4"/>
  <c r="A61" i="4"/>
  <c r="B61" i="4"/>
  <c r="C61" i="4"/>
  <c r="D61" i="4"/>
  <c r="E61" i="4"/>
  <c r="F61" i="4"/>
  <c r="G61" i="4"/>
  <c r="H61" i="4"/>
  <c r="I61" i="4"/>
  <c r="J61" i="4"/>
  <c r="K61" i="4"/>
  <c r="L61" i="4"/>
  <c r="M61" i="4"/>
  <c r="N61" i="4"/>
  <c r="O61" i="4"/>
  <c r="P61" i="4"/>
  <c r="Q61" i="4"/>
  <c r="R61" i="4"/>
  <c r="S61" i="4"/>
  <c r="T61" i="4"/>
  <c r="U61" i="4"/>
  <c r="V61" i="4"/>
  <c r="W61" i="4"/>
  <c r="X61" i="4"/>
  <c r="Y61" i="4"/>
  <c r="Z61" i="4"/>
  <c r="AA61" i="4"/>
  <c r="AB61" i="4"/>
  <c r="AC61" i="4"/>
  <c r="AD61" i="4"/>
  <c r="AE61" i="4"/>
  <c r="AF61" i="4"/>
  <c r="AG61" i="4"/>
  <c r="AH61" i="4"/>
  <c r="AI61" i="4"/>
  <c r="AJ61" i="4"/>
  <c r="AK61" i="4"/>
  <c r="AL61" i="4"/>
  <c r="AM61" i="4"/>
  <c r="AN61" i="4"/>
  <c r="AO61" i="4"/>
  <c r="AP61" i="4"/>
  <c r="AQ61" i="4"/>
  <c r="AR61" i="4"/>
  <c r="AS61" i="4"/>
  <c r="AT61" i="4"/>
  <c r="AU61" i="4"/>
  <c r="AV61" i="4"/>
  <c r="AW61" i="4"/>
  <c r="AX61" i="4"/>
  <c r="AY61" i="4"/>
  <c r="AZ61" i="4"/>
  <c r="BA61" i="4"/>
  <c r="BB61" i="4"/>
  <c r="BC61" i="4"/>
  <c r="BD61" i="4"/>
  <c r="BE61" i="4"/>
  <c r="BF61" i="4"/>
  <c r="BG61" i="4"/>
  <c r="BH61" i="4"/>
  <c r="BI61" i="4"/>
  <c r="BJ61" i="4"/>
  <c r="BK61" i="4"/>
  <c r="BL61" i="4"/>
  <c r="A62" i="4"/>
  <c r="B62" i="4"/>
  <c r="C62" i="4"/>
  <c r="D62" i="4"/>
  <c r="E62" i="4"/>
  <c r="F62" i="4"/>
  <c r="G62" i="4"/>
  <c r="H62" i="4"/>
  <c r="I62" i="4"/>
  <c r="J62" i="4"/>
  <c r="K62" i="4"/>
  <c r="L62" i="4"/>
  <c r="M62" i="4"/>
  <c r="N62" i="4"/>
  <c r="O62" i="4"/>
  <c r="P62" i="4"/>
  <c r="Q62" i="4"/>
  <c r="R62" i="4"/>
  <c r="S62" i="4"/>
  <c r="T62" i="4"/>
  <c r="U62" i="4"/>
  <c r="V62" i="4"/>
  <c r="W62" i="4"/>
  <c r="X62" i="4"/>
  <c r="Y62" i="4"/>
  <c r="Z62" i="4"/>
  <c r="AA62" i="4"/>
  <c r="AB62" i="4"/>
  <c r="AC62" i="4"/>
  <c r="AD62" i="4"/>
  <c r="AE62" i="4"/>
  <c r="AF62" i="4"/>
  <c r="AG62" i="4"/>
  <c r="AH62" i="4"/>
  <c r="AI62" i="4"/>
  <c r="AJ62" i="4"/>
  <c r="AK62" i="4"/>
  <c r="AL62" i="4"/>
  <c r="AM62" i="4"/>
  <c r="AN62" i="4"/>
  <c r="AO62" i="4"/>
  <c r="AP62" i="4"/>
  <c r="AQ62" i="4"/>
  <c r="AR62" i="4"/>
  <c r="AS62" i="4"/>
  <c r="AT62" i="4"/>
  <c r="AU62" i="4"/>
  <c r="AV62" i="4"/>
  <c r="AW62" i="4"/>
  <c r="AX62" i="4"/>
  <c r="AY62" i="4"/>
  <c r="AZ62" i="4"/>
  <c r="BA62" i="4"/>
  <c r="BB62" i="4"/>
  <c r="BC62" i="4"/>
  <c r="BD62" i="4"/>
  <c r="BE62" i="4"/>
  <c r="BF62" i="4"/>
  <c r="BG62" i="4"/>
  <c r="BH62" i="4"/>
  <c r="BI62" i="4"/>
  <c r="BJ62" i="4"/>
  <c r="BK62" i="4"/>
  <c r="BL62" i="4"/>
  <c r="A63" i="4"/>
  <c r="B63" i="4"/>
  <c r="C63" i="4"/>
  <c r="D63" i="4"/>
  <c r="E63" i="4"/>
  <c r="F63" i="4"/>
  <c r="G63" i="4"/>
  <c r="H63" i="4"/>
  <c r="I63" i="4"/>
  <c r="J63" i="4"/>
  <c r="K63" i="4"/>
  <c r="L63" i="4"/>
  <c r="M63" i="4"/>
  <c r="N63" i="4"/>
  <c r="O63" i="4"/>
  <c r="P63" i="4"/>
  <c r="Q63" i="4"/>
  <c r="R63" i="4"/>
  <c r="S63" i="4"/>
  <c r="T63" i="4"/>
  <c r="U63" i="4"/>
  <c r="V63" i="4"/>
  <c r="W63" i="4"/>
  <c r="X63" i="4"/>
  <c r="Y63" i="4"/>
  <c r="Z63" i="4"/>
  <c r="AA63" i="4"/>
  <c r="AB63" i="4"/>
  <c r="AC63" i="4"/>
  <c r="AD63" i="4"/>
  <c r="AE63" i="4"/>
  <c r="AF63" i="4"/>
  <c r="AG63" i="4"/>
  <c r="AH63" i="4"/>
  <c r="AI63" i="4"/>
  <c r="AJ63" i="4"/>
  <c r="AK63" i="4"/>
  <c r="AL63" i="4"/>
  <c r="AM63" i="4"/>
  <c r="AN63" i="4"/>
  <c r="AO63" i="4"/>
  <c r="AP63" i="4"/>
  <c r="AQ63" i="4"/>
  <c r="AR63" i="4"/>
  <c r="AS63" i="4"/>
  <c r="AT63" i="4"/>
  <c r="AU63" i="4"/>
  <c r="AV63" i="4"/>
  <c r="AW63" i="4"/>
  <c r="AX63" i="4"/>
  <c r="AY63" i="4"/>
  <c r="AZ63" i="4"/>
  <c r="BA63" i="4"/>
  <c r="BB63" i="4"/>
  <c r="BC63" i="4"/>
  <c r="BD63" i="4"/>
  <c r="BE63" i="4"/>
  <c r="BF63" i="4"/>
  <c r="BG63" i="4"/>
  <c r="BH63" i="4"/>
  <c r="BI63" i="4"/>
  <c r="BJ63" i="4"/>
  <c r="BK63" i="4"/>
  <c r="BL63" i="4"/>
  <c r="A64" i="4"/>
  <c r="B64" i="4"/>
  <c r="C64" i="4"/>
  <c r="D64" i="4"/>
  <c r="E64" i="4"/>
  <c r="F64" i="4"/>
  <c r="G64" i="4"/>
  <c r="H64" i="4"/>
  <c r="I64" i="4"/>
  <c r="J64" i="4"/>
  <c r="K64" i="4"/>
  <c r="L64" i="4"/>
  <c r="M64" i="4"/>
  <c r="N64" i="4"/>
  <c r="O64" i="4"/>
  <c r="P64" i="4"/>
  <c r="Q64" i="4"/>
  <c r="R64" i="4"/>
  <c r="S64" i="4"/>
  <c r="T64" i="4"/>
  <c r="U64" i="4"/>
  <c r="V64" i="4"/>
  <c r="W64" i="4"/>
  <c r="X64" i="4"/>
  <c r="Y64" i="4"/>
  <c r="Z64" i="4"/>
  <c r="AA64" i="4"/>
  <c r="AB64" i="4"/>
  <c r="AC64" i="4"/>
  <c r="AD64" i="4"/>
  <c r="AE64" i="4"/>
  <c r="AF64" i="4"/>
  <c r="AG64" i="4"/>
  <c r="AH64" i="4"/>
  <c r="AI64" i="4"/>
  <c r="AJ64" i="4"/>
  <c r="AK64" i="4"/>
  <c r="AL64" i="4"/>
  <c r="AM64" i="4"/>
  <c r="AN64" i="4"/>
  <c r="AO64" i="4"/>
  <c r="AP64" i="4"/>
  <c r="AQ64" i="4"/>
  <c r="AR64" i="4"/>
  <c r="AS64" i="4"/>
  <c r="AT64" i="4"/>
  <c r="AU64" i="4"/>
  <c r="AV64" i="4"/>
  <c r="AW64" i="4"/>
  <c r="AX64" i="4"/>
  <c r="AY64" i="4"/>
  <c r="AZ64" i="4"/>
  <c r="BA64" i="4"/>
  <c r="BB64" i="4"/>
  <c r="BC64" i="4"/>
  <c r="BD64" i="4"/>
  <c r="BE64" i="4"/>
  <c r="BF64" i="4"/>
  <c r="BG64" i="4"/>
  <c r="BH64" i="4"/>
  <c r="BI64" i="4"/>
  <c r="BJ64" i="4"/>
  <c r="BK64" i="4"/>
  <c r="BL64" i="4"/>
  <c r="A66" i="4"/>
  <c r="A68" i="4"/>
  <c r="A69" i="4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<sst xmlns="http://schemas.openxmlformats.org/spreadsheetml/2006/main" count="318" uniqueCount="133">
  <si>
    <t>CLOCK</t>
  </si>
  <si>
    <t>IN</t>
  </si>
  <si>
    <t>RESET</t>
  </si>
  <si>
    <t>BUFFER</t>
  </si>
  <si>
    <t>CARRY</t>
  </si>
  <si>
    <t>BITA</t>
  </si>
  <si>
    <t>BITB</t>
  </si>
  <si>
    <t>BORROW</t>
  </si>
  <si>
    <t>NOT</t>
  </si>
  <si>
    <t>4-BIT DOWN COUNTER</t>
  </si>
  <si>
    <t>FULL ADDER</t>
  </si>
  <si>
    <t>AND</t>
  </si>
  <si>
    <t>FULL SUBBER</t>
  </si>
  <si>
    <t>OR</t>
  </si>
  <si>
    <t>XOR</t>
  </si>
  <si>
    <t>REVERSE DOWN COUNTER BITS TO MAKE UP COUNTER</t>
  </si>
  <si>
    <t>OUT</t>
  </si>
  <si>
    <t>NOR</t>
  </si>
  <si>
    <t>OUT 4</t>
  </si>
  <si>
    <t xml:space="preserve">OUT 3 </t>
  </si>
  <si>
    <t>OUT 2</t>
  </si>
  <si>
    <t>OUT 1</t>
  </si>
  <si>
    <t>NAND</t>
  </si>
  <si>
    <t>4-BIT SUBBER</t>
  </si>
  <si>
    <t>XNOR</t>
  </si>
  <si>
    <t>HALF ADDER</t>
  </si>
  <si>
    <t>HALF SUBBER</t>
  </si>
  <si>
    <t>SR LATCH</t>
  </si>
  <si>
    <t>JK FLIPFLOP</t>
  </si>
  <si>
    <t>CONTROL</t>
  </si>
  <si>
    <t>4-BIT ADD/SUB</t>
  </si>
  <si>
    <t>OUT 4-BIT</t>
  </si>
  <si>
    <t>OVERFLOW</t>
  </si>
  <si>
    <t>CARRY/BORROW</t>
  </si>
  <si>
    <t>SELECT</t>
  </si>
  <si>
    <t>4-BIT OR</t>
  </si>
  <si>
    <t>4-BIT AND</t>
  </si>
  <si>
    <t>ZERO</t>
  </si>
  <si>
    <t>SET DELAY</t>
  </si>
  <si>
    <t>DELAY TIMER</t>
  </si>
  <si>
    <t>OUTPUT</t>
  </si>
  <si>
    <t>BITS</t>
  </si>
  <si>
    <t>POINTER</t>
  </si>
  <si>
    <t>ROW REFERENCE</t>
  </si>
  <si>
    <t>COLUMN REFERENCE</t>
  </si>
  <si>
    <t xml:space="preserve"> </t>
  </si>
  <si>
    <t>ARRAY POINTER</t>
  </si>
  <si>
    <t>CELL POINTER</t>
  </si>
  <si>
    <t>POINTER INDEX</t>
  </si>
  <si>
    <t>ARRAY BITS</t>
  </si>
  <si>
    <t>2(4bit)-1 MUX</t>
  </si>
  <si>
    <t>2(1bit)-1 MUX</t>
  </si>
  <si>
    <t>NEGATIVE</t>
  </si>
  <si>
    <t>4-BIT ALU</t>
  </si>
  <si>
    <t>MATH/LOGIC</t>
  </si>
  <si>
    <t>ADD/SUB AND/OR</t>
  </si>
  <si>
    <t>Y INDEX</t>
  </si>
  <si>
    <t>X INDEX</t>
  </si>
  <si>
    <t>YOFFSET</t>
  </si>
  <si>
    <t>XOFFSET</t>
  </si>
  <si>
    <t>YINPUT</t>
  </si>
  <si>
    <t>XINPUT</t>
  </si>
  <si>
    <t>BIN INPUTS</t>
  </si>
  <si>
    <t>DECIMAL SETTINGS</t>
  </si>
  <si>
    <t>INDEX</t>
  </si>
  <si>
    <t>FULL BIT POINTER</t>
  </si>
  <si>
    <t>MEMORY SYSTEM</t>
  </si>
  <si>
    <t>0110</t>
  </si>
  <si>
    <t>0011</t>
  </si>
  <si>
    <t>0</t>
  </si>
  <si>
    <t>0111</t>
  </si>
  <si>
    <t>1001</t>
  </si>
  <si>
    <t>1100</t>
  </si>
  <si>
    <t>0001</t>
  </si>
  <si>
    <t>0010</t>
  </si>
  <si>
    <t>R/W</t>
  </si>
  <si>
    <t>ADDRESS</t>
  </si>
  <si>
    <t>INDATA</t>
  </si>
  <si>
    <t>OUTDATA</t>
  </si>
  <si>
    <t>TO DECIMAL</t>
  </si>
  <si>
    <t>SUBADDRESS</t>
  </si>
  <si>
    <t>TODEC</t>
  </si>
  <si>
    <t>X ADDRESS</t>
  </si>
  <si>
    <t>Y ADDRESS</t>
  </si>
  <si>
    <t>READ</t>
  </si>
  <si>
    <t>WRITE</t>
  </si>
  <si>
    <t>00</t>
  </si>
  <si>
    <t>01</t>
  </si>
  <si>
    <t>10</t>
  </si>
  <si>
    <t>11</t>
  </si>
  <si>
    <t>CONCAT</t>
  </si>
  <si>
    <t>HIDDEN IN</t>
  </si>
  <si>
    <t>DATA</t>
  </si>
  <si>
    <t>HIDDEN OUT</t>
  </si>
  <si>
    <t>OP</t>
  </si>
  <si>
    <t>Y</t>
  </si>
  <si>
    <t>X</t>
  </si>
  <si>
    <t>DEPRECIATED</t>
  </si>
  <si>
    <t>HIDDEN X</t>
  </si>
  <si>
    <t>HIDDEN Y</t>
  </si>
  <si>
    <t>0100</t>
  </si>
  <si>
    <t>0101</t>
  </si>
  <si>
    <t>Request Program Start</t>
  </si>
  <si>
    <t>Write to RAM</t>
  </si>
  <si>
    <t>Request Write to ROM</t>
  </si>
  <si>
    <t>Write to Screen</t>
  </si>
  <si>
    <t>Start Computer</t>
  </si>
  <si>
    <t>Call Clear Cell</t>
  </si>
  <si>
    <t>ALU Operations</t>
  </si>
  <si>
    <t>OO</t>
  </si>
  <si>
    <t>PC</t>
  </si>
  <si>
    <t>ALU</t>
  </si>
  <si>
    <t>RAM</t>
  </si>
  <si>
    <t>Control Unit Bit Commands</t>
  </si>
  <si>
    <t>Read-From Multiplexer</t>
  </si>
  <si>
    <t>0000</t>
  </si>
  <si>
    <t>Stop Computer</t>
  </si>
  <si>
    <t>No OP</t>
  </si>
  <si>
    <t>1000</t>
  </si>
  <si>
    <t>RAM CONTROLLER</t>
  </si>
  <si>
    <t>RELY ON TO DEC</t>
  </si>
  <si>
    <t>XDEC</t>
  </si>
  <si>
    <t>YDEC</t>
  </si>
  <si>
    <t>FULLX</t>
  </si>
  <si>
    <t>FULLY</t>
  </si>
  <si>
    <t>OP BITS</t>
  </si>
  <si>
    <t>2 Byte</t>
  </si>
  <si>
    <t>END TOKEN : 1110</t>
  </si>
  <si>
    <t>AAAAAAAA</t>
  </si>
  <si>
    <t>BBBBBBBB</t>
  </si>
  <si>
    <t>XXXXXXXX</t>
  </si>
  <si>
    <t>YYYYYYYY</t>
  </si>
  <si>
    <t>--------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</si>
</sst>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7" x14ac:knownFonts="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</font>
    <font>
      <sz val="11"/>
      <color theme="1"/>
      <name val="Calibri"/>
      <family val="2"/>
      <scheme val="minor"/>
    </font>
    <font>
      <sz val="10"/>
      <color theme="1"/>
      <name val="Calibri"/>
      <family val="2"/>
    </font>
    <font>
      <sz val="11"/>
      <name val="Calibri"/>
      <family val="2"/>
    </font>
    <font>
      <sz val="11"/>
      <color theme="1"/>
      <name val="Calibri"/>
      <family val="2"/>
    </font>
    <font>
      <sz val="10"/>
      <color theme="1"/>
      <name val="Calibri"/>
      <family val="2"/>
    </font>
    <font>
      <sz val="10.8"/>
      <color theme="1"/>
      <name val="Calibri"/>
      <family val="2"/>
    </font>
    <font>
      <sz val="10.9"/>
      <color theme="1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rgb="FF339933"/>
        <bgColor rgb="FF339933"/>
      </patternFill>
    </fill>
    <fill>
      <patternFill patternType="solid">
        <fgColor rgb="FFAEABAB"/>
        <bgColor rgb="FFAEABAB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4" tint="0.39997558519241921"/>
        <bgColor indexed="64"/>
      </patternFill>
    </fill>
  </fills>
  <borders count="82">
    <border>
      <left/>
      <right/>
      <top/>
      <bottom/>
      <diagonal/>
    </border>
    <border>
      <left style="thin">
        <color rgb="FF000000"/>
      </left>
      <right style="thin">
        <color rgb="FF339933"/>
      </right>
      <top style="thin">
        <color rgb="FF000000"/>
      </top>
      <bottom style="thin">
        <color rgb="FF339933"/>
      </bottom>
      <diagonal/>
    </border>
    <border>
      <left/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339933"/>
      </right>
      <top style="thin">
        <color rgb="FF000000"/>
      </top>
      <bottom style="thin">
        <color rgb="FF339933"/>
      </bottom>
      <diagonal/>
    </border>
    <border>
      <left/>
      <right style="thin">
        <color rgb="FF000000"/>
      </right>
      <top style="thin">
        <color rgb="FF000000"/>
      </top>
      <bottom style="thin">
        <color rgb="FF339933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rgb="FF000000"/>
      </left>
      <right style="thin">
        <color rgb="FF339933"/>
      </right>
      <top/>
      <bottom style="thin">
        <color rgb="FF339933"/>
      </bottom>
      <diagonal/>
    </border>
    <border>
      <left style="thin">
        <color rgb="FF339933"/>
      </left>
      <right/>
      <top style="thin">
        <color rgb="FF339933"/>
      </top>
      <bottom style="thin">
        <color rgb="FF339933"/>
      </bottom>
      <diagonal/>
    </border>
    <border>
      <left/>
      <right/>
      <top/>
      <bottom/>
      <diagonal/>
    </border>
    <border>
      <left/>
      <right style="thin">
        <color rgb="FF339933"/>
      </right>
      <top style="thin">
        <color rgb="FF339933"/>
      </top>
      <bottom style="thin">
        <color rgb="FF339933"/>
      </bottom>
      <diagonal/>
    </border>
    <border>
      <left style="thin">
        <color rgb="FF339933"/>
      </left>
      <right style="thin">
        <color rgb="FF339933"/>
      </right>
      <top style="thin">
        <color rgb="FF339933"/>
      </top>
      <bottom/>
      <diagonal/>
    </border>
    <border>
      <left/>
      <right style="thin">
        <color rgb="FF000000"/>
      </right>
      <top style="thin">
        <color rgb="FF339933"/>
      </top>
      <bottom style="thin">
        <color rgb="FF339933"/>
      </bottom>
      <diagonal/>
    </border>
    <border>
      <left style="thin">
        <color rgb="FF000000"/>
      </left>
      <right style="thin">
        <color rgb="FF339933"/>
      </right>
      <top style="thin">
        <color rgb="FF339933"/>
      </top>
      <bottom style="thin">
        <color rgb="FF339933"/>
      </bottom>
      <diagonal/>
    </border>
    <border>
      <left style="thin">
        <color rgb="FF000000"/>
      </left>
      <right/>
      <top style="thin">
        <color rgb="FF339933"/>
      </top>
      <bottom style="thin">
        <color rgb="FF339933"/>
      </bottom>
      <diagonal/>
    </border>
    <border>
      <left/>
      <right/>
      <top style="thin">
        <color rgb="FF339933"/>
      </top>
      <bottom style="thin">
        <color rgb="FF339933"/>
      </bottom>
      <diagonal/>
    </border>
    <border>
      <left style="thin">
        <color rgb="FF339933"/>
      </left>
      <right style="thin">
        <color rgb="FF339933"/>
      </right>
      <top/>
      <bottom/>
      <diagonal/>
    </border>
    <border>
      <left style="thin">
        <color rgb="FF339933"/>
      </left>
      <right style="thin">
        <color rgb="FF000000"/>
      </right>
      <top style="thin">
        <color rgb="FF339933"/>
      </top>
      <bottom/>
      <diagonal/>
    </border>
    <border>
      <left style="thin">
        <color rgb="FF000000"/>
      </left>
      <right/>
      <top/>
      <bottom/>
      <diagonal/>
    </border>
    <border>
      <left style="thin">
        <color rgb="FF339933"/>
      </left>
      <right/>
      <top/>
      <bottom style="thin">
        <color rgb="FF339933"/>
      </bottom>
      <diagonal/>
    </border>
    <border>
      <left style="thin">
        <color rgb="FF339933"/>
      </left>
      <right style="thin">
        <color rgb="FF339933"/>
      </right>
      <top/>
      <bottom style="thin">
        <color rgb="FF339933"/>
      </bottom>
      <diagonal/>
    </border>
    <border>
      <left style="thin">
        <color rgb="FF339933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339933"/>
      </right>
      <top/>
      <bottom/>
      <diagonal/>
    </border>
    <border>
      <left style="thin">
        <color rgb="FF339933"/>
      </left>
      <right style="thin">
        <color rgb="FF000000"/>
      </right>
      <top/>
      <bottom style="thin">
        <color rgb="FF339933"/>
      </bottom>
      <diagonal/>
    </border>
    <border>
      <left/>
      <right style="thin">
        <color rgb="FF000000"/>
      </right>
      <top style="thin">
        <color rgb="FF339933"/>
      </top>
      <bottom/>
      <diagonal/>
    </border>
    <border>
      <left/>
      <right style="thin">
        <color rgb="FF000000"/>
      </right>
      <top/>
      <bottom/>
      <diagonal/>
    </border>
    <border>
      <left/>
      <right style="thin">
        <color rgb="FF000000"/>
      </right>
      <top/>
      <bottom style="thin">
        <color rgb="FF339933"/>
      </bottom>
      <diagonal/>
    </border>
    <border>
      <left/>
      <right style="thin">
        <color rgb="FF339933"/>
      </right>
      <top/>
      <bottom/>
      <diagonal/>
    </border>
    <border>
      <left/>
      <right style="thin">
        <color rgb="FF339933"/>
      </right>
      <top style="thin">
        <color rgb="FF339933"/>
      </top>
      <bottom/>
      <diagonal/>
    </border>
    <border>
      <left/>
      <right style="thin">
        <color rgb="FF000000"/>
      </right>
      <top style="thin">
        <color rgb="FF339933"/>
      </top>
      <bottom/>
      <diagonal/>
    </border>
    <border>
      <left style="thin">
        <color rgb="FF000000"/>
      </left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 style="thin">
        <color rgb="FF339933"/>
      </right>
      <top style="thin">
        <color rgb="FF339933"/>
      </top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 style="thin">
        <color rgb="FF339933"/>
      </top>
      <bottom style="thin">
        <color rgb="FF000000"/>
      </bottom>
      <diagonal/>
    </border>
    <border>
      <left/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 style="thin">
        <color rgb="FF339933"/>
      </top>
      <bottom style="thin">
        <color rgb="FF000000"/>
      </bottom>
      <diagonal/>
    </border>
    <border>
      <left/>
      <right/>
      <top style="thin">
        <color rgb="FF339933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339933"/>
      </bottom>
      <diagonal/>
    </border>
    <border>
      <left/>
      <right/>
      <top style="thin">
        <color rgb="FF000000"/>
      </top>
      <bottom style="thin">
        <color rgb="FF339933"/>
      </bottom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/>
      <top/>
      <bottom/>
      <diagonal/>
    </border>
    <border>
      <left/>
      <right style="thin">
        <color rgb="FF000000"/>
      </right>
      <top/>
      <bottom/>
      <diagonal/>
    </border>
    <border>
      <left/>
      <right/>
      <top/>
      <bottom style="thin">
        <color rgb="FF339933"/>
      </bottom>
      <diagonal/>
    </border>
    <border>
      <left/>
      <right style="thin">
        <color rgb="FF000000"/>
      </right>
      <top/>
      <bottom/>
      <diagonal/>
    </border>
    <border>
      <left/>
      <right/>
      <top style="thin">
        <color rgb="FF339933"/>
      </top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/>
      <right/>
      <top/>
      <bottom style="thin">
        <color rgb="FF339933"/>
      </bottom>
      <diagonal/>
    </border>
    <border>
      <left style="thin">
        <color rgb="FF000000"/>
      </left>
      <right/>
      <top style="thin">
        <color rgb="FF339933"/>
      </top>
      <bottom/>
      <diagonal/>
    </border>
    <border>
      <left style="thin">
        <color rgb="FF000000"/>
      </left>
      <right/>
      <top/>
      <bottom style="thin">
        <color rgb="FF339933"/>
      </bottom>
      <diagonal/>
    </border>
    <border>
      <left/>
      <right/>
      <top/>
      <bottom/>
      <diagonal/>
    </border>
    <border>
      <left/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 style="thin">
        <color rgb="FF339933"/>
      </bottom>
      <diagonal/>
    </border>
    <border>
      <left/>
      <right/>
      <top style="thin">
        <color indexed="64"/>
      </top>
      <bottom style="thin">
        <color rgb="FF339933"/>
      </bottom>
      <diagonal/>
    </border>
    <border>
      <left/>
      <right/>
      <top style="thin">
        <color indexed="64"/>
      </top>
      <bottom style="thin">
        <color rgb="FF000000"/>
      </bottom>
      <diagonal/>
    </border>
    <border>
      <left/>
      <right style="thin">
        <color rgb="FF000000"/>
      </right>
      <top style="thin">
        <color indexed="64"/>
      </top>
      <bottom/>
      <diagonal/>
    </border>
    <border>
      <left style="thin">
        <color rgb="FF000000"/>
      </left>
      <right/>
      <top style="thin">
        <color indexed="64"/>
      </top>
      <bottom/>
      <diagonal/>
    </border>
    <border>
      <left/>
      <right style="thin">
        <color rgb="FF339933"/>
      </right>
      <top/>
      <bottom style="thin">
        <color rgb="FF339933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96">
    <xf numFmtId="0" fontId="0" fillId="0" borderId="0" xfId="0"/>
    <xf numFmtId="0" fontId="9" fillId="0" borderId="0" xfId="0" applyFont="1" applyAlignment="1">
      <alignment horizontal="center"/>
    </xf>
    <xf numFmtId="0" fontId="10" fillId="0" borderId="0" xfId="0" applyFont="1"/>
    <xf numFmtId="0" fontId="9" fillId="2" borderId="1" xfId="0" applyFont="1" applyFill="1" applyBorder="1"/>
    <xf numFmtId="0" fontId="9" fillId="2" borderId="2" xfId="0" applyFont="1" applyFill="1" applyBorder="1"/>
    <xf numFmtId="0" fontId="9" fillId="3" borderId="2" xfId="0" applyFont="1" applyFill="1" applyBorder="1"/>
    <xf numFmtId="0" fontId="9" fillId="0" borderId="3" xfId="0" applyFont="1" applyBorder="1" applyAlignment="1">
      <alignment horizontal="center"/>
    </xf>
    <xf numFmtId="0" fontId="9" fillId="2" borderId="4" xfId="0" applyFont="1" applyFill="1" applyBorder="1"/>
    <xf numFmtId="0" fontId="9" fillId="2" borderId="5" xfId="0" applyFont="1" applyFill="1" applyBorder="1"/>
    <xf numFmtId="0" fontId="9" fillId="0" borderId="6" xfId="0" applyFont="1" applyBorder="1" applyAlignment="1">
      <alignment horizontal="center"/>
    </xf>
    <xf numFmtId="0" fontId="9" fillId="2" borderId="7" xfId="0" applyFont="1" applyFill="1" applyBorder="1"/>
    <xf numFmtId="0" fontId="9" fillId="2" borderId="8" xfId="0" applyFont="1" applyFill="1" applyBorder="1"/>
    <xf numFmtId="0" fontId="9" fillId="3" borderId="9" xfId="0" applyFont="1" applyFill="1" applyBorder="1"/>
    <xf numFmtId="0" fontId="9" fillId="2" borderId="10" xfId="0" applyFont="1" applyFill="1" applyBorder="1"/>
    <xf numFmtId="0" fontId="9" fillId="2" borderId="12" xfId="0" applyFont="1" applyFill="1" applyBorder="1"/>
    <xf numFmtId="0" fontId="9" fillId="2" borderId="13" xfId="0" applyFont="1" applyFill="1" applyBorder="1"/>
    <xf numFmtId="0" fontId="9" fillId="2" borderId="14" xfId="0" applyFont="1" applyFill="1" applyBorder="1"/>
    <xf numFmtId="0" fontId="9" fillId="2" borderId="15" xfId="0" applyFont="1" applyFill="1" applyBorder="1"/>
    <xf numFmtId="0" fontId="9" fillId="2" borderId="18" xfId="0" applyFont="1" applyFill="1" applyBorder="1"/>
    <xf numFmtId="0" fontId="9" fillId="2" borderId="19" xfId="0" applyFont="1" applyFill="1" applyBorder="1"/>
    <xf numFmtId="0" fontId="9" fillId="2" borderId="22" xfId="0" applyFont="1" applyFill="1" applyBorder="1"/>
    <xf numFmtId="0" fontId="9" fillId="2" borderId="27" xfId="0" applyFont="1" applyFill="1" applyBorder="1"/>
    <xf numFmtId="0" fontId="9" fillId="2" borderId="9" xfId="0" applyFont="1" applyFill="1" applyBorder="1"/>
    <xf numFmtId="0" fontId="9" fillId="2" borderId="28" xfId="0" applyFont="1" applyFill="1" applyBorder="1"/>
    <xf numFmtId="0" fontId="9" fillId="2" borderId="29" xfId="0" applyFont="1" applyFill="1" applyBorder="1"/>
    <xf numFmtId="0" fontId="9" fillId="0" borderId="30" xfId="0" applyFont="1" applyBorder="1" applyAlignment="1">
      <alignment horizontal="center"/>
    </xf>
    <xf numFmtId="0" fontId="9" fillId="2" borderId="34" xfId="0" applyFont="1" applyFill="1" applyBorder="1"/>
    <xf numFmtId="0" fontId="9" fillId="3" borderId="35" xfId="0" applyFont="1" applyFill="1" applyBorder="1"/>
    <xf numFmtId="0" fontId="9" fillId="0" borderId="36" xfId="0" applyFont="1" applyBorder="1" applyAlignment="1">
      <alignment horizontal="center"/>
    </xf>
    <xf numFmtId="0" fontId="9" fillId="2" borderId="37" xfId="0" applyFont="1" applyFill="1" applyBorder="1"/>
    <xf numFmtId="0" fontId="9" fillId="0" borderId="40" xfId="0" applyFont="1" applyBorder="1" applyAlignment="1">
      <alignment horizontal="center"/>
    </xf>
    <xf numFmtId="0" fontId="9" fillId="2" borderId="43" xfId="0" applyFont="1" applyFill="1" applyBorder="1"/>
    <xf numFmtId="0" fontId="9" fillId="2" borderId="44" xfId="0" applyFont="1" applyFill="1" applyBorder="1"/>
    <xf numFmtId="0" fontId="9" fillId="2" borderId="45" xfId="0" applyFont="1" applyFill="1" applyBorder="1"/>
    <xf numFmtId="0" fontId="9" fillId="2" borderId="46" xfId="0" applyFont="1" applyFill="1" applyBorder="1"/>
    <xf numFmtId="0" fontId="9" fillId="2" borderId="48" xfId="0" applyFont="1" applyFill="1" applyBorder="1"/>
    <xf numFmtId="0" fontId="9" fillId="2" borderId="49" xfId="0" applyFont="1" applyFill="1" applyBorder="1"/>
    <xf numFmtId="0" fontId="9" fillId="2" borderId="51" xfId="0" applyFont="1" applyFill="1" applyBorder="1"/>
    <xf numFmtId="0" fontId="9" fillId="2" borderId="54" xfId="0" applyFont="1" applyFill="1" applyBorder="1"/>
    <xf numFmtId="0" fontId="9" fillId="2" borderId="35" xfId="0" applyFont="1" applyFill="1" applyBorder="1"/>
    <xf numFmtId="0" fontId="9" fillId="2" borderId="56" xfId="0" applyFont="1" applyFill="1" applyBorder="1"/>
    <xf numFmtId="0" fontId="9" fillId="2" borderId="57" xfId="0" applyFont="1" applyFill="1" applyBorder="1"/>
    <xf numFmtId="0" fontId="9" fillId="2" borderId="58" xfId="0" applyFont="1" applyFill="1" applyBorder="1"/>
    <xf numFmtId="0" fontId="9" fillId="2" borderId="59" xfId="0" applyFont="1" applyFill="1" applyBorder="1"/>
    <xf numFmtId="0" fontId="9" fillId="2" borderId="60" xfId="0" applyFont="1" applyFill="1" applyBorder="1"/>
    <xf numFmtId="0" fontId="11" fillId="3" borderId="57" xfId="0" applyFont="1" applyFill="1" applyBorder="1"/>
    <xf numFmtId="0" fontId="9" fillId="0" borderId="64" xfId="0" applyFont="1" applyBorder="1" applyAlignment="1">
      <alignment horizontal="center"/>
    </xf>
    <xf numFmtId="0" fontId="9" fillId="3" borderId="65" xfId="0" applyFont="1" applyFill="1" applyBorder="1"/>
    <xf numFmtId="0" fontId="0" fillId="0" borderId="67" xfId="0" applyBorder="1"/>
    <xf numFmtId="0" fontId="0" fillId="0" borderId="65" xfId="0" applyBorder="1"/>
    <xf numFmtId="0" fontId="0" fillId="0" borderId="68" xfId="0" applyBorder="1"/>
    <xf numFmtId="0" fontId="0" fillId="0" borderId="69" xfId="0" applyBorder="1"/>
    <xf numFmtId="0" fontId="0" fillId="0" borderId="61" xfId="0" applyBorder="1"/>
    <xf numFmtId="0" fontId="0" fillId="0" borderId="66" xfId="0" applyBorder="1"/>
    <xf numFmtId="0" fontId="0" fillId="0" borderId="70" xfId="0" applyBorder="1"/>
    <xf numFmtId="0" fontId="0" fillId="0" borderId="64" xfId="0" applyBorder="1"/>
    <xf numFmtId="0" fontId="0" fillId="0" borderId="71" xfId="0" applyBorder="1"/>
    <xf numFmtId="0" fontId="9" fillId="0" borderId="65" xfId="0" applyFont="1" applyBorder="1" applyAlignment="1">
      <alignment horizontal="center"/>
    </xf>
    <xf numFmtId="0" fontId="9" fillId="0" borderId="61" xfId="0" applyFont="1" applyBorder="1" applyAlignment="1">
      <alignment horizontal="center"/>
    </xf>
    <xf numFmtId="0" fontId="9" fillId="2" borderId="72" xfId="0" applyFont="1" applyFill="1" applyBorder="1"/>
    <xf numFmtId="0" fontId="9" fillId="2" borderId="73" xfId="0" applyFont="1" applyFill="1" applyBorder="1"/>
    <xf numFmtId="0" fontId="9" fillId="3" borderId="74" xfId="0" applyFont="1" applyFill="1" applyBorder="1"/>
    <xf numFmtId="0" fontId="9" fillId="3" borderId="47" xfId="0" applyFont="1" applyFill="1" applyBorder="1"/>
    <xf numFmtId="0" fontId="9" fillId="0" borderId="58" xfId="0" applyFont="1" applyBorder="1" applyAlignment="1">
      <alignment horizontal="center"/>
    </xf>
    <xf numFmtId="0" fontId="9" fillId="2" borderId="76" xfId="0" applyFont="1" applyFill="1" applyBorder="1"/>
    <xf numFmtId="0" fontId="9" fillId="2" borderId="65" xfId="0" applyFont="1" applyFill="1" applyBorder="1"/>
    <xf numFmtId="0" fontId="9" fillId="2" borderId="30" xfId="0" applyFont="1" applyFill="1" applyBorder="1"/>
    <xf numFmtId="0" fontId="9" fillId="2" borderId="61" xfId="0" applyFont="1" applyFill="1" applyBorder="1"/>
    <xf numFmtId="0" fontId="9" fillId="2" borderId="75" xfId="0" applyFont="1" applyFill="1" applyBorder="1"/>
    <xf numFmtId="0" fontId="9" fillId="2" borderId="77" xfId="0" applyFont="1" applyFill="1" applyBorder="1"/>
    <xf numFmtId="0" fontId="8" fillId="0" borderId="0" xfId="0" applyFont="1"/>
    <xf numFmtId="0" fontId="13" fillId="0" borderId="65" xfId="0" applyFont="1" applyBorder="1" applyAlignment="1">
      <alignment horizontal="center"/>
    </xf>
    <xf numFmtId="0" fontId="7" fillId="0" borderId="61" xfId="0" applyFont="1" applyBorder="1"/>
    <xf numFmtId="0" fontId="6" fillId="0" borderId="61" xfId="0" applyFont="1" applyBorder="1"/>
    <xf numFmtId="0" fontId="6" fillId="0" borderId="0" xfId="0" applyFont="1"/>
    <xf numFmtId="0" fontId="6" fillId="0" borderId="69" xfId="0" applyFont="1" applyBorder="1"/>
    <xf numFmtId="0" fontId="6" fillId="0" borderId="67" xfId="0" applyFont="1" applyBorder="1"/>
    <xf numFmtId="0" fontId="7" fillId="0" borderId="65" xfId="0" applyFont="1" applyBorder="1"/>
    <xf numFmtId="49" fontId="0" fillId="0" borderId="69" xfId="0" applyNumberFormat="1" applyBorder="1"/>
    <xf numFmtId="49" fontId="0" fillId="0" borderId="61" xfId="0" applyNumberFormat="1" applyBorder="1"/>
    <xf numFmtId="49" fontId="0" fillId="0" borderId="66" xfId="0" applyNumberFormat="1" applyBorder="1"/>
    <xf numFmtId="49" fontId="0" fillId="0" borderId="64" xfId="0" applyNumberFormat="1" applyBorder="1"/>
    <xf numFmtId="49" fontId="0" fillId="0" borderId="71" xfId="0" applyNumberFormat="1" applyBorder="1"/>
    <xf numFmtId="49" fontId="6" fillId="0" borderId="70" xfId="0" applyNumberFormat="1" applyFont="1" applyBorder="1"/>
    <xf numFmtId="49" fontId="6" fillId="0" borderId="64" xfId="0" applyNumberFormat="1" applyFont="1" applyBorder="1"/>
    <xf numFmtId="49" fontId="0" fillId="0" borderId="68" xfId="0" applyNumberFormat="1" applyBorder="1"/>
    <xf numFmtId="0" fontId="9" fillId="3" borderId="61" xfId="0" applyFont="1" applyFill="1" applyBorder="1"/>
    <xf numFmtId="0" fontId="0" fillId="0" borderId="61" xfId="0" applyBorder="1" applyAlignment="1">
      <alignment horizontal="center" vertical="center"/>
    </xf>
    <xf numFmtId="0" fontId="5" fillId="0" borderId="61" xfId="0" applyFont="1" applyBorder="1"/>
    <xf numFmtId="0" fontId="16" fillId="3" borderId="61" xfId="0" applyFont="1" applyFill="1" applyBorder="1"/>
    <xf numFmtId="0" fontId="0" fillId="0" borderId="64" xfId="0" applyBorder="1" applyAlignment="1">
      <alignment horizontal="center" vertical="center"/>
    </xf>
    <xf numFmtId="49" fontId="0" fillId="0" borderId="0" xfId="0" applyNumberFormat="1"/>
    <xf numFmtId="49" fontId="4" fillId="0" borderId="0" xfId="0" quotePrefix="1" applyNumberFormat="1" applyFont="1"/>
    <xf numFmtId="0" fontId="6" fillId="0" borderId="65" xfId="0" applyFont="1" applyBorder="1"/>
    <xf numFmtId="49" fontId="0" fillId="0" borderId="65" xfId="0" applyNumberFormat="1" applyBorder="1"/>
    <xf numFmtId="0" fontId="4" fillId="0" borderId="61" xfId="0" applyFont="1" applyBorder="1"/>
    <xf numFmtId="0" fontId="4" fillId="0" borderId="66" xfId="0" applyFont="1" applyBorder="1"/>
    <xf numFmtId="0" fontId="9" fillId="3" borderId="69" xfId="0" applyFont="1" applyFill="1" applyBorder="1"/>
    <xf numFmtId="0" fontId="5" fillId="0" borderId="69" xfId="0" applyFont="1" applyBorder="1"/>
    <xf numFmtId="0" fontId="0" fillId="0" borderId="0" xfId="0" quotePrefix="1"/>
    <xf numFmtId="0" fontId="9" fillId="4" borderId="61" xfId="0" applyFont="1" applyFill="1" applyBorder="1" applyAlignment="1">
      <alignment horizontal="center"/>
    </xf>
    <xf numFmtId="0" fontId="3" fillId="0" borderId="0" xfId="0" applyFont="1"/>
    <xf numFmtId="0" fontId="0" fillId="0" borderId="67" xfId="0" quotePrefix="1" applyBorder="1"/>
    <xf numFmtId="0" fontId="0" fillId="0" borderId="69" xfId="0" quotePrefix="1" applyBorder="1"/>
    <xf numFmtId="0" fontId="0" fillId="0" borderId="70" xfId="0" quotePrefix="1" applyBorder="1"/>
    <xf numFmtId="0" fontId="0" fillId="0" borderId="79" xfId="0" quotePrefix="1" applyBorder="1"/>
    <xf numFmtId="0" fontId="0" fillId="0" borderId="80" xfId="0" applyBorder="1"/>
    <xf numFmtId="0" fontId="0" fillId="0" borderId="81" xfId="0" applyBorder="1"/>
    <xf numFmtId="0" fontId="0" fillId="0" borderId="78" xfId="0" applyBorder="1"/>
    <xf numFmtId="0" fontId="0" fillId="0" borderId="79" xfId="0" applyBorder="1"/>
    <xf numFmtId="0" fontId="9" fillId="3" borderId="66" xfId="0" applyFont="1" applyFill="1" applyBorder="1"/>
    <xf numFmtId="0" fontId="0" fillId="6" borderId="79" xfId="0" applyFill="1" applyBorder="1" applyAlignment="1">
      <alignment horizontal="center"/>
    </xf>
    <xf numFmtId="0" fontId="0" fillId="6" borderId="80" xfId="0" applyFill="1" applyBorder="1" applyAlignment="1">
      <alignment horizontal="center"/>
    </xf>
    <xf numFmtId="0" fontId="0" fillId="4" borderId="80" xfId="0" applyFill="1" applyBorder="1" applyAlignment="1">
      <alignment horizontal="center"/>
    </xf>
    <xf numFmtId="0" fontId="2" fillId="5" borderId="79" xfId="0" applyFont="1" applyFill="1" applyBorder="1" applyAlignment="1">
      <alignment horizontal="center"/>
    </xf>
    <xf numFmtId="0" fontId="2" fillId="5" borderId="80" xfId="0" applyFont="1" applyFill="1" applyBorder="1" applyAlignment="1">
      <alignment horizontal="center"/>
    </xf>
    <xf numFmtId="0" fontId="2" fillId="5" borderId="80" xfId="0" quotePrefix="1" applyFont="1" applyFill="1" applyBorder="1" applyAlignment="1">
      <alignment horizontal="center"/>
    </xf>
    <xf numFmtId="0" fontId="2" fillId="5" borderId="81" xfId="0" applyFont="1" applyFill="1" applyBorder="1" applyAlignment="1">
      <alignment horizontal="center"/>
    </xf>
    <xf numFmtId="0" fontId="0" fillId="6" borderId="66" xfId="0" applyFill="1" applyBorder="1" applyAlignment="1">
      <alignment horizontal="center"/>
    </xf>
    <xf numFmtId="0" fontId="0" fillId="4" borderId="69" xfId="0" applyFill="1" applyBorder="1" applyAlignment="1">
      <alignment horizontal="center"/>
    </xf>
    <xf numFmtId="0" fontId="6" fillId="0" borderId="70" xfId="0" applyFont="1" applyBorder="1" applyAlignment="1">
      <alignment horizontal="center" vertical="center"/>
    </xf>
    <xf numFmtId="0" fontId="6" fillId="0" borderId="71" xfId="0" applyFont="1" applyBorder="1" applyAlignment="1">
      <alignment horizontal="center" vertical="center"/>
    </xf>
    <xf numFmtId="0" fontId="0" fillId="0" borderId="67" xfId="0" applyBorder="1" applyAlignment="1">
      <alignment horizontal="center" vertical="center"/>
    </xf>
    <xf numFmtId="0" fontId="0" fillId="0" borderId="65" xfId="0" applyBorder="1" applyAlignment="1">
      <alignment horizontal="center" vertical="center"/>
    </xf>
    <xf numFmtId="0" fontId="0" fillId="0" borderId="68" xfId="0" applyBorder="1" applyAlignment="1">
      <alignment horizontal="center" vertical="center"/>
    </xf>
    <xf numFmtId="0" fontId="9" fillId="3" borderId="62" xfId="0" applyFont="1" applyFill="1" applyBorder="1" applyAlignment="1">
      <alignment horizontal="center" vertical="center" wrapText="1"/>
    </xf>
    <xf numFmtId="0" fontId="12" fillId="0" borderId="63" xfId="0" applyFont="1" applyBorder="1"/>
    <xf numFmtId="0" fontId="9" fillId="3" borderId="64" xfId="0" applyFont="1" applyFill="1" applyBorder="1" applyAlignment="1">
      <alignment horizontal="center"/>
    </xf>
    <xf numFmtId="0" fontId="9" fillId="3" borderId="31" xfId="0" applyFont="1" applyFill="1" applyBorder="1" applyAlignment="1">
      <alignment horizontal="center" vertical="center"/>
    </xf>
    <xf numFmtId="0" fontId="12" fillId="0" borderId="61" xfId="0" applyFont="1" applyBorder="1"/>
    <xf numFmtId="0" fontId="9" fillId="3" borderId="61" xfId="0" applyFont="1" applyFill="1" applyBorder="1" applyAlignment="1">
      <alignment horizontal="center"/>
    </xf>
    <xf numFmtId="0" fontId="9" fillId="3" borderId="27" xfId="0" applyFont="1" applyFill="1" applyBorder="1" applyAlignment="1">
      <alignment horizontal="center"/>
    </xf>
    <xf numFmtId="0" fontId="15" fillId="3" borderId="65" xfId="0" applyFont="1" applyFill="1" applyBorder="1" applyAlignment="1">
      <alignment horizontal="center" vertical="center" wrapText="1"/>
    </xf>
    <xf numFmtId="0" fontId="15" fillId="3" borderId="61" xfId="0" applyFont="1" applyFill="1" applyBorder="1" applyAlignment="1">
      <alignment horizontal="center" vertical="center" wrapText="1"/>
    </xf>
    <xf numFmtId="16" fontId="9" fillId="3" borderId="53" xfId="0" applyNumberFormat="1" applyFont="1" applyFill="1" applyBorder="1" applyAlignment="1">
      <alignment horizontal="center" vertical="center" wrapText="1"/>
    </xf>
    <xf numFmtId="0" fontId="12" fillId="0" borderId="25" xfId="0" applyFont="1" applyBorder="1"/>
    <xf numFmtId="0" fontId="12" fillId="0" borderId="55" xfId="0" applyFont="1" applyBorder="1"/>
    <xf numFmtId="0" fontId="9" fillId="3" borderId="17" xfId="0" applyFont="1" applyFill="1" applyBorder="1" applyAlignment="1">
      <alignment horizontal="center" vertical="center" wrapText="1"/>
    </xf>
    <xf numFmtId="0" fontId="12" fillId="0" borderId="21" xfId="0" applyFont="1" applyBorder="1"/>
    <xf numFmtId="0" fontId="12" fillId="0" borderId="23" xfId="0" applyFont="1" applyBorder="1"/>
    <xf numFmtId="0" fontId="0" fillId="0" borderId="64" xfId="0" applyBorder="1" applyAlignment="1">
      <alignment horizontal="center" vertical="center"/>
    </xf>
    <xf numFmtId="0" fontId="0" fillId="0" borderId="71" xfId="0" applyBorder="1" applyAlignment="1">
      <alignment horizontal="center" vertical="center"/>
    </xf>
    <xf numFmtId="0" fontId="14" fillId="3" borderId="66" xfId="0" applyFont="1" applyFill="1" applyBorder="1" applyAlignment="1">
      <alignment vertical="center" wrapText="1"/>
    </xf>
    <xf numFmtId="0" fontId="9" fillId="3" borderId="24" xfId="0" applyFont="1" applyFill="1" applyBorder="1" applyAlignment="1">
      <alignment horizontal="center" vertical="center" wrapText="1"/>
    </xf>
    <xf numFmtId="0" fontId="12" fillId="0" borderId="26" xfId="0" applyFont="1" applyBorder="1"/>
    <xf numFmtId="0" fontId="11" fillId="3" borderId="24" xfId="0" applyFont="1" applyFill="1" applyBorder="1" applyAlignment="1">
      <alignment horizontal="center" vertical="center" wrapText="1"/>
    </xf>
    <xf numFmtId="0" fontId="13" fillId="3" borderId="66" xfId="0" applyFont="1" applyFill="1" applyBorder="1" applyAlignment="1">
      <alignment horizontal="center" vertical="center" wrapText="1"/>
    </xf>
    <xf numFmtId="0" fontId="11" fillId="3" borderId="11" xfId="0" applyFont="1" applyFill="1" applyBorder="1" applyAlignment="1">
      <alignment horizontal="center" vertical="center" wrapText="1"/>
    </xf>
    <xf numFmtId="0" fontId="12" fillId="0" borderId="16" xfId="0" applyFont="1" applyBorder="1"/>
    <xf numFmtId="0" fontId="12" fillId="0" borderId="20" xfId="0" applyFont="1" applyBorder="1"/>
    <xf numFmtId="0" fontId="9" fillId="3" borderId="31" xfId="0" applyFont="1" applyFill="1" applyBorder="1" applyAlignment="1">
      <alignment horizontal="center" vertical="center" wrapText="1"/>
    </xf>
    <xf numFmtId="0" fontId="12" fillId="0" borderId="32" xfId="0" applyFont="1" applyBorder="1"/>
    <xf numFmtId="0" fontId="12" fillId="0" borderId="33" xfId="0" applyFont="1" applyBorder="1"/>
    <xf numFmtId="0" fontId="12" fillId="0" borderId="38" xfId="0" applyFont="1" applyBorder="1"/>
    <xf numFmtId="0" fontId="0" fillId="0" borderId="0" xfId="0"/>
    <xf numFmtId="0" fontId="12" fillId="0" borderId="39" xfId="0" applyFont="1" applyBorder="1"/>
    <xf numFmtId="0" fontId="12" fillId="0" borderId="41" xfId="0" applyFont="1" applyBorder="1"/>
    <xf numFmtId="0" fontId="12" fillId="0" borderId="36" xfId="0" applyFont="1" applyBorder="1"/>
    <xf numFmtId="0" fontId="12" fillId="0" borderId="42" xfId="0" applyFont="1" applyBorder="1"/>
    <xf numFmtId="0" fontId="9" fillId="3" borderId="47" xfId="0" applyFont="1" applyFill="1" applyBorder="1" applyAlignment="1">
      <alignment horizontal="center" vertical="center" wrapText="1"/>
    </xf>
    <xf numFmtId="0" fontId="12" fillId="0" borderId="50" xfId="0" applyFont="1" applyBorder="1"/>
    <xf numFmtId="0" fontId="12" fillId="0" borderId="52" xfId="0" applyFont="1" applyBorder="1"/>
    <xf numFmtId="0" fontId="9" fillId="3" borderId="53" xfId="0" applyFont="1" applyFill="1" applyBorder="1" applyAlignment="1">
      <alignment horizontal="center" vertical="center" wrapText="1"/>
    </xf>
    <xf numFmtId="0" fontId="11" fillId="3" borderId="75" xfId="0" applyFont="1" applyFill="1" applyBorder="1" applyAlignment="1">
      <alignment horizontal="center" vertical="center" wrapText="1"/>
    </xf>
    <xf numFmtId="0" fontId="14" fillId="3" borderId="68" xfId="0" applyFont="1" applyFill="1" applyBorder="1" applyAlignment="1">
      <alignment horizontal="center" vertical="center" wrapText="1"/>
    </xf>
    <xf numFmtId="0" fontId="14" fillId="3" borderId="66" xfId="0" applyFont="1" applyFill="1" applyBorder="1" applyAlignment="1">
      <alignment horizontal="center" vertical="center" wrapText="1"/>
    </xf>
    <xf numFmtId="0" fontId="13" fillId="3" borderId="68" xfId="0" applyFont="1" applyFill="1" applyBorder="1" applyAlignment="1">
      <alignment horizontal="center" vertical="center" wrapText="1"/>
    </xf>
    <xf numFmtId="0" fontId="0" fillId="0" borderId="79" xfId="0" applyBorder="1" applyAlignment="1">
      <alignment horizontal="center"/>
    </xf>
    <xf numFmtId="0" fontId="0" fillId="0" borderId="80" xfId="0" applyBorder="1" applyAlignment="1">
      <alignment horizontal="center"/>
    </xf>
    <xf numFmtId="0" fontId="0" fillId="0" borderId="81" xfId="0" applyBorder="1" applyAlignment="1">
      <alignment horizontal="center"/>
    </xf>
    <xf numFmtId="0" fontId="0" fillId="0" borderId="67" xfId="0" applyBorder="1"/>
    <xf numFmtId="0" fontId="0" fillId="0" borderId="68" xfId="0" applyBorder="1"/>
    <xf numFmtId="0" fontId="0" fillId="0" borderId="69" xfId="0" applyBorder="1"/>
    <xf numFmtId="0" fontId="0" fillId="0" borderId="66" xfId="0" applyBorder="1"/>
    <xf numFmtId="0" fontId="0" fillId="0" borderId="79" xfId="0" applyBorder="1" applyAlignment="1">
      <alignment horizontal="left"/>
    </xf>
    <xf numFmtId="0" fontId="0" fillId="0" borderId="80" xfId="0" applyBorder="1" applyAlignment="1">
      <alignment horizontal="left"/>
    </xf>
    <xf numFmtId="0" fontId="0" fillId="0" borderId="81" xfId="0" applyBorder="1" applyAlignment="1">
      <alignment horizontal="left"/>
    </xf>
    <xf numFmtId="0" fontId="0" fillId="0" borderId="69" xfId="0" applyBorder="1" applyAlignment="1">
      <alignment horizontal="left"/>
    </xf>
    <xf numFmtId="0" fontId="0" fillId="0" borderId="66" xfId="0" applyBorder="1" applyAlignment="1">
      <alignment horizontal="left"/>
    </xf>
    <xf numFmtId="0" fontId="0" fillId="0" borderId="70" xfId="0" applyBorder="1" applyAlignment="1">
      <alignment horizontal="left"/>
    </xf>
    <xf numFmtId="0" fontId="0" fillId="0" borderId="71" xfId="0" applyBorder="1" applyAlignment="1">
      <alignment horizontal="left"/>
    </xf>
    <xf numFmtId="0" fontId="0" fillId="0" borderId="80" xfId="0" applyBorder="1"/>
    <xf numFmtId="0" fontId="0" fillId="0" borderId="81" xfId="0" applyBorder="1"/>
    <xf numFmtId="0" fontId="0" fillId="0" borderId="64" xfId="0" applyBorder="1"/>
    <xf numFmtId="0" fontId="0" fillId="0" borderId="71" xfId="0" applyBorder="1"/>
    <xf numFmtId="0" fontId="0" fillId="0" borderId="78" xfId="0" quotePrefix="1" applyBorder="1" applyAlignment="1">
      <alignment horizontal="center"/>
    </xf>
    <xf numFmtId="0" fontId="0" fillId="0" borderId="70" xfId="0" applyBorder="1" applyAlignment="1">
      <alignment horizontal="center"/>
    </xf>
    <xf numFmtId="0" fontId="0" fillId="0" borderId="71" xfId="0" applyBorder="1" applyAlignment="1">
      <alignment horizontal="center"/>
    </xf>
    <xf numFmtId="0" fontId="0" fillId="0" borderId="67" xfId="0" applyBorder="1" applyAlignment="1">
      <alignment horizontal="center"/>
    </xf>
    <xf numFmtId="0" fontId="0" fillId="0" borderId="68" xfId="0" applyBorder="1" applyAlignment="1">
      <alignment horizontal="center"/>
    </xf>
    <xf numFmtId="0" fontId="9" fillId="0" borderId="70" xfId="0" applyFont="1" applyBorder="1" applyAlignment="1">
      <alignment horizontal="center"/>
    </xf>
    <xf numFmtId="0" fontId="9" fillId="0" borderId="64" xfId="0" applyFont="1" applyBorder="1" applyAlignment="1">
      <alignment horizontal="center"/>
    </xf>
    <xf numFmtId="0" fontId="0" fillId="0" borderId="65" xfId="0" applyBorder="1" applyAlignment="1">
      <alignment horizontal="center"/>
    </xf>
    <xf numFmtId="0" fontId="1" fillId="0" borderId="64" xfId="0" applyFont="1" applyBorder="1"/>
    <xf numFmtId="0" fontId="1" fillId="0" borderId="80" xfId="0" applyFont="1" applyBorder="1"/>
    <xf numFmtId="0" fontId="1" fillId="0" borderId="81" xfId="0" quotePrefix="1" applyFont="1" applyBorder="1"/>
  </cellXfs>
  <cellStyles count="1">
    <cellStyle name="Normal" xfId="0" builtinId="0"/>
  </cellStyles>
  <dxfs count="486">
    <dxf>
      <font>
        <strike val="0"/>
        <color theme="1"/>
      </font>
      <fill>
        <patternFill>
          <bgColor rgb="FFFFFF00"/>
        </patternFill>
      </fill>
    </dxf>
    <dxf>
      <font>
        <b val="0"/>
        <i val="0"/>
        <strike val="0"/>
        <color theme="0"/>
      </font>
      <numFmt numFmtId="30" formatCode="@"/>
      <fill>
        <patternFill>
          <bgColor theme="1" tint="0.24994659260841701"/>
        </patternFill>
      </fill>
    </dxf>
    <dxf>
      <font>
        <b val="0"/>
        <i val="0"/>
        <strike val="0"/>
        <color theme="0"/>
      </font>
      <numFmt numFmtId="30" formatCode="@"/>
      <fill>
        <patternFill>
          <bgColor theme="1" tint="0.24994659260841701"/>
        </patternFill>
      </fill>
    </dxf>
    <dxf>
      <font>
        <strike val="0"/>
        <color theme="1"/>
      </font>
      <fill>
        <patternFill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b val="0"/>
        <i val="0"/>
        <strike val="0"/>
        <color theme="0"/>
      </font>
      <numFmt numFmtId="30" formatCode="@"/>
      <fill>
        <patternFill>
          <bgColor theme="1" tint="0.24994659260841701"/>
        </patternFill>
      </fill>
    </dxf>
    <dxf>
      <font>
        <strike val="0"/>
        <color theme="1"/>
      </font>
      <fill>
        <patternFill>
          <bgColor rgb="FFFFFF00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customschemas.google.com/relationships/workbookmetadata" Target="metadata"/><Relationship Id="rId11" Type="http://schemas.openxmlformats.org/officeDocument/2006/relationships/calcChain" Target="calcChain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F153"/>
  <sheetViews>
    <sheetView tabSelected="1" topLeftCell="T80" zoomScale="90" zoomScaleNormal="90" workbookViewId="0">
      <selection activeCell="AJ103" sqref="AJ103"/>
    </sheetView>
  </sheetViews>
  <sheetFormatPr defaultColWidth="8.7109375" defaultRowHeight="15" customHeight="1" x14ac:dyDescent="0.25"/>
  <cols>
    <col min="10" max="11" width="8.7109375" customWidth="1"/>
  </cols>
  <sheetData>
    <row r="1" spans="1:32" ht="15" customHeight="1" x14ac:dyDescent="0.25">
      <c r="A1" s="1">
        <f ca="1">IF(A1 = 1, 0, IF(A1 = 0, 1))</f>
        <v>1</v>
      </c>
      <c r="B1" s="2" t="s">
        <v>0</v>
      </c>
      <c r="C1" s="1">
        <v>1</v>
      </c>
      <c r="D1" s="2" t="s">
        <v>1</v>
      </c>
      <c r="E1" s="1">
        <v>1</v>
      </c>
      <c r="F1" s="2" t="s">
        <v>2</v>
      </c>
    </row>
    <row r="2" spans="1:32" ht="15" customHeight="1" x14ac:dyDescent="0.25">
      <c r="A2" s="1"/>
      <c r="C2" s="1"/>
    </row>
    <row r="3" spans="1:32" ht="15" customHeight="1" x14ac:dyDescent="0.25">
      <c r="A3" s="1">
        <f ca="1">IF(A1=1, 1, 0)</f>
        <v>1</v>
      </c>
      <c r="B3" s="2" t="s">
        <v>3</v>
      </c>
      <c r="C3" s="1">
        <f>IF(C1=1, 1, 0)</f>
        <v>1</v>
      </c>
      <c r="D3" s="2" t="s">
        <v>3</v>
      </c>
    </row>
    <row r="4" spans="1:32" ht="15" customHeight="1" x14ac:dyDescent="0.25">
      <c r="A4" s="1"/>
      <c r="G4" s="3"/>
      <c r="H4" s="4"/>
      <c r="I4" s="5"/>
      <c r="J4" s="6">
        <f ca="1">IF(CLOCK = 0, J4, IF(AND(CLOCK = 1,INPUT = 1,RESET = 0), 0, IF(AND(CLOCK = 1,INPUT = 0,RESET = 1), 1, IF(AND(CLOCK = 1,INPUT = 0,RESET = 0), J4, IF(AND(CLOCK = 1,INPUT = 1,RESET = 1),IF(JK.1 = 1, 0, 1))))))</f>
        <v>0</v>
      </c>
      <c r="K4" s="5"/>
      <c r="L4" s="7"/>
      <c r="M4" s="7"/>
      <c r="N4" s="7"/>
      <c r="O4" s="7"/>
      <c r="P4" s="7"/>
      <c r="Q4" s="8"/>
      <c r="S4" s="3"/>
      <c r="T4" s="5" t="s">
        <v>4</v>
      </c>
      <c r="U4" s="5" t="s">
        <v>5</v>
      </c>
      <c r="V4" s="5" t="s">
        <v>6</v>
      </c>
      <c r="W4" s="7"/>
      <c r="X4" s="8"/>
      <c r="Z4" s="9">
        <v>0</v>
      </c>
      <c r="AA4" s="5" t="s">
        <v>7</v>
      </c>
      <c r="AB4" s="6">
        <v>0</v>
      </c>
      <c r="AC4" s="5" t="s">
        <v>6</v>
      </c>
      <c r="AD4" s="6">
        <v>0</v>
      </c>
      <c r="AE4" s="5" t="s">
        <v>5</v>
      </c>
      <c r="AF4" s="8"/>
    </row>
    <row r="5" spans="1:32" ht="15" customHeight="1" x14ac:dyDescent="0.25">
      <c r="A5" s="1">
        <f ca="1">IF(A3 = 1, 0, 1)</f>
        <v>0</v>
      </c>
      <c r="B5" s="2" t="s">
        <v>8</v>
      </c>
      <c r="G5" s="10"/>
      <c r="H5" s="11"/>
      <c r="I5" s="12"/>
      <c r="J5" s="1">
        <f ca="1">IF(CLOCK = 0, J5, IF(AND(CLOCK = 1,JK.1 = 1,JK.1 = 0), 0, IF(AND(CLOCK = 1,JK.1 = 0,JK.1 = 1), 1, IF(AND(CLOCK = 1,JK.1 = 0, JK.1 = 0), J5, IF(AND(CLOCK = 1,JK.1 = 1,JK.1 = 1), IF(JK.2 = 1, 0, 1))))))</f>
        <v>0</v>
      </c>
      <c r="K5" s="12"/>
      <c r="L5" s="13"/>
      <c r="M5" s="147" t="s">
        <v>9</v>
      </c>
      <c r="N5" s="13"/>
      <c r="O5" s="13"/>
      <c r="P5" s="13"/>
      <c r="Q5" s="14"/>
      <c r="S5" s="15"/>
      <c r="T5" s="1">
        <v>0</v>
      </c>
      <c r="U5" s="1">
        <v>0</v>
      </c>
      <c r="V5" s="1">
        <v>0</v>
      </c>
      <c r="W5" s="13"/>
      <c r="X5" s="14"/>
      <c r="Z5" s="16"/>
      <c r="AA5" s="17"/>
      <c r="AB5" s="17"/>
      <c r="AC5" s="17"/>
      <c r="AD5" s="17"/>
      <c r="AE5" s="17"/>
      <c r="AF5" s="14"/>
    </row>
    <row r="6" spans="1:32" ht="15" customHeight="1" x14ac:dyDescent="0.25">
      <c r="A6" s="1"/>
      <c r="G6" s="15"/>
      <c r="H6" s="11"/>
      <c r="I6" s="12"/>
      <c r="J6" s="12"/>
      <c r="K6" s="1">
        <f ca="1">IF(AND(JK.1 = 1, JK.2 = 1), 1, 0)</f>
        <v>0</v>
      </c>
      <c r="L6" s="13"/>
      <c r="M6" s="148"/>
      <c r="N6" s="13"/>
      <c r="O6" s="13"/>
      <c r="P6" s="13"/>
      <c r="Q6" s="14"/>
      <c r="S6" s="15"/>
      <c r="T6" s="13"/>
      <c r="U6" s="13"/>
      <c r="V6" s="13"/>
      <c r="W6" s="13"/>
      <c r="X6" s="137" t="s">
        <v>10</v>
      </c>
      <c r="Z6" s="18"/>
      <c r="AA6" s="12"/>
      <c r="AB6" s="12"/>
      <c r="AC6" s="1">
        <f>IF(_xlfn.XOR(AB4 = 1, AD4 = 1), 1, 0)</f>
        <v>0</v>
      </c>
      <c r="AD6" s="12"/>
      <c r="AE6" s="17"/>
      <c r="AF6" s="14"/>
    </row>
    <row r="7" spans="1:32" ht="15" customHeight="1" x14ac:dyDescent="0.25">
      <c r="A7" s="1">
        <f ca="1">IF(AND(A3 = 1, C3 = 1), 1, 0)</f>
        <v>1</v>
      </c>
      <c r="B7" s="2" t="s">
        <v>11</v>
      </c>
      <c r="G7" s="10"/>
      <c r="H7" s="19"/>
      <c r="I7" s="12"/>
      <c r="J7" s="1">
        <f ca="1">IF(CLOCK = 0, J7, IF(AND(CLOCK = 1,AND.1 = 1,AND.1 = 0), 0, IF(AND(CLOCK = 1,AND.1 = 0,AND.1 = 1), 1, IF(AND(CLOCK = 1,AND.1 = 0,AND.1 = 0), J7, IF(AND(CLOCK = 1,AND.1 = 1,AND.1 = 1), IF(JK.3 = 1, 0, 1))))))</f>
        <v>0</v>
      </c>
      <c r="K7" s="12"/>
      <c r="L7" s="13"/>
      <c r="M7" s="149"/>
      <c r="N7" s="13"/>
      <c r="O7" s="13"/>
      <c r="P7" s="13"/>
      <c r="Q7" s="14"/>
      <c r="S7" s="15"/>
      <c r="T7" s="12"/>
      <c r="U7" s="12"/>
      <c r="V7" s="1">
        <f>IF(_xlfn.XOR(U5 = 1, V5 = 1), 1, 0)</f>
        <v>0</v>
      </c>
      <c r="W7" s="13"/>
      <c r="X7" s="138"/>
      <c r="Z7" s="18"/>
      <c r="AA7" s="1">
        <f>IF(AD4 = 1, 0, 1)</f>
        <v>1</v>
      </c>
      <c r="AB7" s="12"/>
      <c r="AC7" s="12"/>
      <c r="AD7" s="1">
        <f>IF(_xlfn.XOR(Z4 = 1, AC6 = 1), 1, 0)</f>
        <v>0</v>
      </c>
      <c r="AE7" s="17"/>
      <c r="AF7" s="14"/>
    </row>
    <row r="8" spans="1:32" ht="15" customHeight="1" x14ac:dyDescent="0.25">
      <c r="A8" s="1"/>
      <c r="G8" s="20"/>
      <c r="H8" s="19"/>
      <c r="I8" s="12"/>
      <c r="J8" s="12"/>
      <c r="K8" s="1">
        <f t="array" aca="1" ref="K8" ca="1">IF(AND(AND.1 = 1, JK.3 = 1), 1, 0)</f>
        <v>0</v>
      </c>
      <c r="L8" s="13"/>
      <c r="M8" s="13"/>
      <c r="N8" s="13"/>
      <c r="O8" s="13"/>
      <c r="P8" s="13"/>
      <c r="Q8" s="14"/>
      <c r="S8" s="15"/>
      <c r="T8" s="1">
        <f>IF(AND(U5 = 1, V5 = 1), 1, 0)</f>
        <v>0</v>
      </c>
      <c r="U8" s="1">
        <f>IF(AND(T5 = 1, V7 = 1), 1, 0)</f>
        <v>0</v>
      </c>
      <c r="V8" s="12"/>
      <c r="W8" s="13"/>
      <c r="X8" s="139"/>
      <c r="Z8" s="18"/>
      <c r="AA8" s="12"/>
      <c r="AB8" s="12"/>
      <c r="AC8" s="1">
        <f>IF(AC6 = 1, 0, 1)</f>
        <v>1</v>
      </c>
      <c r="AD8" s="12"/>
      <c r="AE8" s="17"/>
      <c r="AF8" s="143" t="s">
        <v>12</v>
      </c>
    </row>
    <row r="9" spans="1:32" ht="15" customHeight="1" x14ac:dyDescent="0.25">
      <c r="A9" s="1">
        <f ca="1">IF(OR(A3 = 1, C3 =1), 1, 0)</f>
        <v>1</v>
      </c>
      <c r="B9" s="2" t="s">
        <v>13</v>
      </c>
      <c r="G9" s="16"/>
      <c r="H9" s="11"/>
      <c r="I9" s="12"/>
      <c r="J9" s="1">
        <f ca="1">IF(CLOCK = 0, J9, IF(AND(CLOCK = 1,AND.2 = 1,AND.2 = 0), 0, IF(AND(CLOCK = 1,AND.2 = 0,AND.2 = 1), 1, IF(AND(CLOCK = 1,AND.2 = 0,AND.2 = 0), J9, IF(AND(CLOCK = 1,AND.2 = 1,AND.2 = 1), IF(JK.4 = 1, 0, 1))))))</f>
        <v>1</v>
      </c>
      <c r="K9" s="12"/>
      <c r="L9" s="13"/>
      <c r="M9" s="13"/>
      <c r="N9" s="13"/>
      <c r="O9" s="13"/>
      <c r="P9" s="13"/>
      <c r="Q9" s="14"/>
      <c r="S9" s="15"/>
      <c r="T9" s="12"/>
      <c r="U9" s="12"/>
      <c r="V9" s="1">
        <f>IF(_xlfn.XOR(T5 = 1, V7 = 1), 1, 0)</f>
        <v>0</v>
      </c>
      <c r="W9" s="13"/>
      <c r="X9" s="14"/>
      <c r="Z9" s="18"/>
      <c r="AA9" s="1">
        <f>IF(AND(AB4 = 1, AA7 = 1), 1, 0)</f>
        <v>0</v>
      </c>
      <c r="AB9" s="12"/>
      <c r="AC9" s="12"/>
      <c r="AD9" s="12"/>
      <c r="AE9" s="17"/>
      <c r="AF9" s="135"/>
    </row>
    <row r="10" spans="1:32" ht="15" customHeight="1" x14ac:dyDescent="0.25">
      <c r="A10" s="1"/>
      <c r="G10" s="15"/>
      <c r="H10" s="17"/>
      <c r="I10" s="12"/>
      <c r="J10" s="12"/>
      <c r="K10" s="12"/>
      <c r="L10" s="13"/>
      <c r="M10" s="13"/>
      <c r="N10" s="13"/>
      <c r="O10" s="13"/>
      <c r="P10" s="13"/>
      <c r="Q10" s="14"/>
      <c r="S10" s="15"/>
      <c r="T10" s="12"/>
      <c r="U10" s="1">
        <f>IF(OR(T8 = 1, U8 =1), 1, 0)</f>
        <v>0</v>
      </c>
      <c r="V10" s="12"/>
      <c r="W10" s="13"/>
      <c r="X10" s="14"/>
      <c r="Z10" s="18"/>
      <c r="AA10" s="12"/>
      <c r="AB10" s="1">
        <f>IF(AND(Z4 = 1, AC8 = 1), 1, 0)</f>
        <v>0</v>
      </c>
      <c r="AC10" s="12"/>
      <c r="AD10" s="12"/>
      <c r="AE10" s="17"/>
      <c r="AF10" s="144"/>
    </row>
    <row r="11" spans="1:32" ht="15" customHeight="1" x14ac:dyDescent="0.25">
      <c r="A11" s="1">
        <f ca="1">IF(_xlfn.XOR(A3 = 1, C3 = 1), 1, 0)</f>
        <v>0</v>
      </c>
      <c r="B11" s="2" t="s">
        <v>14</v>
      </c>
      <c r="G11" s="20"/>
      <c r="H11" s="21"/>
      <c r="I11" s="22"/>
      <c r="J11" s="21"/>
      <c r="K11" s="21"/>
      <c r="L11" s="23"/>
      <c r="M11" s="23"/>
      <c r="N11" s="23"/>
      <c r="O11" s="23"/>
      <c r="P11" s="23"/>
      <c r="Q11" s="24"/>
      <c r="S11" s="15"/>
      <c r="T11" s="13"/>
      <c r="U11" s="13"/>
      <c r="V11" s="13"/>
      <c r="W11" s="13"/>
      <c r="X11" s="14"/>
      <c r="Z11" s="18"/>
      <c r="AA11" s="12"/>
      <c r="AB11" s="12"/>
      <c r="AC11" s="12"/>
      <c r="AD11" s="12"/>
      <c r="AE11" s="17"/>
      <c r="AF11" s="14"/>
    </row>
    <row r="12" spans="1:32" ht="15" customHeight="1" x14ac:dyDescent="0.25">
      <c r="A12" s="1"/>
      <c r="G12" s="25">
        <f ca="1">IF(JK.4 = 1, 0, 1)</f>
        <v>0</v>
      </c>
      <c r="H12" s="12" t="s">
        <v>8</v>
      </c>
      <c r="I12" s="1">
        <f ca="1">IF(JK.3 = 1, 0, 1)</f>
        <v>1</v>
      </c>
      <c r="J12" s="12" t="s">
        <v>8</v>
      </c>
      <c r="K12" s="1">
        <f ca="1">IF(JK.2 = 1, 0, 1)</f>
        <v>1</v>
      </c>
      <c r="L12" s="12" t="s">
        <v>8</v>
      </c>
      <c r="M12" s="1">
        <f ca="1">IF(JK.1 = 1, 0, 1)</f>
        <v>1</v>
      </c>
      <c r="N12" s="12" t="s">
        <v>8</v>
      </c>
      <c r="O12" s="150" t="s">
        <v>15</v>
      </c>
      <c r="P12" s="151"/>
      <c r="Q12" s="152"/>
      <c r="S12" s="26"/>
      <c r="T12" s="27" t="s">
        <v>4</v>
      </c>
      <c r="U12" s="28">
        <f>U10</f>
        <v>0</v>
      </c>
      <c r="V12" s="28">
        <f>V9</f>
        <v>0</v>
      </c>
      <c r="W12" s="27" t="s">
        <v>16</v>
      </c>
      <c r="X12" s="29"/>
      <c r="Z12" s="18"/>
      <c r="AA12" s="1">
        <f>IF(OR(AA9 = 1, AB10 =1), 1, 0)</f>
        <v>0</v>
      </c>
      <c r="AB12" s="12"/>
      <c r="AC12" s="12"/>
      <c r="AD12" s="12"/>
      <c r="AE12" s="17"/>
      <c r="AF12" s="14"/>
    </row>
    <row r="13" spans="1:32" ht="15" customHeight="1" x14ac:dyDescent="0.25">
      <c r="A13" s="1">
        <f ca="1">IF(AND(A3 = 0, C3 =0), 1, 0)</f>
        <v>0</v>
      </c>
      <c r="B13" s="2" t="s">
        <v>17</v>
      </c>
      <c r="G13" s="10"/>
      <c r="H13" s="21"/>
      <c r="I13" s="21"/>
      <c r="J13" s="21"/>
      <c r="K13" s="21"/>
      <c r="L13" s="21"/>
      <c r="M13" s="21"/>
      <c r="N13" s="22"/>
      <c r="O13" s="153"/>
      <c r="P13" s="154"/>
      <c r="Q13" s="155"/>
      <c r="Z13" s="16"/>
      <c r="AA13" s="17"/>
      <c r="AB13" s="17"/>
      <c r="AC13" s="17"/>
      <c r="AD13" s="17"/>
      <c r="AE13" s="17"/>
      <c r="AF13" s="14"/>
    </row>
    <row r="14" spans="1:32" ht="15" customHeight="1" x14ac:dyDescent="0.25">
      <c r="A14" s="1"/>
      <c r="G14" s="30">
        <f ca="1">NOT.4</f>
        <v>0</v>
      </c>
      <c r="H14" s="27" t="s">
        <v>18</v>
      </c>
      <c r="I14" s="28">
        <f ca="1">NOT.3</f>
        <v>1</v>
      </c>
      <c r="J14" s="27" t="s">
        <v>19</v>
      </c>
      <c r="K14" s="28">
        <f ca="1">NOT.2</f>
        <v>1</v>
      </c>
      <c r="L14" s="27" t="s">
        <v>20</v>
      </c>
      <c r="M14" s="28">
        <f ca="1">NOT.1</f>
        <v>1</v>
      </c>
      <c r="N14" s="27" t="s">
        <v>21</v>
      </c>
      <c r="O14" s="156"/>
      <c r="P14" s="157"/>
      <c r="Q14" s="158"/>
      <c r="Z14" s="31"/>
      <c r="AA14" s="28">
        <f>AA12</f>
        <v>0</v>
      </c>
      <c r="AB14" s="27" t="s">
        <v>7</v>
      </c>
      <c r="AC14" s="28">
        <f>AD7</f>
        <v>0</v>
      </c>
      <c r="AD14" s="27" t="s">
        <v>16</v>
      </c>
      <c r="AE14" s="32"/>
      <c r="AF14" s="29"/>
    </row>
    <row r="15" spans="1:32" ht="15" customHeight="1" x14ac:dyDescent="0.25">
      <c r="A15" s="1">
        <f ca="1">IF(AND(A3 = 1, C3 = 1), 0, 1)</f>
        <v>0</v>
      </c>
      <c r="B15" s="2" t="s">
        <v>22</v>
      </c>
    </row>
    <row r="16" spans="1:32" ht="15" customHeight="1" x14ac:dyDescent="0.25">
      <c r="A16" s="1"/>
      <c r="G16" s="33"/>
      <c r="H16" s="6">
        <v>0</v>
      </c>
      <c r="I16" s="6">
        <v>0</v>
      </c>
      <c r="J16" s="6">
        <v>0</v>
      </c>
      <c r="K16" s="6">
        <v>0</v>
      </c>
      <c r="L16" s="5" t="s">
        <v>5</v>
      </c>
      <c r="M16" s="34"/>
      <c r="N16" s="159" t="s">
        <v>23</v>
      </c>
      <c r="O16" s="8"/>
      <c r="Q16" s="3"/>
      <c r="R16" s="6">
        <v>1</v>
      </c>
      <c r="S16" s="5" t="s">
        <v>5</v>
      </c>
      <c r="T16" s="6">
        <v>1</v>
      </c>
      <c r="U16" s="5" t="s">
        <v>6</v>
      </c>
      <c r="V16" s="4"/>
      <c r="W16" s="8"/>
      <c r="Y16" s="35"/>
      <c r="Z16" s="6">
        <v>0</v>
      </c>
      <c r="AA16" s="5" t="s">
        <v>5</v>
      </c>
      <c r="AB16" s="6">
        <v>0</v>
      </c>
      <c r="AC16" s="5" t="s">
        <v>6</v>
      </c>
      <c r="AD16" s="4"/>
      <c r="AE16" s="36"/>
    </row>
    <row r="17" spans="1:34" ht="15" customHeight="1" x14ac:dyDescent="0.25">
      <c r="A17" s="1">
        <f ca="1">IF(OR(AND(A3 = 1, C3 = 1), AND(A3 = 0, C3 = 0)), 1, 0)</f>
        <v>1</v>
      </c>
      <c r="B17" s="2" t="s">
        <v>24</v>
      </c>
      <c r="G17" s="16"/>
      <c r="H17" s="1">
        <v>0</v>
      </c>
      <c r="I17" s="1">
        <v>0</v>
      </c>
      <c r="J17" s="1">
        <v>0</v>
      </c>
      <c r="K17" s="1">
        <v>0</v>
      </c>
      <c r="L17" s="12" t="s">
        <v>6</v>
      </c>
      <c r="M17" s="17"/>
      <c r="N17" s="160"/>
      <c r="O17" s="14"/>
      <c r="Q17" s="15"/>
      <c r="R17" s="13"/>
      <c r="S17" s="13"/>
      <c r="T17" s="13"/>
      <c r="U17" s="13"/>
      <c r="V17" s="22"/>
      <c r="W17" s="14"/>
      <c r="Y17" s="18"/>
      <c r="Z17" s="22"/>
      <c r="AA17" s="22"/>
      <c r="AB17" s="22"/>
      <c r="AC17" s="22"/>
      <c r="AD17" s="22"/>
      <c r="AE17" s="37"/>
    </row>
    <row r="18" spans="1:34" ht="15" customHeight="1" x14ac:dyDescent="0.25">
      <c r="G18" s="16"/>
      <c r="H18" s="17"/>
      <c r="I18" s="17"/>
      <c r="J18" s="17"/>
      <c r="K18" s="17"/>
      <c r="L18" s="17"/>
      <c r="M18" s="17"/>
      <c r="N18" s="161"/>
      <c r="O18" s="14"/>
      <c r="Q18" s="15"/>
      <c r="R18" s="12"/>
      <c r="S18" s="12"/>
      <c r="T18" s="1">
        <f>IF(_xlfn.XOR(R16 = 1, T16 = 1), 1, 0)</f>
        <v>0</v>
      </c>
      <c r="U18" s="12"/>
      <c r="V18" s="22"/>
      <c r="W18" s="137" t="s">
        <v>25</v>
      </c>
      <c r="Y18" s="18"/>
      <c r="Z18" s="12"/>
      <c r="AA18" s="12"/>
      <c r="AB18" s="1">
        <f>IF(_xlfn.XOR(Z16 = 1, AB16 = 1), 1, 0)</f>
        <v>0</v>
      </c>
      <c r="AC18" s="12"/>
      <c r="AD18" s="22"/>
      <c r="AE18" s="162" t="s">
        <v>26</v>
      </c>
    </row>
    <row r="19" spans="1:34" ht="15" customHeight="1" x14ac:dyDescent="0.25">
      <c r="A19" s="1">
        <f ca="1">IF(AND(A1 = 1, C1 = 1), 0, IF(AND(A1 = 1, C1 = 0), 1, IF(AND(A1 = 0, C1 = 1), 0, A19)))</f>
        <v>0</v>
      </c>
      <c r="B19" s="2" t="s">
        <v>27</v>
      </c>
      <c r="G19" s="16"/>
      <c r="H19" s="17"/>
      <c r="I19" s="17"/>
      <c r="J19" s="17"/>
      <c r="K19" s="17"/>
      <c r="L19" s="17"/>
      <c r="M19" s="38"/>
      <c r="N19" s="17"/>
      <c r="O19" s="14"/>
      <c r="Q19" s="15"/>
      <c r="R19" s="12"/>
      <c r="S19" s="12"/>
      <c r="T19" s="12"/>
      <c r="U19" s="12"/>
      <c r="V19" s="22"/>
      <c r="W19" s="138"/>
      <c r="Y19" s="18"/>
      <c r="Z19" s="1">
        <f>IF(Z16 = 1, 0, 1)</f>
        <v>1</v>
      </c>
      <c r="AA19" s="12"/>
      <c r="AB19" s="12"/>
      <c r="AC19" s="12"/>
      <c r="AD19" s="22"/>
      <c r="AE19" s="135"/>
    </row>
    <row r="20" spans="1:34" ht="15" customHeight="1" x14ac:dyDescent="0.25">
      <c r="G20" s="16"/>
      <c r="H20" s="9">
        <v>0</v>
      </c>
      <c r="I20" s="5" t="s">
        <v>7</v>
      </c>
      <c r="J20" s="6">
        <f>K17</f>
        <v>0</v>
      </c>
      <c r="K20" s="5" t="s">
        <v>6</v>
      </c>
      <c r="L20" s="6">
        <f>K16</f>
        <v>0</v>
      </c>
      <c r="M20" s="5" t="s">
        <v>5</v>
      </c>
      <c r="N20" s="8"/>
      <c r="O20" s="14"/>
      <c r="Q20" s="15"/>
      <c r="R20" s="12"/>
      <c r="S20" s="1">
        <f>IF(AND(R16 = 1, T16 = 1), 1, 0)</f>
        <v>1</v>
      </c>
      <c r="T20" s="12"/>
      <c r="U20" s="12"/>
      <c r="V20" s="22"/>
      <c r="W20" s="139"/>
      <c r="Y20" s="18"/>
      <c r="Z20" s="12"/>
      <c r="AA20" s="12"/>
      <c r="AB20" s="12"/>
      <c r="AC20" s="12"/>
      <c r="AD20" s="22"/>
      <c r="AE20" s="136"/>
    </row>
    <row r="21" spans="1:34" ht="15" customHeight="1" x14ac:dyDescent="0.25">
      <c r="A21" s="1">
        <f ca="1">IF(A1 = 0, A21, IF(AND(A1 = 1, C1 = 1, E1 = 0), 1, IF(AND(A1 = 1, C1 = 0, E1 = 1), 0, IF(AND(A1 = 1, C1 = 0, E1 = 0), A21, IF(AND(A1 = 1, C1 = 1, E1 = 1), IF(A21 = 1, 0, 1))))))</f>
        <v>1</v>
      </c>
      <c r="B21" s="2" t="s">
        <v>28</v>
      </c>
      <c r="G21" s="16"/>
      <c r="H21" s="16"/>
      <c r="I21" s="17"/>
      <c r="J21" s="17"/>
      <c r="K21" s="17"/>
      <c r="L21" s="17"/>
      <c r="M21" s="17"/>
      <c r="N21" s="14"/>
      <c r="O21" s="14"/>
      <c r="Q21" s="15"/>
      <c r="R21" s="12"/>
      <c r="S21" s="12"/>
      <c r="T21" s="12"/>
      <c r="U21" s="12"/>
      <c r="V21" s="22"/>
      <c r="W21" s="14"/>
      <c r="Y21" s="18"/>
      <c r="Z21" s="1">
        <f>IF(AND(Z19 = 1, AB16 = 1), 1, 0)</f>
        <v>0</v>
      </c>
      <c r="AA21" s="12"/>
      <c r="AB21" s="12"/>
      <c r="AC21" s="12"/>
      <c r="AD21" s="22"/>
      <c r="AE21" s="37"/>
    </row>
    <row r="22" spans="1:34" ht="15" customHeight="1" x14ac:dyDescent="0.25">
      <c r="G22" s="16"/>
      <c r="H22" s="18"/>
      <c r="I22" s="12"/>
      <c r="J22" s="12"/>
      <c r="K22" s="1">
        <f>IF(_xlfn.XOR(J20 = 1, L20 = 1), 1, 0)</f>
        <v>0</v>
      </c>
      <c r="L22" s="12"/>
      <c r="M22" s="17"/>
      <c r="N22" s="14"/>
      <c r="O22" s="14"/>
      <c r="Q22" s="15"/>
      <c r="R22" s="13"/>
      <c r="S22" s="13"/>
      <c r="T22" s="13"/>
      <c r="U22" s="13"/>
      <c r="V22" s="22"/>
      <c r="W22" s="14"/>
      <c r="Y22" s="18"/>
      <c r="Z22" s="22"/>
      <c r="AA22" s="22"/>
      <c r="AB22" s="22"/>
      <c r="AC22" s="22"/>
      <c r="AD22" s="22"/>
      <c r="AE22" s="37"/>
    </row>
    <row r="23" spans="1:34" ht="15" customHeight="1" x14ac:dyDescent="0.25">
      <c r="G23" s="16"/>
      <c r="H23" s="18"/>
      <c r="I23" s="1">
        <f>IF(L20 = 1, 0, 1)</f>
        <v>1</v>
      </c>
      <c r="J23" s="12"/>
      <c r="K23" s="12"/>
      <c r="L23" s="1">
        <f>IF(_xlfn.XOR(H20 = 1, K22 = 1), 1, 0)</f>
        <v>0</v>
      </c>
      <c r="M23" s="17"/>
      <c r="N23" s="14"/>
      <c r="O23" s="14"/>
      <c r="Q23" s="26"/>
      <c r="R23" s="28">
        <f>S20</f>
        <v>1</v>
      </c>
      <c r="S23" s="27" t="s">
        <v>4</v>
      </c>
      <c r="T23" s="28">
        <f>T18</f>
        <v>0</v>
      </c>
      <c r="U23" s="27" t="s">
        <v>16</v>
      </c>
      <c r="V23" s="39"/>
      <c r="W23" s="29"/>
      <c r="Y23" s="40"/>
      <c r="Z23" s="28">
        <f>Z21</f>
        <v>0</v>
      </c>
      <c r="AA23" s="27" t="s">
        <v>7</v>
      </c>
      <c r="AB23" s="28">
        <f>AB18</f>
        <v>0</v>
      </c>
      <c r="AC23" s="27" t="s">
        <v>16</v>
      </c>
      <c r="AD23" s="39"/>
      <c r="AE23" s="41"/>
    </row>
    <row r="24" spans="1:34" ht="15" customHeight="1" x14ac:dyDescent="0.25">
      <c r="G24" s="16"/>
      <c r="H24" s="18"/>
      <c r="I24" s="12"/>
      <c r="J24" s="12"/>
      <c r="K24" s="1">
        <f>IF(K22 = 1, 0, 1)</f>
        <v>1</v>
      </c>
      <c r="L24" s="12"/>
      <c r="M24" s="17"/>
      <c r="N24" s="143" t="s">
        <v>12</v>
      </c>
      <c r="O24" s="14"/>
    </row>
    <row r="25" spans="1:34" ht="15" customHeight="1" x14ac:dyDescent="0.25">
      <c r="G25" s="16"/>
      <c r="H25" s="18"/>
      <c r="I25" s="1">
        <f>IF(AND(J20 = 1, I23 = 1), 1, 0)</f>
        <v>0</v>
      </c>
      <c r="J25" s="12"/>
      <c r="K25" s="12"/>
      <c r="L25" s="12"/>
      <c r="M25" s="17"/>
      <c r="N25" s="135"/>
      <c r="O25" s="14"/>
      <c r="Q25" s="33"/>
      <c r="R25" s="6">
        <v>0</v>
      </c>
      <c r="S25" s="6">
        <v>0</v>
      </c>
      <c r="T25" s="6">
        <v>0</v>
      </c>
      <c r="U25" s="6">
        <v>0</v>
      </c>
      <c r="V25" s="5" t="s">
        <v>5</v>
      </c>
      <c r="W25" s="6">
        <v>0</v>
      </c>
      <c r="X25" s="5" t="s">
        <v>29</v>
      </c>
      <c r="Y25" s="8"/>
      <c r="AA25" s="35"/>
      <c r="AB25" s="6">
        <v>1</v>
      </c>
      <c r="AC25" s="5" t="s">
        <v>5</v>
      </c>
      <c r="AD25" s="6">
        <v>0</v>
      </c>
      <c r="AE25" s="5" t="s">
        <v>6</v>
      </c>
      <c r="AF25" s="6">
        <v>0</v>
      </c>
      <c r="AG25" s="5" t="s">
        <v>34</v>
      </c>
      <c r="AH25" s="36"/>
    </row>
    <row r="26" spans="1:34" ht="15" customHeight="1" x14ac:dyDescent="0.25">
      <c r="G26" s="16"/>
      <c r="H26" s="18"/>
      <c r="I26" s="12"/>
      <c r="J26" s="1">
        <f>IF(AND(H20 = 1, K24 = 1), 1, 0)</f>
        <v>0</v>
      </c>
      <c r="K26" s="12"/>
      <c r="L26" s="12"/>
      <c r="M26" s="17"/>
      <c r="N26" s="144"/>
      <c r="O26" s="14"/>
      <c r="Q26" s="16"/>
      <c r="R26" s="1">
        <v>0</v>
      </c>
      <c r="S26" s="1">
        <v>0</v>
      </c>
      <c r="T26" s="1">
        <v>0</v>
      </c>
      <c r="U26" s="1">
        <v>0</v>
      </c>
      <c r="V26" s="12" t="s">
        <v>6</v>
      </c>
      <c r="W26" s="17"/>
      <c r="X26" s="17"/>
      <c r="Y26" s="14"/>
      <c r="AA26" s="18"/>
      <c r="AB26" s="22"/>
      <c r="AC26" s="22"/>
      <c r="AD26" s="22"/>
      <c r="AE26" s="22"/>
      <c r="AF26" s="22"/>
      <c r="AG26" s="22"/>
      <c r="AH26" s="37"/>
    </row>
    <row r="27" spans="1:34" ht="15" customHeight="1" x14ac:dyDescent="0.25">
      <c r="G27" s="16"/>
      <c r="H27" s="18"/>
      <c r="I27" s="12"/>
      <c r="J27" s="12"/>
      <c r="K27" s="12"/>
      <c r="L27" s="12"/>
      <c r="M27" s="17"/>
      <c r="N27" s="14"/>
      <c r="O27" s="14"/>
      <c r="Q27" s="16"/>
      <c r="R27" s="17"/>
      <c r="S27" s="17"/>
      <c r="T27" s="17"/>
      <c r="U27" s="17"/>
      <c r="V27" s="17"/>
      <c r="W27" s="17"/>
      <c r="X27" s="17"/>
      <c r="Y27" s="14"/>
      <c r="AA27" s="18"/>
      <c r="AB27" s="22"/>
      <c r="AC27" s="1">
        <f>IF(AND(AB25 = 1, AF25 = 1), 1, 0)</f>
        <v>0</v>
      </c>
      <c r="AD27" s="12"/>
      <c r="AE27" s="12"/>
      <c r="AF27" s="12"/>
      <c r="AG27" s="22"/>
      <c r="AH27" s="134" t="s">
        <v>51</v>
      </c>
    </row>
    <row r="28" spans="1:34" ht="15" customHeight="1" x14ac:dyDescent="0.25">
      <c r="G28" s="16"/>
      <c r="H28" s="18"/>
      <c r="I28" s="1">
        <f>IF(OR(I25 = 1, J26 =1), 1, 0)</f>
        <v>0</v>
      </c>
      <c r="J28" s="12"/>
      <c r="K28" s="12"/>
      <c r="L28" s="12"/>
      <c r="M28" s="17"/>
      <c r="N28" s="14"/>
      <c r="O28" s="14"/>
      <c r="Q28" s="16"/>
      <c r="R28" s="17"/>
      <c r="S28" s="17"/>
      <c r="T28" s="17"/>
      <c r="U28" s="1">
        <f>IF(_xlfn.XOR(U26 = 1, W25 = 1), 1, 0)</f>
        <v>0</v>
      </c>
      <c r="V28" s="27" t="s">
        <v>14</v>
      </c>
      <c r="W28" s="17"/>
      <c r="X28" s="17"/>
      <c r="Y28" s="145" t="s">
        <v>30</v>
      </c>
      <c r="AA28" s="18"/>
      <c r="AB28" s="22"/>
      <c r="AC28" s="12"/>
      <c r="AD28" s="1">
        <f>IF(AND(AD25 = 1, AE28 = 1), 1, 0)</f>
        <v>0</v>
      </c>
      <c r="AE28" s="1">
        <f>IF(AF25 = 1, 0, 1)</f>
        <v>1</v>
      </c>
      <c r="AF28" s="12"/>
      <c r="AG28" s="22"/>
      <c r="AH28" s="135"/>
    </row>
    <row r="29" spans="1:34" ht="15" customHeight="1" x14ac:dyDescent="0.25">
      <c r="G29" s="16"/>
      <c r="H29" s="16"/>
      <c r="I29" s="17"/>
      <c r="J29" s="17"/>
      <c r="K29" s="17"/>
      <c r="L29" s="17"/>
      <c r="M29" s="17"/>
      <c r="N29" s="14"/>
      <c r="O29" s="14"/>
      <c r="Q29" s="16"/>
      <c r="R29" s="3"/>
      <c r="S29" s="5" t="s">
        <v>4</v>
      </c>
      <c r="T29" s="5" t="s">
        <v>5</v>
      </c>
      <c r="U29" s="5" t="s">
        <v>6</v>
      </c>
      <c r="V29" s="7"/>
      <c r="W29" s="8"/>
      <c r="X29" s="17"/>
      <c r="Y29" s="135"/>
      <c r="AA29" s="18"/>
      <c r="AB29" s="22"/>
      <c r="AC29" s="1">
        <f>IF(OR(AC27 = 1, AD28 =1), 1, 0)</f>
        <v>0</v>
      </c>
      <c r="AD29" s="12"/>
      <c r="AE29" s="12"/>
      <c r="AF29" s="12"/>
      <c r="AG29" s="22"/>
      <c r="AH29" s="136"/>
    </row>
    <row r="30" spans="1:34" ht="15" customHeight="1" x14ac:dyDescent="0.25">
      <c r="G30" s="16"/>
      <c r="H30" s="31"/>
      <c r="I30" s="28">
        <f>I28</f>
        <v>0</v>
      </c>
      <c r="J30" s="27" t="s">
        <v>7</v>
      </c>
      <c r="K30" s="28">
        <f>L23</f>
        <v>0</v>
      </c>
      <c r="L30" s="27" t="s">
        <v>16</v>
      </c>
      <c r="M30" s="32"/>
      <c r="N30" s="29"/>
      <c r="O30" s="14"/>
      <c r="Q30" s="16"/>
      <c r="R30" s="15"/>
      <c r="S30" s="1">
        <f>W25</f>
        <v>0</v>
      </c>
      <c r="T30" s="1">
        <f>U25</f>
        <v>0</v>
      </c>
      <c r="U30" s="1">
        <f>U28</f>
        <v>0</v>
      </c>
      <c r="V30" s="13"/>
      <c r="W30" s="14"/>
      <c r="X30" s="17"/>
      <c r="Y30" s="144"/>
      <c r="AA30" s="18"/>
      <c r="AB30" s="22"/>
      <c r="AC30" s="22"/>
      <c r="AD30" s="22"/>
      <c r="AE30" s="22"/>
      <c r="AF30" s="22"/>
      <c r="AG30" s="22"/>
      <c r="AH30" s="37"/>
    </row>
    <row r="31" spans="1:34" ht="15" customHeight="1" x14ac:dyDescent="0.25">
      <c r="G31" s="16"/>
      <c r="H31" s="17"/>
      <c r="I31" s="17"/>
      <c r="J31" s="42"/>
      <c r="K31" s="17"/>
      <c r="L31" s="17"/>
      <c r="M31" s="42"/>
      <c r="N31" s="17"/>
      <c r="O31" s="14"/>
      <c r="Q31" s="16"/>
      <c r="R31" s="15"/>
      <c r="S31" s="13"/>
      <c r="T31" s="13"/>
      <c r="U31" s="13"/>
      <c r="V31" s="13"/>
      <c r="W31" s="137" t="s">
        <v>10</v>
      </c>
      <c r="X31" s="17"/>
      <c r="Y31" s="14"/>
      <c r="AA31" s="40"/>
      <c r="AB31" s="39"/>
      <c r="AC31" s="46">
        <f>AC29</f>
        <v>0</v>
      </c>
      <c r="AD31" s="27" t="s">
        <v>16</v>
      </c>
      <c r="AE31" s="39"/>
      <c r="AF31" s="39"/>
      <c r="AG31" s="39"/>
      <c r="AH31" s="41"/>
    </row>
    <row r="32" spans="1:34" ht="15" customHeight="1" x14ac:dyDescent="0.25">
      <c r="G32" s="16"/>
      <c r="H32" s="9">
        <f>I30</f>
        <v>0</v>
      </c>
      <c r="I32" s="5" t="s">
        <v>7</v>
      </c>
      <c r="J32" s="6">
        <f>J17</f>
        <v>0</v>
      </c>
      <c r="K32" s="5" t="s">
        <v>6</v>
      </c>
      <c r="L32" s="6">
        <f>J16</f>
        <v>0</v>
      </c>
      <c r="M32" s="5" t="s">
        <v>5</v>
      </c>
      <c r="N32" s="8"/>
      <c r="O32" s="14"/>
      <c r="Q32" s="16"/>
      <c r="R32" s="15"/>
      <c r="S32" s="12"/>
      <c r="T32" s="12"/>
      <c r="U32" s="1">
        <f>IF(_xlfn.XOR(T30 = 1, U30 = 1), 1, 0)</f>
        <v>0</v>
      </c>
      <c r="V32" s="13"/>
      <c r="W32" s="138"/>
      <c r="X32" s="17"/>
      <c r="Y32" s="14"/>
    </row>
    <row r="33" spans="7:35" ht="15" customHeight="1" x14ac:dyDescent="0.25">
      <c r="G33" s="16"/>
      <c r="H33" s="16"/>
      <c r="I33" s="17"/>
      <c r="J33" s="17"/>
      <c r="K33" s="17"/>
      <c r="L33" s="17"/>
      <c r="M33" s="17"/>
      <c r="N33" s="14"/>
      <c r="O33" s="14"/>
      <c r="Q33" s="16"/>
      <c r="R33" s="15"/>
      <c r="S33" s="1">
        <f>IF(AND(T30 = 1, U30 = 1), 1, 0)</f>
        <v>0</v>
      </c>
      <c r="T33" s="1">
        <f>IF(AND(S30 = 1, U32 = 1), 1, 0)</f>
        <v>0</v>
      </c>
      <c r="U33" s="12"/>
      <c r="V33" s="13"/>
      <c r="W33" s="139"/>
      <c r="X33" s="17"/>
      <c r="Y33" s="14"/>
      <c r="AA33" s="35"/>
      <c r="AB33" s="57">
        <v>0</v>
      </c>
      <c r="AC33" s="57">
        <v>0</v>
      </c>
      <c r="AD33" s="57">
        <v>0</v>
      </c>
      <c r="AE33" s="57">
        <v>0</v>
      </c>
      <c r="AF33" s="47" t="s">
        <v>5</v>
      </c>
      <c r="AG33" s="36"/>
    </row>
    <row r="34" spans="7:35" ht="15" customHeight="1" x14ac:dyDescent="0.25">
      <c r="G34" s="16"/>
      <c r="H34" s="18"/>
      <c r="I34" s="12"/>
      <c r="J34" s="12"/>
      <c r="K34" s="1">
        <f>IF(_xlfn.XOR(J32 = 1, L32 = 1), 1, 0)</f>
        <v>0</v>
      </c>
      <c r="L34" s="12"/>
      <c r="M34" s="17"/>
      <c r="N34" s="14"/>
      <c r="O34" s="14"/>
      <c r="Q34" s="16"/>
      <c r="R34" s="15"/>
      <c r="S34" s="12"/>
      <c r="T34" s="12"/>
      <c r="U34" s="1">
        <f>IF(_xlfn.XOR(S30 = 1, U32 = 1), 1, 0)</f>
        <v>0</v>
      </c>
      <c r="V34" s="13"/>
      <c r="W34" s="14"/>
      <c r="X34" s="17"/>
      <c r="Y34" s="14"/>
      <c r="AA34" s="18"/>
      <c r="AB34" s="1">
        <v>0</v>
      </c>
      <c r="AC34" s="1">
        <v>0</v>
      </c>
      <c r="AD34" s="1">
        <v>0</v>
      </c>
      <c r="AE34" s="1">
        <v>0</v>
      </c>
      <c r="AF34" s="12" t="s">
        <v>6</v>
      </c>
      <c r="AG34" s="37"/>
    </row>
    <row r="35" spans="7:35" ht="15" customHeight="1" x14ac:dyDescent="0.25">
      <c r="G35" s="16"/>
      <c r="H35" s="18"/>
      <c r="I35" s="1">
        <f>IF(L32 = 1, 0, 1)</f>
        <v>1</v>
      </c>
      <c r="J35" s="12"/>
      <c r="K35" s="12"/>
      <c r="L35" s="1">
        <f>IF(_xlfn.XOR(H32 = 1, K34 = 1), 1, 0)</f>
        <v>0</v>
      </c>
      <c r="M35" s="17"/>
      <c r="N35" s="14"/>
      <c r="O35" s="14"/>
      <c r="Q35" s="16"/>
      <c r="R35" s="15"/>
      <c r="S35" s="12"/>
      <c r="T35" s="1">
        <f>IF(OR(S33 = 1, T33 =1), 1, 0)</f>
        <v>0</v>
      </c>
      <c r="U35" s="12"/>
      <c r="V35" s="13"/>
      <c r="W35" s="14"/>
      <c r="X35" s="17"/>
      <c r="Y35" s="14"/>
      <c r="AA35" s="18"/>
      <c r="AB35" s="22"/>
      <c r="AC35" s="22"/>
      <c r="AD35" s="22"/>
      <c r="AE35" s="22"/>
      <c r="AF35" s="22"/>
      <c r="AG35" s="146" t="s">
        <v>35</v>
      </c>
    </row>
    <row r="36" spans="7:35" ht="15" customHeight="1" x14ac:dyDescent="0.25">
      <c r="G36" s="16"/>
      <c r="H36" s="18"/>
      <c r="I36" s="12"/>
      <c r="J36" s="12"/>
      <c r="K36" s="1">
        <f>IF(K34 = 1, 0, 1)</f>
        <v>1</v>
      </c>
      <c r="L36" s="12"/>
      <c r="M36" s="17"/>
      <c r="N36" s="143" t="s">
        <v>12</v>
      </c>
      <c r="O36" s="14"/>
      <c r="Q36" s="16"/>
      <c r="R36" s="15"/>
      <c r="S36" s="13"/>
      <c r="T36" s="13"/>
      <c r="U36" s="13"/>
      <c r="V36" s="13"/>
      <c r="W36" s="14"/>
      <c r="X36" s="17"/>
      <c r="Y36" s="14"/>
      <c r="AA36" s="18"/>
      <c r="AB36" s="1">
        <f>IF(OR(AB33 = 1, AB34 =1), 1, 0)</f>
        <v>0</v>
      </c>
      <c r="AC36" s="1">
        <f>IF(OR(AC33 = 1, AC34 =1), 1, 0)</f>
        <v>0</v>
      </c>
      <c r="AD36" s="1">
        <f>IF(OR(AD33 = 1, AD34 =1), 1, 0)</f>
        <v>0</v>
      </c>
      <c r="AE36" s="1">
        <f>IF(OR(AE33 = 1, AE34 =1), 1, 0)</f>
        <v>0</v>
      </c>
      <c r="AF36" s="22"/>
      <c r="AG36" s="146"/>
    </row>
    <row r="37" spans="7:35" ht="15" customHeight="1" x14ac:dyDescent="0.25">
      <c r="G37" s="16"/>
      <c r="H37" s="18"/>
      <c r="I37" s="1">
        <f>IF(AND(J32 = 1, I35 = 1), 1, 0)</f>
        <v>0</v>
      </c>
      <c r="J37" s="12"/>
      <c r="K37" s="12"/>
      <c r="L37" s="12"/>
      <c r="M37" s="17"/>
      <c r="N37" s="135"/>
      <c r="O37" s="14"/>
      <c r="Q37" s="16"/>
      <c r="R37" s="26"/>
      <c r="S37" s="27" t="s">
        <v>4</v>
      </c>
      <c r="T37" s="28">
        <f>T35</f>
        <v>0</v>
      </c>
      <c r="U37" s="28">
        <f>U34</f>
        <v>0</v>
      </c>
      <c r="V37" s="27" t="s">
        <v>16</v>
      </c>
      <c r="W37" s="29"/>
      <c r="X37" s="17"/>
      <c r="Y37" s="14"/>
      <c r="AA37" s="18"/>
      <c r="AB37" s="22"/>
      <c r="AC37" s="22"/>
      <c r="AD37" s="22"/>
      <c r="AE37" s="22"/>
      <c r="AF37" s="22"/>
      <c r="AG37" s="146"/>
    </row>
    <row r="38" spans="7:35" ht="15" customHeight="1" x14ac:dyDescent="0.25">
      <c r="G38" s="16"/>
      <c r="H38" s="18"/>
      <c r="I38" s="12"/>
      <c r="J38" s="1">
        <f>IF(AND(H32 = 1, K36 = 1), 1, 0)</f>
        <v>0</v>
      </c>
      <c r="K38" s="12"/>
      <c r="L38" s="12"/>
      <c r="M38" s="17"/>
      <c r="N38" s="144"/>
      <c r="O38" s="14"/>
      <c r="Q38" s="16"/>
      <c r="R38" s="17"/>
      <c r="S38" s="17"/>
      <c r="T38" s="17"/>
      <c r="U38" s="1">
        <f>IF(_xlfn.XOR(T26 = 1, W25 = 1), 1, 0)</f>
        <v>0</v>
      </c>
      <c r="V38" s="27" t="s">
        <v>14</v>
      </c>
      <c r="W38" s="17"/>
      <c r="X38" s="17"/>
      <c r="Y38" s="14"/>
      <c r="AA38" s="40"/>
      <c r="AB38" s="46">
        <f>AB36</f>
        <v>0</v>
      </c>
      <c r="AC38" s="46">
        <f>AC36</f>
        <v>0</v>
      </c>
      <c r="AD38" s="46">
        <f>AD36</f>
        <v>0</v>
      </c>
      <c r="AE38" s="46">
        <f>AE36</f>
        <v>0</v>
      </c>
      <c r="AF38" s="27" t="s">
        <v>16</v>
      </c>
      <c r="AG38" s="41"/>
    </row>
    <row r="39" spans="7:35" ht="15" customHeight="1" x14ac:dyDescent="0.25">
      <c r="G39" s="16"/>
      <c r="H39" s="18"/>
      <c r="I39" s="12"/>
      <c r="J39" s="12"/>
      <c r="K39" s="12"/>
      <c r="L39" s="12"/>
      <c r="M39" s="17"/>
      <c r="N39" s="14"/>
      <c r="O39" s="14"/>
      <c r="Q39" s="16"/>
      <c r="R39" s="3"/>
      <c r="S39" s="5" t="s">
        <v>4</v>
      </c>
      <c r="T39" s="5" t="s">
        <v>5</v>
      </c>
      <c r="U39" s="5" t="s">
        <v>6</v>
      </c>
      <c r="V39" s="7"/>
      <c r="W39" s="8"/>
      <c r="X39" s="17"/>
      <c r="Y39" s="14"/>
    </row>
    <row r="40" spans="7:35" ht="15" customHeight="1" x14ac:dyDescent="0.25">
      <c r="G40" s="16"/>
      <c r="H40" s="18"/>
      <c r="I40" s="1">
        <f>IF(OR(I37 = 1, J38 =1), 1, 0)</f>
        <v>0</v>
      </c>
      <c r="J40" s="12"/>
      <c r="K40" s="12"/>
      <c r="L40" s="12"/>
      <c r="M40" s="17"/>
      <c r="N40" s="14"/>
      <c r="O40" s="14"/>
      <c r="Q40" s="16"/>
      <c r="R40" s="15"/>
      <c r="S40" s="1">
        <f>T37</f>
        <v>0</v>
      </c>
      <c r="T40" s="1">
        <f>T25</f>
        <v>0</v>
      </c>
      <c r="U40" s="1">
        <f>U38</f>
        <v>0</v>
      </c>
      <c r="V40" s="13"/>
      <c r="W40" s="14"/>
      <c r="X40" s="17"/>
      <c r="Y40" s="14"/>
      <c r="AA40" s="35"/>
      <c r="AB40" s="57">
        <v>0</v>
      </c>
      <c r="AC40" s="57">
        <v>0</v>
      </c>
      <c r="AD40" s="57">
        <v>0</v>
      </c>
      <c r="AE40" s="57">
        <v>0</v>
      </c>
      <c r="AF40" s="47" t="s">
        <v>5</v>
      </c>
      <c r="AG40" s="36"/>
    </row>
    <row r="41" spans="7:35" ht="15" customHeight="1" x14ac:dyDescent="0.25">
      <c r="G41" s="16"/>
      <c r="H41" s="16"/>
      <c r="I41" s="17"/>
      <c r="J41" s="17"/>
      <c r="K41" s="17"/>
      <c r="L41" s="17"/>
      <c r="M41" s="17"/>
      <c r="N41" s="14"/>
      <c r="O41" s="14"/>
      <c r="Q41" s="16"/>
      <c r="R41" s="15"/>
      <c r="S41" s="13"/>
      <c r="T41" s="13"/>
      <c r="U41" s="13"/>
      <c r="V41" s="13"/>
      <c r="W41" s="137" t="s">
        <v>10</v>
      </c>
      <c r="X41" s="17"/>
      <c r="Y41" s="14"/>
      <c r="AA41" s="18"/>
      <c r="AB41" s="1">
        <v>0</v>
      </c>
      <c r="AC41" s="1">
        <v>0</v>
      </c>
      <c r="AD41" s="1">
        <v>0</v>
      </c>
      <c r="AE41" s="1">
        <v>0</v>
      </c>
      <c r="AF41" s="12" t="s">
        <v>6</v>
      </c>
      <c r="AG41" s="37"/>
    </row>
    <row r="42" spans="7:35" ht="15" customHeight="1" x14ac:dyDescent="0.25">
      <c r="G42" s="16"/>
      <c r="H42" s="31"/>
      <c r="I42" s="28">
        <f>I40</f>
        <v>0</v>
      </c>
      <c r="J42" s="27" t="s">
        <v>7</v>
      </c>
      <c r="K42" s="28">
        <f>L35</f>
        <v>0</v>
      </c>
      <c r="L42" s="27" t="s">
        <v>16</v>
      </c>
      <c r="M42" s="32"/>
      <c r="N42" s="29"/>
      <c r="O42" s="14"/>
      <c r="Q42" s="16"/>
      <c r="R42" s="15"/>
      <c r="S42" s="12"/>
      <c r="T42" s="12"/>
      <c r="U42" s="1">
        <f>IF(_xlfn.XOR(T40 = 1, U40 = 1), 1, 0)</f>
        <v>0</v>
      </c>
      <c r="V42" s="13"/>
      <c r="W42" s="138"/>
      <c r="X42" s="17"/>
      <c r="Y42" s="14"/>
      <c r="AA42" s="18"/>
      <c r="AB42" s="22"/>
      <c r="AC42" s="22"/>
      <c r="AD42" s="22"/>
      <c r="AE42" s="22"/>
      <c r="AF42" s="22"/>
      <c r="AG42" s="142" t="s">
        <v>36</v>
      </c>
    </row>
    <row r="43" spans="7:35" ht="15" customHeight="1" x14ac:dyDescent="0.25">
      <c r="G43" s="16"/>
      <c r="H43" s="17"/>
      <c r="I43" s="17"/>
      <c r="J43" s="17"/>
      <c r="K43" s="17"/>
      <c r="L43" s="17"/>
      <c r="M43" s="17"/>
      <c r="N43" s="17"/>
      <c r="O43" s="14"/>
      <c r="Q43" s="16"/>
      <c r="R43" s="15"/>
      <c r="S43" s="1">
        <f>IF(AND(T40 = 1, U40 = 1), 1, 0)</f>
        <v>0</v>
      </c>
      <c r="T43" s="1">
        <f>IF(AND(S40 = 1, U42 = 1), 1, 0)</f>
        <v>0</v>
      </c>
      <c r="U43" s="12"/>
      <c r="V43" s="13"/>
      <c r="W43" s="139"/>
      <c r="X43" s="17"/>
      <c r="Y43" s="14"/>
      <c r="AA43" s="18"/>
      <c r="AB43" s="1">
        <f>IF(AND(AB40 = 1, AB41 = 1), 1, 0)</f>
        <v>0</v>
      </c>
      <c r="AC43" s="1">
        <f>IF(AND(AC40 = 1, AC41 = 1), 1, 0)</f>
        <v>0</v>
      </c>
      <c r="AD43" s="1">
        <f>IF(AND(AD40 = 1, AD41 = 1), 1, 0)</f>
        <v>0</v>
      </c>
      <c r="AE43" s="1">
        <f>IF(AND(AE40 = 1, AE41 = 1), 1, 0)</f>
        <v>0</v>
      </c>
      <c r="AF43" s="22"/>
      <c r="AG43" s="142"/>
    </row>
    <row r="44" spans="7:35" ht="15" customHeight="1" x14ac:dyDescent="0.25">
      <c r="G44" s="16"/>
      <c r="H44" s="9">
        <f>I42</f>
        <v>0</v>
      </c>
      <c r="I44" s="5" t="s">
        <v>7</v>
      </c>
      <c r="J44" s="6">
        <f>I17</f>
        <v>0</v>
      </c>
      <c r="K44" s="5" t="s">
        <v>6</v>
      </c>
      <c r="L44" s="6">
        <f>I16</f>
        <v>0</v>
      </c>
      <c r="M44" s="5" t="s">
        <v>5</v>
      </c>
      <c r="N44" s="8"/>
      <c r="O44" s="14"/>
      <c r="Q44" s="16"/>
      <c r="R44" s="15"/>
      <c r="S44" s="12"/>
      <c r="T44" s="12"/>
      <c r="U44" s="1">
        <f>IF(_xlfn.XOR(S40 = 1, U42 = 1), 1, 0)</f>
        <v>0</v>
      </c>
      <c r="V44" s="13"/>
      <c r="W44" s="14"/>
      <c r="X44" s="17"/>
      <c r="Y44" s="14"/>
      <c r="AA44" s="18"/>
      <c r="AB44" s="22"/>
      <c r="AC44" s="22"/>
      <c r="AD44" s="22"/>
      <c r="AE44" s="22"/>
      <c r="AF44" s="22"/>
      <c r="AG44" s="142"/>
    </row>
    <row r="45" spans="7:35" ht="15" customHeight="1" x14ac:dyDescent="0.25">
      <c r="G45" s="16"/>
      <c r="H45" s="16"/>
      <c r="I45" s="17"/>
      <c r="J45" s="17"/>
      <c r="K45" s="17"/>
      <c r="L45" s="17"/>
      <c r="M45" s="17"/>
      <c r="N45" s="14"/>
      <c r="O45" s="14"/>
      <c r="Q45" s="16"/>
      <c r="R45" s="15"/>
      <c r="S45" s="12"/>
      <c r="T45" s="1">
        <f>IF(OR(S43 = 1, T43 =1), 1, 0)</f>
        <v>0</v>
      </c>
      <c r="U45" s="12"/>
      <c r="V45" s="13"/>
      <c r="W45" s="14"/>
      <c r="X45" s="17"/>
      <c r="Y45" s="14"/>
      <c r="AA45" s="40"/>
      <c r="AB45" s="46">
        <f>AB43</f>
        <v>0</v>
      </c>
      <c r="AC45" s="46">
        <f>AC43</f>
        <v>0</v>
      </c>
      <c r="AD45" s="46">
        <f>AD43</f>
        <v>0</v>
      </c>
      <c r="AE45" s="46">
        <f>AE43</f>
        <v>0</v>
      </c>
      <c r="AF45" s="27" t="s">
        <v>16</v>
      </c>
      <c r="AG45" s="41"/>
    </row>
    <row r="46" spans="7:35" ht="15" customHeight="1" x14ac:dyDescent="0.25">
      <c r="G46" s="16"/>
      <c r="H46" s="18"/>
      <c r="I46" s="12"/>
      <c r="J46" s="12"/>
      <c r="K46" s="1">
        <f>IF(_xlfn.XOR(J44 = 1, L44 = 1), 1, 0)</f>
        <v>0</v>
      </c>
      <c r="L46" s="12"/>
      <c r="M46" s="17"/>
      <c r="N46" s="14"/>
      <c r="O46" s="14"/>
      <c r="Q46" s="16"/>
      <c r="R46" s="15"/>
      <c r="S46" s="13"/>
      <c r="T46" s="13"/>
      <c r="U46" s="13"/>
      <c r="V46" s="13"/>
      <c r="W46" s="14"/>
      <c r="X46" s="17"/>
      <c r="Y46" s="14"/>
    </row>
    <row r="47" spans="7:35" ht="15" customHeight="1" x14ac:dyDescent="0.25">
      <c r="G47" s="16"/>
      <c r="H47" s="18"/>
      <c r="I47" s="1">
        <f>IF(L44 = 1, 0, 1)</f>
        <v>1</v>
      </c>
      <c r="J47" s="12"/>
      <c r="K47" s="12"/>
      <c r="L47" s="1">
        <f>IF(_xlfn.XOR(H44 = 1, K46 = 1), 1, 0)</f>
        <v>0</v>
      </c>
      <c r="M47" s="17"/>
      <c r="N47" s="14"/>
      <c r="O47" s="14"/>
      <c r="Q47" s="16"/>
      <c r="R47" s="26"/>
      <c r="S47" s="27" t="s">
        <v>4</v>
      </c>
      <c r="T47" s="28">
        <f>T45</f>
        <v>0</v>
      </c>
      <c r="U47" s="28">
        <f>U44</f>
        <v>0</v>
      </c>
      <c r="V47" s="27" t="s">
        <v>16</v>
      </c>
      <c r="W47" s="29"/>
      <c r="X47" s="17"/>
      <c r="Y47" s="14"/>
      <c r="AA47" s="35"/>
      <c r="AB47" s="57">
        <v>0</v>
      </c>
      <c r="AC47" s="57">
        <v>1</v>
      </c>
      <c r="AD47" s="57">
        <v>1</v>
      </c>
      <c r="AE47" s="57">
        <v>1</v>
      </c>
      <c r="AF47" s="47" t="s">
        <v>5</v>
      </c>
      <c r="AG47" s="6">
        <v>0</v>
      </c>
      <c r="AH47" s="5" t="s">
        <v>34</v>
      </c>
      <c r="AI47" s="36"/>
    </row>
    <row r="48" spans="7:35" ht="15" customHeight="1" x14ac:dyDescent="0.25">
      <c r="G48" s="16"/>
      <c r="H48" s="18"/>
      <c r="I48" s="12"/>
      <c r="J48" s="12"/>
      <c r="K48" s="1">
        <f>IF(K46 = 1, 0, 1)</f>
        <v>1</v>
      </c>
      <c r="L48" s="12"/>
      <c r="M48" s="17"/>
      <c r="N48" s="143" t="s">
        <v>12</v>
      </c>
      <c r="O48" s="14"/>
      <c r="Q48" s="16"/>
      <c r="R48" s="17"/>
      <c r="S48" s="17"/>
      <c r="T48" s="17"/>
      <c r="U48" s="1">
        <f>IF(_xlfn.XOR(S26 = 1, W25 = 1), 1, 0)</f>
        <v>0</v>
      </c>
      <c r="V48" s="27" t="s">
        <v>14</v>
      </c>
      <c r="W48" s="17"/>
      <c r="X48" s="17"/>
      <c r="Y48" s="14"/>
      <c r="AA48" s="18"/>
      <c r="AB48" s="1">
        <v>1</v>
      </c>
      <c r="AC48" s="1">
        <v>0</v>
      </c>
      <c r="AD48" s="1">
        <v>1</v>
      </c>
      <c r="AE48" s="1">
        <v>0</v>
      </c>
      <c r="AF48" s="12" t="s">
        <v>6</v>
      </c>
      <c r="AG48" s="22"/>
      <c r="AH48" s="22"/>
      <c r="AI48" s="37"/>
    </row>
    <row r="49" spans="7:35" ht="15" customHeight="1" x14ac:dyDescent="0.25">
      <c r="G49" s="16"/>
      <c r="H49" s="18"/>
      <c r="I49" s="1">
        <f>IF(AND(J44 = 1, I47 = 1), 1, 0)</f>
        <v>0</v>
      </c>
      <c r="J49" s="12"/>
      <c r="K49" s="12"/>
      <c r="L49" s="12"/>
      <c r="M49" s="17"/>
      <c r="N49" s="135"/>
      <c r="O49" s="14"/>
      <c r="Q49" s="16"/>
      <c r="R49" s="3"/>
      <c r="S49" s="5" t="s">
        <v>4</v>
      </c>
      <c r="T49" s="5" t="s">
        <v>5</v>
      </c>
      <c r="U49" s="5" t="s">
        <v>6</v>
      </c>
      <c r="V49" s="7"/>
      <c r="W49" s="8"/>
      <c r="X49" s="17"/>
      <c r="Y49" s="14"/>
      <c r="AA49" s="18"/>
      <c r="AB49" s="22"/>
      <c r="AC49" s="22"/>
      <c r="AD49" s="22"/>
      <c r="AE49" s="22"/>
      <c r="AF49" s="22"/>
      <c r="AG49" s="22"/>
      <c r="AH49" s="22"/>
      <c r="AI49" s="37"/>
    </row>
    <row r="50" spans="7:35" ht="15" customHeight="1" x14ac:dyDescent="0.25">
      <c r="G50" s="16"/>
      <c r="H50" s="18"/>
      <c r="I50" s="12"/>
      <c r="J50" s="1">
        <f>IF(AND(H44 = 1, K48 = 1), 1, 0)</f>
        <v>0</v>
      </c>
      <c r="K50" s="12"/>
      <c r="L50" s="12"/>
      <c r="M50" s="17"/>
      <c r="N50" s="144"/>
      <c r="O50" s="14"/>
      <c r="Q50" s="16"/>
      <c r="R50" s="15"/>
      <c r="S50" s="1">
        <f>T47</f>
        <v>0</v>
      </c>
      <c r="T50" s="1">
        <f>S25</f>
        <v>0</v>
      </c>
      <c r="U50" s="1">
        <f>U48</f>
        <v>0</v>
      </c>
      <c r="V50" s="13"/>
      <c r="W50" s="14"/>
      <c r="X50" s="17"/>
      <c r="Y50" s="14"/>
      <c r="AA50" s="18"/>
      <c r="AB50" s="1">
        <f>IF(AND(AE47 = 1, AG47 = 1), 1, 0)</f>
        <v>0</v>
      </c>
      <c r="AC50" s="12"/>
      <c r="AD50" s="12"/>
      <c r="AE50" s="12"/>
      <c r="AF50" s="22"/>
      <c r="AG50" s="22"/>
      <c r="AH50" s="22"/>
      <c r="AI50" s="37"/>
    </row>
    <row r="51" spans="7:35" ht="15" customHeight="1" x14ac:dyDescent="0.25">
      <c r="G51" s="16"/>
      <c r="H51" s="18"/>
      <c r="I51" s="12"/>
      <c r="J51" s="12"/>
      <c r="K51" s="12"/>
      <c r="L51" s="12"/>
      <c r="M51" s="17"/>
      <c r="N51" s="14"/>
      <c r="O51" s="14"/>
      <c r="Q51" s="16"/>
      <c r="R51" s="15"/>
      <c r="S51" s="13"/>
      <c r="T51" s="13"/>
      <c r="U51" s="13"/>
      <c r="V51" s="13"/>
      <c r="W51" s="137" t="s">
        <v>10</v>
      </c>
      <c r="X51" s="17"/>
      <c r="Y51" s="14"/>
      <c r="AA51" s="18"/>
      <c r="AB51" s="12"/>
      <c r="AC51" s="1">
        <f>IF(AND(AE48 = 1, AD51 = 1), 1, 0)</f>
        <v>0</v>
      </c>
      <c r="AD51" s="1">
        <f>IF(AG47 = 1, 0, 1)</f>
        <v>1</v>
      </c>
      <c r="AE51" s="12"/>
      <c r="AF51" s="22"/>
      <c r="AG51" s="22"/>
      <c r="AH51" s="22"/>
      <c r="AI51" s="37"/>
    </row>
    <row r="52" spans="7:35" ht="15" customHeight="1" x14ac:dyDescent="0.25">
      <c r="G52" s="16"/>
      <c r="H52" s="18"/>
      <c r="I52" s="1">
        <f>IF(OR(I49 = 1, J50 =1), 1, 0)</f>
        <v>0</v>
      </c>
      <c r="J52" s="12"/>
      <c r="K52" s="12"/>
      <c r="L52" s="12"/>
      <c r="M52" s="17"/>
      <c r="N52" s="14"/>
      <c r="O52" s="14"/>
      <c r="Q52" s="16"/>
      <c r="R52" s="15"/>
      <c r="S52" s="12"/>
      <c r="T52" s="12"/>
      <c r="U52" s="1">
        <f>IF(_xlfn.XOR(T50 = 1, U50 = 1), 1, 0)</f>
        <v>0</v>
      </c>
      <c r="V52" s="13"/>
      <c r="W52" s="138"/>
      <c r="X52" s="17"/>
      <c r="Y52" s="14"/>
      <c r="AA52" s="18"/>
      <c r="AB52" s="1">
        <f>IF(OR(AB50 = 1, AC51 =1), 1, 0)</f>
        <v>0</v>
      </c>
      <c r="AC52" s="12"/>
      <c r="AD52" s="12"/>
      <c r="AE52" s="12"/>
      <c r="AF52" s="22"/>
      <c r="AG52" s="22"/>
      <c r="AH52" s="22"/>
      <c r="AI52" s="37"/>
    </row>
    <row r="53" spans="7:35" ht="15" customHeight="1" x14ac:dyDescent="0.25">
      <c r="G53" s="16"/>
      <c r="H53" s="16"/>
      <c r="I53" s="17"/>
      <c r="J53" s="17"/>
      <c r="K53" s="17"/>
      <c r="L53" s="17"/>
      <c r="M53" s="17"/>
      <c r="N53" s="14"/>
      <c r="O53" s="14"/>
      <c r="Q53" s="16"/>
      <c r="R53" s="15"/>
      <c r="S53" s="1">
        <f>IF(AND(T50 = 1, U50 = 1), 1, 0)</f>
        <v>0</v>
      </c>
      <c r="T53" s="1">
        <f>IF(AND(S50 = 1, U52 = 1), 1, 0)</f>
        <v>0</v>
      </c>
      <c r="U53" s="12"/>
      <c r="V53" s="13"/>
      <c r="W53" s="139"/>
      <c r="X53" s="17"/>
      <c r="Y53" s="14"/>
      <c r="AA53" s="18"/>
      <c r="AB53" s="22"/>
      <c r="AC53" s="22"/>
      <c r="AD53" s="22"/>
      <c r="AE53" s="22"/>
      <c r="AF53" s="22"/>
      <c r="AG53" s="22"/>
      <c r="AH53" s="22"/>
      <c r="AI53" s="37"/>
    </row>
    <row r="54" spans="7:35" ht="15" customHeight="1" x14ac:dyDescent="0.25">
      <c r="G54" s="16"/>
      <c r="H54" s="31"/>
      <c r="I54" s="28">
        <f>I52</f>
        <v>0</v>
      </c>
      <c r="J54" s="27" t="s">
        <v>7</v>
      </c>
      <c r="K54" s="28">
        <f>L47</f>
        <v>0</v>
      </c>
      <c r="L54" s="27" t="s">
        <v>16</v>
      </c>
      <c r="M54" s="32"/>
      <c r="N54" s="29"/>
      <c r="O54" s="14"/>
      <c r="Q54" s="16"/>
      <c r="R54" s="15"/>
      <c r="S54" s="12"/>
      <c r="T54" s="12"/>
      <c r="U54" s="1">
        <f>IF(_xlfn.XOR(S50 = 1, U52 = 1), 1, 0)</f>
        <v>0</v>
      </c>
      <c r="V54" s="13"/>
      <c r="W54" s="14"/>
      <c r="X54" s="17"/>
      <c r="Y54" s="14"/>
      <c r="AA54" s="18"/>
      <c r="AB54" s="1">
        <f>IF(AND(AD47 = 1, AG47 = 1), 1, 0)</f>
        <v>0</v>
      </c>
      <c r="AC54" s="12"/>
      <c r="AD54" s="12"/>
      <c r="AE54" s="12"/>
      <c r="AF54" s="22"/>
      <c r="AG54" s="22"/>
      <c r="AH54" s="22"/>
      <c r="AI54" s="37"/>
    </row>
    <row r="55" spans="7:35" ht="15" customHeight="1" x14ac:dyDescent="0.25">
      <c r="G55" s="16"/>
      <c r="H55" s="17"/>
      <c r="I55" s="17"/>
      <c r="J55" s="17"/>
      <c r="K55" s="17"/>
      <c r="L55" s="17"/>
      <c r="M55" s="17"/>
      <c r="N55" s="17"/>
      <c r="O55" s="14"/>
      <c r="Q55" s="16"/>
      <c r="R55" s="15"/>
      <c r="S55" s="12"/>
      <c r="T55" s="1">
        <f>IF(OR(S53 = 1, T53 =1), 1, 0)</f>
        <v>0</v>
      </c>
      <c r="U55" s="12"/>
      <c r="V55" s="13"/>
      <c r="W55" s="14"/>
      <c r="X55" s="17"/>
      <c r="Y55" s="14"/>
      <c r="AA55" s="18"/>
      <c r="AB55" s="12"/>
      <c r="AC55" s="1">
        <f>IF(AND(AD48 = 1, AD55 = 1), 1, 0)</f>
        <v>1</v>
      </c>
      <c r="AD55" s="1">
        <f>IF(AG47 = 1, 0, 1)</f>
        <v>1</v>
      </c>
      <c r="AE55" s="12"/>
      <c r="AF55" s="22"/>
      <c r="AG55" s="22"/>
      <c r="AH55" s="22"/>
      <c r="AI55" s="37"/>
    </row>
    <row r="56" spans="7:35" ht="15" customHeight="1" x14ac:dyDescent="0.25">
      <c r="G56" s="16"/>
      <c r="H56" s="9">
        <f>I54</f>
        <v>0</v>
      </c>
      <c r="I56" s="5" t="s">
        <v>7</v>
      </c>
      <c r="J56" s="6">
        <f>H17</f>
        <v>0</v>
      </c>
      <c r="K56" s="5" t="s">
        <v>6</v>
      </c>
      <c r="L56" s="6">
        <f>H16</f>
        <v>0</v>
      </c>
      <c r="M56" s="5" t="s">
        <v>5</v>
      </c>
      <c r="N56" s="8"/>
      <c r="O56" s="14"/>
      <c r="Q56" s="16"/>
      <c r="R56" s="15"/>
      <c r="S56" s="13"/>
      <c r="T56" s="13"/>
      <c r="U56" s="13"/>
      <c r="V56" s="13"/>
      <c r="W56" s="14"/>
      <c r="X56" s="17"/>
      <c r="Y56" s="14"/>
      <c r="AA56" s="18"/>
      <c r="AB56" s="1">
        <f>IF(OR(AB54 = 1, AC55 =1), 1, 0)</f>
        <v>1</v>
      </c>
      <c r="AC56" s="12"/>
      <c r="AD56" s="12"/>
      <c r="AE56" s="12"/>
      <c r="AF56" s="22"/>
      <c r="AG56" s="22"/>
      <c r="AH56" s="22"/>
      <c r="AI56" s="134" t="s">
        <v>50</v>
      </c>
    </row>
    <row r="57" spans="7:35" ht="15" customHeight="1" x14ac:dyDescent="0.25">
      <c r="G57" s="16"/>
      <c r="H57" s="43"/>
      <c r="I57" s="17"/>
      <c r="J57" s="17"/>
      <c r="K57" s="17"/>
      <c r="L57" s="17"/>
      <c r="M57" s="17"/>
      <c r="N57" s="14"/>
      <c r="O57" s="14"/>
      <c r="Q57" s="16"/>
      <c r="R57" s="26"/>
      <c r="S57" s="27" t="s">
        <v>4</v>
      </c>
      <c r="T57" s="28">
        <f>T55</f>
        <v>0</v>
      </c>
      <c r="U57" s="28">
        <f>U54</f>
        <v>0</v>
      </c>
      <c r="V57" s="27" t="s">
        <v>16</v>
      </c>
      <c r="W57" s="29"/>
      <c r="X57" s="17"/>
      <c r="Y57" s="14"/>
      <c r="AA57" s="18"/>
      <c r="AB57" s="22"/>
      <c r="AC57" s="22"/>
      <c r="AD57" s="22"/>
      <c r="AE57" s="22"/>
      <c r="AF57" s="22"/>
      <c r="AG57" s="22"/>
      <c r="AH57" s="22"/>
      <c r="AI57" s="135"/>
    </row>
    <row r="58" spans="7:35" ht="15" customHeight="1" x14ac:dyDescent="0.25">
      <c r="G58" s="16"/>
      <c r="H58" s="18"/>
      <c r="I58" s="12"/>
      <c r="J58" s="12"/>
      <c r="K58" s="1">
        <f>IF(_xlfn.XOR(J56 = 1, L56 = 1), 1, 0)</f>
        <v>0</v>
      </c>
      <c r="L58" s="12"/>
      <c r="M58" s="17"/>
      <c r="N58" s="14"/>
      <c r="O58" s="14"/>
      <c r="Q58" s="16"/>
      <c r="R58" s="17"/>
      <c r="S58" s="17"/>
      <c r="T58" s="17"/>
      <c r="U58" s="1">
        <f>IF(_xlfn.XOR(R26 = 1, W25 = 1), 1, 0)</f>
        <v>0</v>
      </c>
      <c r="V58" s="27" t="s">
        <v>14</v>
      </c>
      <c r="W58" s="17"/>
      <c r="X58" s="17"/>
      <c r="Y58" s="14"/>
      <c r="AA58" s="18"/>
      <c r="AB58" s="1">
        <f>IF(AND(AC47 = 1, AG47 = 1), 1, 0)</f>
        <v>0</v>
      </c>
      <c r="AC58" s="12"/>
      <c r="AD58" s="12"/>
      <c r="AE58" s="12"/>
      <c r="AF58" s="22"/>
      <c r="AG58" s="22"/>
      <c r="AH58" s="22"/>
      <c r="AI58" s="136"/>
    </row>
    <row r="59" spans="7:35" ht="15" customHeight="1" x14ac:dyDescent="0.25">
      <c r="G59" s="16"/>
      <c r="H59" s="18"/>
      <c r="I59" s="1">
        <f>IF(L56 = 1, 0, 1)</f>
        <v>1</v>
      </c>
      <c r="J59" s="12"/>
      <c r="K59" s="12"/>
      <c r="L59" s="1">
        <f>IF(_xlfn.XOR(H56 = 1, K58 = 1), 1, 0)</f>
        <v>0</v>
      </c>
      <c r="M59" s="17"/>
      <c r="N59" s="14"/>
      <c r="O59" s="14"/>
      <c r="Q59" s="16"/>
      <c r="R59" s="3"/>
      <c r="S59" s="5" t="s">
        <v>4</v>
      </c>
      <c r="T59" s="5" t="s">
        <v>5</v>
      </c>
      <c r="U59" s="5" t="s">
        <v>6</v>
      </c>
      <c r="V59" s="7"/>
      <c r="W59" s="8"/>
      <c r="X59" s="17"/>
      <c r="Y59" s="14"/>
      <c r="AA59" s="18"/>
      <c r="AB59" s="12"/>
      <c r="AC59" s="1">
        <f>IF(AND(AC48 = 1, AD59 = 1), 1, 0)</f>
        <v>0</v>
      </c>
      <c r="AD59" s="1">
        <f>IF(AG47 = 1, 0, 1)</f>
        <v>1</v>
      </c>
      <c r="AE59" s="12"/>
      <c r="AF59" s="22"/>
      <c r="AG59" s="22"/>
      <c r="AH59" s="22"/>
      <c r="AI59" s="37"/>
    </row>
    <row r="60" spans="7:35" ht="15" customHeight="1" x14ac:dyDescent="0.25">
      <c r="G60" s="16"/>
      <c r="H60" s="18"/>
      <c r="I60" s="12"/>
      <c r="J60" s="12"/>
      <c r="K60" s="1">
        <f>IF(K58 = 1, 0, 1)</f>
        <v>1</v>
      </c>
      <c r="L60" s="12"/>
      <c r="M60" s="17"/>
      <c r="N60" s="143" t="s">
        <v>12</v>
      </c>
      <c r="O60" s="14"/>
      <c r="Q60" s="16"/>
      <c r="R60" s="15"/>
      <c r="S60" s="1">
        <f>T57</f>
        <v>0</v>
      </c>
      <c r="T60" s="1">
        <f>R25</f>
        <v>0</v>
      </c>
      <c r="U60" s="1">
        <f>U58</f>
        <v>0</v>
      </c>
      <c r="V60" s="13"/>
      <c r="W60" s="14"/>
      <c r="X60" s="17"/>
      <c r="Y60" s="14"/>
      <c r="AA60" s="18"/>
      <c r="AB60" s="1">
        <f>IF(OR(AB58 = 1, AC59 =1), 1, 0)</f>
        <v>0</v>
      </c>
      <c r="AC60" s="12"/>
      <c r="AD60" s="12"/>
      <c r="AE60" s="12"/>
      <c r="AF60" s="22"/>
      <c r="AG60" s="22"/>
      <c r="AH60" s="22"/>
      <c r="AI60" s="37"/>
    </row>
    <row r="61" spans="7:35" ht="15" customHeight="1" x14ac:dyDescent="0.25">
      <c r="G61" s="16"/>
      <c r="H61" s="18"/>
      <c r="I61" s="1">
        <f>IF(AND(J56 = 1, I59 = 1), 1, 0)</f>
        <v>0</v>
      </c>
      <c r="J61" s="12"/>
      <c r="K61" s="12"/>
      <c r="L61" s="12"/>
      <c r="M61" s="17"/>
      <c r="N61" s="135"/>
      <c r="O61" s="14"/>
      <c r="Q61" s="16"/>
      <c r="R61" s="15"/>
      <c r="S61" s="13"/>
      <c r="T61" s="13"/>
      <c r="U61" s="13"/>
      <c r="V61" s="13"/>
      <c r="W61" s="137" t="s">
        <v>10</v>
      </c>
      <c r="X61" s="17"/>
      <c r="Y61" s="14"/>
      <c r="AA61" s="18"/>
      <c r="AB61" s="22"/>
      <c r="AC61" s="22"/>
      <c r="AD61" s="22"/>
      <c r="AE61" s="22"/>
      <c r="AF61" s="22"/>
      <c r="AG61" s="22"/>
      <c r="AH61" s="22"/>
      <c r="AI61" s="37"/>
    </row>
    <row r="62" spans="7:35" ht="15" customHeight="1" x14ac:dyDescent="0.25">
      <c r="G62" s="16"/>
      <c r="H62" s="18"/>
      <c r="I62" s="12"/>
      <c r="J62" s="1">
        <f>IF(AND(H56 = 1, K60 = 1), 1, 0)</f>
        <v>0</v>
      </c>
      <c r="K62" s="12"/>
      <c r="L62" s="12"/>
      <c r="M62" s="17"/>
      <c r="N62" s="144"/>
      <c r="O62" s="14"/>
      <c r="Q62" s="16"/>
      <c r="R62" s="15"/>
      <c r="S62" s="12"/>
      <c r="T62" s="12"/>
      <c r="U62" s="1">
        <f>IF(_xlfn.XOR(T60 = 1, U60 = 1), 1, 0)</f>
        <v>0</v>
      </c>
      <c r="V62" s="13"/>
      <c r="W62" s="138"/>
      <c r="X62" s="17"/>
      <c r="Y62" s="14"/>
      <c r="AA62" s="18"/>
      <c r="AB62" s="1">
        <f>IF(AND(AB47 = 1, AG47 = 1), 1, 0)</f>
        <v>0</v>
      </c>
      <c r="AC62" s="12"/>
      <c r="AD62" s="12"/>
      <c r="AE62" s="12"/>
      <c r="AF62" s="22"/>
      <c r="AG62" s="22"/>
      <c r="AH62" s="22"/>
      <c r="AI62" s="37"/>
    </row>
    <row r="63" spans="7:35" ht="15" customHeight="1" x14ac:dyDescent="0.25">
      <c r="G63" s="16"/>
      <c r="H63" s="18"/>
      <c r="I63" s="12"/>
      <c r="J63" s="12"/>
      <c r="K63" s="12"/>
      <c r="L63" s="12"/>
      <c r="M63" s="17"/>
      <c r="N63" s="14"/>
      <c r="O63" s="14"/>
      <c r="Q63" s="16"/>
      <c r="R63" s="15"/>
      <c r="S63" s="1">
        <f>IF(AND(T60 = 1, U60 = 1), 1, 0)</f>
        <v>0</v>
      </c>
      <c r="T63" s="1">
        <f>IF(AND(S60 = 1, U62 = 1), 1, 0)</f>
        <v>0</v>
      </c>
      <c r="U63" s="12"/>
      <c r="V63" s="13"/>
      <c r="W63" s="139"/>
      <c r="X63" s="17"/>
      <c r="Y63" s="14"/>
      <c r="AA63" s="18"/>
      <c r="AB63" s="12"/>
      <c r="AC63" s="1">
        <f>IF(AND(AB48 = 1, AD63 = 1), 1, 0)</f>
        <v>1</v>
      </c>
      <c r="AD63" s="1">
        <f>IF(AG47 = 1, 0, 1)</f>
        <v>1</v>
      </c>
      <c r="AE63" s="12"/>
      <c r="AF63" s="22"/>
      <c r="AG63" s="22"/>
      <c r="AH63" s="22"/>
      <c r="AI63" s="37"/>
    </row>
    <row r="64" spans="7:35" ht="15" customHeight="1" x14ac:dyDescent="0.25">
      <c r="G64" s="16"/>
      <c r="H64" s="18"/>
      <c r="I64" s="1">
        <f>IF(OR(I61 = 1, J62 =1), 1, 0)</f>
        <v>0</v>
      </c>
      <c r="J64" s="12"/>
      <c r="K64" s="12"/>
      <c r="L64" s="12"/>
      <c r="M64" s="17"/>
      <c r="N64" s="14"/>
      <c r="O64" s="14"/>
      <c r="Q64" s="16"/>
      <c r="R64" s="15"/>
      <c r="S64" s="12"/>
      <c r="T64" s="12"/>
      <c r="U64" s="1">
        <f>IF(_xlfn.XOR(S60 = 1, U62 = 1), 1, 0)</f>
        <v>0</v>
      </c>
      <c r="V64" s="13"/>
      <c r="W64" s="14"/>
      <c r="X64" s="17"/>
      <c r="Y64" s="14"/>
      <c r="AA64" s="18"/>
      <c r="AB64" s="1">
        <f>IF(OR(AB62 = 1, AC63 =1), 1, 0)</f>
        <v>1</v>
      </c>
      <c r="AC64" s="12"/>
      <c r="AD64" s="12"/>
      <c r="AE64" s="12"/>
      <c r="AF64" s="22"/>
      <c r="AG64" s="22"/>
      <c r="AH64" s="22"/>
      <c r="AI64" s="37"/>
    </row>
    <row r="65" spans="4:58" ht="15" customHeight="1" x14ac:dyDescent="0.25">
      <c r="G65" s="16"/>
      <c r="H65" s="44"/>
      <c r="I65" s="17"/>
      <c r="J65" s="17"/>
      <c r="K65" s="17"/>
      <c r="L65" s="17"/>
      <c r="M65" s="17"/>
      <c r="N65" s="14"/>
      <c r="O65" s="14"/>
      <c r="Q65" s="16"/>
      <c r="R65" s="15"/>
      <c r="S65" s="12"/>
      <c r="T65" s="1">
        <f>IF(OR(S63 = 1, T63 =1), 1, 0)</f>
        <v>0</v>
      </c>
      <c r="U65" s="12"/>
      <c r="V65" s="13"/>
      <c r="W65" s="14"/>
      <c r="X65" s="17"/>
      <c r="Y65" s="14"/>
      <c r="AA65" s="18"/>
      <c r="AB65" s="22"/>
      <c r="AC65" s="22"/>
      <c r="AD65" s="22"/>
      <c r="AE65" s="22"/>
      <c r="AF65" s="22"/>
      <c r="AG65" s="22"/>
      <c r="AH65" s="22"/>
      <c r="AI65" s="37"/>
    </row>
    <row r="66" spans="4:58" ht="15" customHeight="1" x14ac:dyDescent="0.25">
      <c r="G66" s="16"/>
      <c r="H66" s="31"/>
      <c r="I66" s="28">
        <f>I64</f>
        <v>0</v>
      </c>
      <c r="J66" s="27" t="s">
        <v>7</v>
      </c>
      <c r="K66" s="28">
        <f>L59</f>
        <v>0</v>
      </c>
      <c r="L66" s="27" t="s">
        <v>16</v>
      </c>
      <c r="M66" s="32"/>
      <c r="N66" s="29"/>
      <c r="O66" s="14"/>
      <c r="Q66" s="16"/>
      <c r="R66" s="15"/>
      <c r="S66" s="13"/>
      <c r="T66" s="13"/>
      <c r="U66" s="13"/>
      <c r="V66" s="13"/>
      <c r="W66" s="14"/>
      <c r="X66" s="17"/>
      <c r="Y66" s="14"/>
      <c r="AA66" s="40"/>
      <c r="AB66" s="46">
        <f>AB64</f>
        <v>1</v>
      </c>
      <c r="AC66" s="46">
        <f>AB60</f>
        <v>0</v>
      </c>
      <c r="AD66" s="46">
        <f>AB56</f>
        <v>1</v>
      </c>
      <c r="AE66" s="46">
        <f>AB52</f>
        <v>0</v>
      </c>
      <c r="AF66" s="27" t="s">
        <v>16</v>
      </c>
      <c r="AG66" s="39"/>
      <c r="AH66" s="39"/>
      <c r="AI66" s="41"/>
    </row>
    <row r="67" spans="4:58" ht="15" customHeight="1" x14ac:dyDescent="0.25">
      <c r="G67" s="16"/>
      <c r="H67" s="17"/>
      <c r="I67" s="17"/>
      <c r="J67" s="17"/>
      <c r="K67" s="17"/>
      <c r="L67" s="17"/>
      <c r="M67" s="17"/>
      <c r="N67" s="17"/>
      <c r="O67" s="14"/>
      <c r="Q67" s="16"/>
      <c r="R67" s="26"/>
      <c r="S67" s="27" t="s">
        <v>4</v>
      </c>
      <c r="T67" s="28">
        <f>T65</f>
        <v>0</v>
      </c>
      <c r="U67" s="28">
        <f>U64</f>
        <v>0</v>
      </c>
      <c r="V67" s="27" t="s">
        <v>16</v>
      </c>
      <c r="W67" s="29"/>
      <c r="X67" s="17"/>
      <c r="Y67" s="14"/>
    </row>
    <row r="68" spans="4:58" ht="15" customHeight="1" x14ac:dyDescent="0.25">
      <c r="G68" s="31"/>
      <c r="H68" s="28">
        <f>I66</f>
        <v>0</v>
      </c>
      <c r="I68" s="27" t="s">
        <v>7</v>
      </c>
      <c r="J68" s="28">
        <f>K66</f>
        <v>0</v>
      </c>
      <c r="K68" s="28">
        <f>K54</f>
        <v>0</v>
      </c>
      <c r="L68" s="28">
        <f>K42</f>
        <v>0</v>
      </c>
      <c r="M68" s="28">
        <f>K30</f>
        <v>0</v>
      </c>
      <c r="N68" s="27" t="s">
        <v>31</v>
      </c>
      <c r="O68" s="29"/>
      <c r="Q68" s="16"/>
      <c r="R68" s="17"/>
      <c r="S68" s="17"/>
      <c r="T68" s="17"/>
      <c r="U68" s="17"/>
      <c r="V68" s="17"/>
      <c r="W68" s="17"/>
      <c r="X68" s="17"/>
      <c r="Y68" s="14"/>
    </row>
    <row r="69" spans="4:58" ht="15" customHeight="1" x14ac:dyDescent="0.25">
      <c r="Q69" s="16"/>
      <c r="R69" s="17"/>
      <c r="S69" s="17"/>
      <c r="T69" s="17"/>
      <c r="U69" s="17"/>
      <c r="V69" s="17"/>
      <c r="W69" s="17"/>
      <c r="X69" s="17"/>
      <c r="Y69" s="14"/>
    </row>
    <row r="70" spans="4:58" ht="15" customHeight="1" x14ac:dyDescent="0.25">
      <c r="Q70" s="16"/>
      <c r="R70" s="17"/>
      <c r="S70" s="17"/>
      <c r="T70" s="17"/>
      <c r="U70" s="17"/>
      <c r="V70" s="17"/>
      <c r="W70" s="17"/>
      <c r="X70" s="17"/>
      <c r="Y70" s="14"/>
    </row>
    <row r="71" spans="4:58" ht="15" customHeight="1" x14ac:dyDescent="0.25">
      <c r="Q71" s="16"/>
      <c r="R71" s="1">
        <f>IF(_xlfn.XOR(T67 = 1, T57 = 1), 1, 0)</f>
        <v>0</v>
      </c>
      <c r="S71" s="128" t="s">
        <v>32</v>
      </c>
      <c r="T71" s="129"/>
      <c r="U71" s="17"/>
      <c r="V71" s="17"/>
      <c r="W71" s="17"/>
      <c r="X71" s="17"/>
      <c r="Y71" s="14"/>
    </row>
    <row r="72" spans="4:58" ht="15" customHeight="1" x14ac:dyDescent="0.25">
      <c r="Q72" s="31"/>
      <c r="R72" s="28">
        <f>T67</f>
        <v>0</v>
      </c>
      <c r="S72" s="125" t="s">
        <v>33</v>
      </c>
      <c r="T72" s="126"/>
      <c r="U72" s="28">
        <f>U67</f>
        <v>0</v>
      </c>
      <c r="V72" s="28">
        <f>U57</f>
        <v>0</v>
      </c>
      <c r="W72" s="28">
        <f>U47</f>
        <v>0</v>
      </c>
      <c r="X72" s="28">
        <f>U37</f>
        <v>0</v>
      </c>
      <c r="Y72" s="45" t="s">
        <v>31</v>
      </c>
    </row>
    <row r="78" spans="4:58" ht="15" customHeight="1" x14ac:dyDescent="0.25">
      <c r="E78" s="74" t="s">
        <v>66</v>
      </c>
      <c r="G78" t="s">
        <v>97</v>
      </c>
      <c r="Z78" t="s">
        <v>119</v>
      </c>
      <c r="AO78" t="s">
        <v>119</v>
      </c>
      <c r="AQ78" t="s">
        <v>126</v>
      </c>
    </row>
    <row r="79" spans="4:58" ht="15" customHeight="1" x14ac:dyDescent="0.25">
      <c r="D79" s="52"/>
      <c r="E79" s="48"/>
      <c r="F79" s="49"/>
      <c r="G79" s="93" t="s">
        <v>64</v>
      </c>
      <c r="H79" s="94" cm="1">
        <f t="array" aca="1" ref="H79" ca="1">INDIRECT(ADDRESS(J83 + H83, J84 + H84))</f>
        <v>1011</v>
      </c>
      <c r="I79" s="49"/>
      <c r="J79" s="49"/>
      <c r="K79" s="49"/>
      <c r="L79" s="49"/>
      <c r="M79" s="50"/>
      <c r="N79" s="52" t="s">
        <v>42</v>
      </c>
      <c r="Z79" s="48"/>
      <c r="AA79" s="49"/>
      <c r="AB79" s="49"/>
      <c r="AC79" s="49"/>
      <c r="AD79" s="49"/>
      <c r="AE79" s="49"/>
      <c r="AF79" s="49" t="s">
        <v>95</v>
      </c>
      <c r="AG79" s="49" t="s">
        <v>96</v>
      </c>
      <c r="AH79" s="49"/>
      <c r="AI79" s="49" t="s">
        <v>96</v>
      </c>
      <c r="AJ79" s="49" t="s">
        <v>95</v>
      </c>
      <c r="AK79" s="49"/>
      <c r="AL79" s="49"/>
      <c r="AM79" s="50"/>
      <c r="AO79" s="48"/>
      <c r="AP79" s="49"/>
      <c r="AQ79" s="49"/>
      <c r="AR79" s="49"/>
      <c r="AS79" s="49"/>
      <c r="AT79" s="49"/>
      <c r="AU79" s="49"/>
      <c r="AV79" s="49"/>
      <c r="AW79" s="49"/>
      <c r="AX79" s="49"/>
      <c r="AY79" s="49"/>
      <c r="AZ79" s="49"/>
      <c r="BA79" s="49"/>
      <c r="BB79" s="49"/>
      <c r="BC79" s="49"/>
      <c r="BD79" s="49"/>
      <c r="BE79" s="49"/>
      <c r="BF79" s="50"/>
    </row>
    <row r="80" spans="4:58" ht="15" customHeight="1" x14ac:dyDescent="0.25">
      <c r="D80" s="52"/>
      <c r="E80" s="51"/>
      <c r="F80" s="52"/>
      <c r="G80" s="122" t="s">
        <v>49</v>
      </c>
      <c r="H80" s="123"/>
      <c r="I80" s="123"/>
      <c r="J80" s="124"/>
      <c r="K80" s="52"/>
      <c r="L80" s="52"/>
      <c r="M80" s="53"/>
      <c r="N80" s="49"/>
      <c r="O80" s="49"/>
      <c r="P80" s="49" t="s">
        <v>49</v>
      </c>
      <c r="Q80" s="49"/>
      <c r="R80" s="49"/>
      <c r="S80" s="49"/>
      <c r="T80" s="49"/>
      <c r="U80" s="49"/>
      <c r="V80" s="49"/>
      <c r="W80" s="49"/>
      <c r="X80" s="50"/>
      <c r="Z80" s="51"/>
      <c r="AA80" s="52"/>
      <c r="AB80" s="52"/>
      <c r="AD80" s="95" t="s">
        <v>80</v>
      </c>
      <c r="AE80" s="95"/>
      <c r="AF80" s="95" t="str">
        <f ca="1">AL83</f>
        <v>0000</v>
      </c>
      <c r="AG80" s="95" t="str">
        <f ca="1">AJ83</f>
        <v>0101</v>
      </c>
      <c r="AH80" s="95" t="s">
        <v>81</v>
      </c>
      <c r="AI80" s="95">
        <f ca="1">VALUE(BIN2DEC(AG80) + 1)</f>
        <v>6</v>
      </c>
      <c r="AJ80" s="95">
        <f ca="1">VALUE(BIN2DEC(AF80) + 1)</f>
        <v>1</v>
      </c>
      <c r="AK80" s="52"/>
      <c r="AM80" s="53"/>
      <c r="AO80" s="167" t="s">
        <v>96</v>
      </c>
      <c r="AP80" s="168"/>
      <c r="AQ80" s="168"/>
      <c r="AR80" s="168"/>
      <c r="AS80" s="168"/>
      <c r="AT80" s="168"/>
      <c r="AU80" s="168"/>
      <c r="AV80" s="169"/>
      <c r="AW80" s="167" t="s">
        <v>95</v>
      </c>
      <c r="AX80" s="168"/>
      <c r="AY80" s="168"/>
      <c r="AZ80" s="168"/>
      <c r="BA80" s="168"/>
      <c r="BB80" s="168"/>
      <c r="BC80" s="168"/>
      <c r="BD80" s="169"/>
      <c r="BE80" s="52"/>
      <c r="BF80" s="53"/>
    </row>
    <row r="81" spans="4:58" ht="15" customHeight="1" x14ac:dyDescent="0.25">
      <c r="D81" s="52"/>
      <c r="E81" s="51"/>
      <c r="F81" s="52"/>
      <c r="G81" s="78">
        <v>1011</v>
      </c>
      <c r="H81" s="79" t="s">
        <v>70</v>
      </c>
      <c r="I81" s="79" t="s">
        <v>71</v>
      </c>
      <c r="J81" s="80" t="s">
        <v>73</v>
      </c>
      <c r="K81" s="52"/>
      <c r="L81" s="52"/>
      <c r="M81" s="53"/>
      <c r="N81" s="52"/>
      <c r="O81" s="52"/>
      <c r="P81" s="52">
        <v>1</v>
      </c>
      <c r="Q81" s="52">
        <v>1</v>
      </c>
      <c r="R81" s="52">
        <v>1</v>
      </c>
      <c r="S81" s="52">
        <v>0</v>
      </c>
      <c r="T81" s="52" t="s">
        <v>45</v>
      </c>
      <c r="U81" s="52"/>
      <c r="V81" s="52" cm="1">
        <f t="array" aca="1" ref="V81" ca="1">INDIRECT(ADDRESS(U84, U83 + R85))</f>
        <v>1</v>
      </c>
      <c r="W81" s="52" t="s">
        <v>46</v>
      </c>
      <c r="X81" s="53"/>
      <c r="Z81" s="51"/>
      <c r="AA81" s="86" t="s">
        <v>90</v>
      </c>
      <c r="AB81" s="52" t="str">
        <f>_xlfn.CONCAT(AA82,AB82)</f>
        <v>10</v>
      </c>
      <c r="AC81" s="52"/>
      <c r="AD81" s="52">
        <v>1</v>
      </c>
      <c r="AE81" s="52">
        <v>0</v>
      </c>
      <c r="AF81" s="52">
        <v>1</v>
      </c>
      <c r="AG81" s="52">
        <v>0</v>
      </c>
      <c r="AH81" s="86" t="s">
        <v>91</v>
      </c>
      <c r="AI81" s="52"/>
      <c r="AJ81" s="52"/>
      <c r="AK81" s="52"/>
      <c r="AL81" s="52"/>
      <c r="AM81" s="53"/>
      <c r="AO81" s="114">
        <v>0</v>
      </c>
      <c r="AP81" s="115">
        <v>0</v>
      </c>
      <c r="AQ81" s="115">
        <v>0</v>
      </c>
      <c r="AR81" s="115">
        <v>0</v>
      </c>
      <c r="AS81" s="115">
        <v>0</v>
      </c>
      <c r="AT81" s="115">
        <v>0</v>
      </c>
      <c r="AU81" s="115">
        <v>0</v>
      </c>
      <c r="AV81" s="115">
        <v>0</v>
      </c>
      <c r="AW81" s="115">
        <v>0</v>
      </c>
      <c r="AX81" s="115">
        <v>0</v>
      </c>
      <c r="AY81" s="115">
        <v>0</v>
      </c>
      <c r="AZ81" s="115">
        <v>0</v>
      </c>
      <c r="BA81" s="115">
        <v>0</v>
      </c>
      <c r="BB81" s="115">
        <v>0</v>
      </c>
      <c r="BC81" s="115">
        <v>0</v>
      </c>
      <c r="BD81" s="117">
        <v>1</v>
      </c>
      <c r="BE81" s="167" t="s">
        <v>91</v>
      </c>
      <c r="BF81" s="169"/>
    </row>
    <row r="82" spans="4:58" ht="15" customHeight="1" x14ac:dyDescent="0.25">
      <c r="E82" s="51"/>
      <c r="F82" s="52"/>
      <c r="G82" s="83" t="s">
        <v>67</v>
      </c>
      <c r="H82" s="84" t="s">
        <v>68</v>
      </c>
      <c r="I82" s="81" t="s">
        <v>72</v>
      </c>
      <c r="J82" s="82" t="s">
        <v>74</v>
      </c>
      <c r="K82" s="52"/>
      <c r="L82" s="52"/>
      <c r="M82" s="53"/>
      <c r="N82" s="52"/>
      <c r="O82" s="52"/>
      <c r="P82" s="52"/>
      <c r="Q82" s="52"/>
      <c r="R82" s="52"/>
      <c r="S82" s="52"/>
      <c r="T82" s="52"/>
      <c r="U82" s="52"/>
      <c r="V82" s="52"/>
      <c r="W82" s="52"/>
      <c r="X82" s="53"/>
      <c r="Z82" s="97" t="s">
        <v>94</v>
      </c>
      <c r="AA82" s="58">
        <v>1</v>
      </c>
      <c r="AB82" s="58">
        <v>0</v>
      </c>
      <c r="AC82" s="52"/>
      <c r="AD82" s="58" t="str">
        <f ca="1">IF(AB81 = "10", AD83, IF(AB81 = "00", AD81, IF(AB81 = "01", AD81, IF(AB81 = "11", AD81, AD82))))</f>
        <v>0</v>
      </c>
      <c r="AE82" s="58" t="str">
        <f ca="1">IF(AB81 = "10", AE83, IF(AB81 = "00", AE81, IF(AB81 = "01", AE81, IF(AB81 = "11", AE81, AE82))))</f>
        <v/>
      </c>
      <c r="AF82" s="58" t="str">
        <f ca="1">IF(AB81 = "10", AF83, IF(AB81 = "00", AF81, IF(AB81 = "01", AF81, IF(AB81 = "11", AF81, AF82))))</f>
        <v/>
      </c>
      <c r="AG82" s="58" t="str">
        <f ca="1">IF(AB81 = "10", AG83, IF(AB81 = "00", AG81, IF(AB81 = "01", AG81, IF(AB81 = "11", AG81, AG82))))</f>
        <v/>
      </c>
      <c r="AH82" s="86" t="s">
        <v>92</v>
      </c>
      <c r="AI82" s="52"/>
      <c r="AJ82" s="52"/>
      <c r="AK82" s="52"/>
      <c r="AL82" s="52"/>
      <c r="AM82" s="53"/>
      <c r="AO82" s="111" t="str">
        <f t="shared" ref="AO82:BD82" ca="1" si="0">IF(OPBITS = "10", AO83, IF(OR(OPBITS = "00", OPBITS = "01"), AO81, IF(OPBITS = "11", AO81, AO82)))</f>
        <v>0</v>
      </c>
      <c r="AP82" s="112" t="str">
        <f t="shared" ca="1" si="0"/>
        <v>0</v>
      </c>
      <c r="AQ82" s="112" t="str">
        <f t="shared" ca="1" si="0"/>
        <v>0</v>
      </c>
      <c r="AR82" s="112" t="str">
        <f t="shared" ca="1" si="0"/>
        <v>0</v>
      </c>
      <c r="AS82" s="112" t="str">
        <f t="shared" ca="1" si="0"/>
        <v>0</v>
      </c>
      <c r="AT82" s="112" t="str">
        <f t="shared" ca="1" si="0"/>
        <v>0</v>
      </c>
      <c r="AU82" s="112" t="str">
        <f t="shared" ca="1" si="0"/>
        <v>0</v>
      </c>
      <c r="AV82" s="118" t="str">
        <f t="shared" ca="1" si="0"/>
        <v>0</v>
      </c>
      <c r="AW82" s="119" t="str">
        <f t="shared" ca="1" si="0"/>
        <v>0</v>
      </c>
      <c r="AX82" s="113" t="str">
        <f t="shared" ca="1" si="0"/>
        <v>0</v>
      </c>
      <c r="AY82" s="113" t="str">
        <f t="shared" ca="1" si="0"/>
        <v>0</v>
      </c>
      <c r="AZ82" s="113" t="str">
        <f t="shared" ca="1" si="0"/>
        <v>0</v>
      </c>
      <c r="BA82" s="113" t="str">
        <f t="shared" ca="1" si="0"/>
        <v>0</v>
      </c>
      <c r="BB82" s="113" t="str">
        <f t="shared" ca="1" si="0"/>
        <v>0</v>
      </c>
      <c r="BC82" s="113" t="str">
        <f t="shared" ca="1" si="0"/>
        <v>0</v>
      </c>
      <c r="BD82" s="113" t="str">
        <f t="shared" ca="1" si="0"/>
        <v>1</v>
      </c>
      <c r="BE82" s="167" t="s">
        <v>92</v>
      </c>
      <c r="BF82" s="169"/>
    </row>
    <row r="83" spans="4:58" ht="15" customHeight="1" x14ac:dyDescent="0.25">
      <c r="E83" s="76" t="s">
        <v>60</v>
      </c>
      <c r="F83" s="85" t="s">
        <v>69</v>
      </c>
      <c r="G83" s="48" t="s">
        <v>56</v>
      </c>
      <c r="H83" s="77">
        <f>BIN2DEC(F83)</f>
        <v>0</v>
      </c>
      <c r="I83" s="77" t="s">
        <v>58</v>
      </c>
      <c r="J83" s="50">
        <v>81</v>
      </c>
      <c r="K83" s="52"/>
      <c r="L83" s="52"/>
      <c r="M83" s="53"/>
      <c r="N83" s="52"/>
      <c r="O83" s="52"/>
      <c r="P83" s="52">
        <v>1010</v>
      </c>
      <c r="Q83" s="52" t="s">
        <v>41</v>
      </c>
      <c r="R83" s="52"/>
      <c r="S83" s="52"/>
      <c r="T83" s="52"/>
      <c r="U83" s="52">
        <v>15</v>
      </c>
      <c r="V83" s="52" t="s">
        <v>43</v>
      </c>
      <c r="W83" s="52"/>
      <c r="X83" s="53"/>
      <c r="Z83" s="51"/>
      <c r="AA83" s="52"/>
      <c r="AB83" s="52"/>
      <c r="AC83" s="52"/>
      <c r="AD83" s="58" t="str" cm="1">
        <f t="array" aca="1" ref="AD83" ca="1">LEFT(INDIRECT("RAM!" &amp; ADDRESS(AJ80,AI80)))</f>
        <v>0</v>
      </c>
      <c r="AE83" s="58" t="str" cm="1">
        <f t="array" aca="1" ref="AE83" ca="1">MID(INDIRECT("RAM!" &amp; ADDRESS(AJ80,AI80)), 2, 1)</f>
        <v/>
      </c>
      <c r="AF83" s="58" t="str" cm="1">
        <f t="array" aca="1" ref="AF83" ca="1">MID(INDIRECT("RAM!" &amp; ADDRESS(AJ80, AI80)), 3, 1)</f>
        <v/>
      </c>
      <c r="AG83" s="58" t="str" cm="1">
        <f t="array" aca="1" ref="AG83" ca="1">MID(INDIRECT("RAM!" &amp; ADDRESS(AJ80, AI80)), 4, 1)</f>
        <v/>
      </c>
      <c r="AH83" s="86" t="s">
        <v>93</v>
      </c>
      <c r="AI83" s="52"/>
      <c r="AJ83" s="100" t="str">
        <f ca="1">IF(AND(AA82 = 0, AB82 = 0), _xlfn.CONCAT(AD82,AE82,AF82,AG82), AJ83)</f>
        <v>0101</v>
      </c>
      <c r="AK83" s="86" t="s">
        <v>98</v>
      </c>
      <c r="AL83" s="100" t="str">
        <f ca="1">IF(AND(AA82 = 0, AB82 = 1), _xlfn.CONCAT(AD82,AE82,AF82,AG82), AL83)</f>
        <v>0000</v>
      </c>
      <c r="AM83" s="110" t="s">
        <v>99</v>
      </c>
      <c r="AO83" s="114" t="str" cm="1">
        <f t="array" aca="1" ref="AO83" ca="1">LEFT(INDIRECT("RAM!" &amp; ADDRESS(XDEC,YDEC)))</f>
        <v>0</v>
      </c>
      <c r="AP83" s="115" t="str" cm="1">
        <f t="array" aca="1" ref="AP83" ca="1">MID(INDIRECT("RAM!" &amp; ADDRESS(XDEC, YDEC)), 2, 1)</f>
        <v>0</v>
      </c>
      <c r="AQ83" s="115" t="str" cm="1">
        <f t="array" aca="1" ref="AQ83" ca="1">MID(INDIRECT("RAM!" &amp; ADDRESS(XDEC, YDEC)), 3, 1)</f>
        <v>0</v>
      </c>
      <c r="AR83" s="116" t="str" cm="1">
        <f t="array" aca="1" ref="AR83" ca="1">MID(INDIRECT("RAM!" &amp; ADDRESS(XDEC, YDEC)), 4, 1)</f>
        <v>0</v>
      </c>
      <c r="AS83" s="116" t="str" cm="1">
        <f t="array" aca="1" ref="AS83" ca="1">MID(INDIRECT("RAM!" &amp; ADDRESS(XDEC, YDEC)), 5, 1)</f>
        <v>0</v>
      </c>
      <c r="AT83" s="116" t="str" cm="1">
        <f t="array" aca="1" ref="AT83" ca="1">MID(INDIRECT("RAM!" &amp; ADDRESS(XDEC, YDEC)), 6, 1)</f>
        <v>0</v>
      </c>
      <c r="AU83" s="115" t="str" cm="1">
        <f t="array" aca="1" ref="AU83" ca="1">MID(INDIRECT("RAM!" &amp; ADDRESS(XDEC, YDEC)), 7, 1)</f>
        <v>0</v>
      </c>
      <c r="AV83" s="115" t="str" cm="1">
        <f t="array" aca="1" ref="AV83" ca="1">MID(INDIRECT("RAM!" &amp; ADDRESS(XDEC, YDEC)), 8, 1)</f>
        <v>0</v>
      </c>
      <c r="AW83" s="115" t="str" cm="1">
        <f t="array" aca="1" ref="AW83" ca="1">MID(INDIRECT("RAM!" &amp; ADDRESS(XDEC, YDEC)), 9, 1)</f>
        <v>0</v>
      </c>
      <c r="AX83" s="115" t="str" cm="1">
        <f t="array" aca="1" ref="AX83" ca="1">MID(INDIRECT("RAM!" &amp; ADDRESS(XDEC, YDEC)), 10, 1)</f>
        <v>0</v>
      </c>
      <c r="AY83" s="115" t="str" cm="1">
        <f t="array" aca="1" ref="AY83" ca="1">MID(INDIRECT("RAM!" &amp; ADDRESS(XDEC, YDEC)), 11, 1)</f>
        <v>0</v>
      </c>
      <c r="AZ83" s="115" t="str" cm="1">
        <f t="array" aca="1" ref="AZ83" ca="1">MID(INDIRECT("RAM!" &amp; ADDRESS(XDEC, YDEC)), 12, 1)</f>
        <v>0</v>
      </c>
      <c r="BA83" s="115" t="str" cm="1">
        <f t="array" aca="1" ref="BA83" ca="1">MID(INDIRECT("RAM!" &amp; ADDRESS(XDEC, YDEC)), 13, 1)</f>
        <v>0</v>
      </c>
      <c r="BB83" s="115" t="str" cm="1">
        <f t="array" aca="1" ref="BB83" ca="1">MID(INDIRECT("RAM!" &amp; ADDRESS(XDEC, YDEC)), 14, 1)</f>
        <v>0</v>
      </c>
      <c r="BC83" s="115" t="str" cm="1">
        <f t="array" aca="1" ref="BC83" ca="1">MID(INDIRECT("RAM!" &amp; ADDRESS(XDEC, YDEC)), 15, 1)</f>
        <v>0</v>
      </c>
      <c r="BD83" s="117" t="str" cm="1">
        <f t="array" aca="1" ref="BD83" ca="1">MID(INDIRECT("RAM!" &amp; ADDRESS(XDEC, YDEC)), 16, 1)</f>
        <v>1</v>
      </c>
      <c r="BE83" s="167" t="s">
        <v>93</v>
      </c>
      <c r="BF83" s="169"/>
    </row>
    <row r="84" spans="4:58" ht="15" customHeight="1" x14ac:dyDescent="0.25">
      <c r="E84" s="75" t="s">
        <v>61</v>
      </c>
      <c r="F84" s="80" t="s">
        <v>69</v>
      </c>
      <c r="G84" s="51" t="s">
        <v>57</v>
      </c>
      <c r="H84" s="52">
        <f>BIN2DEC(F84)</f>
        <v>0</v>
      </c>
      <c r="I84" s="72" t="s">
        <v>59</v>
      </c>
      <c r="J84" s="53">
        <v>7</v>
      </c>
      <c r="K84" s="52"/>
      <c r="L84" s="52"/>
      <c r="M84" s="53"/>
      <c r="N84" s="52"/>
      <c r="O84" s="52"/>
      <c r="P84" s="52"/>
      <c r="Q84" s="52"/>
      <c r="R84" s="52"/>
      <c r="S84" s="52"/>
      <c r="T84" s="52"/>
      <c r="U84" s="52">
        <v>81</v>
      </c>
      <c r="V84" s="52" t="s">
        <v>44</v>
      </c>
      <c r="W84" s="52"/>
      <c r="X84" s="53"/>
      <c r="Z84" s="51"/>
      <c r="AA84" s="52"/>
      <c r="AB84" s="52"/>
      <c r="AC84" s="52"/>
      <c r="AD84" s="52"/>
      <c r="AE84" s="52" t="s">
        <v>120</v>
      </c>
      <c r="AF84" s="52"/>
      <c r="AG84" s="52"/>
      <c r="AH84" s="52"/>
      <c r="AI84" s="52"/>
      <c r="AJ84" s="52"/>
      <c r="AK84" s="52"/>
      <c r="AL84" s="52"/>
      <c r="AM84" s="53"/>
      <c r="AO84" s="51"/>
      <c r="AP84" s="52"/>
      <c r="AQ84" s="52"/>
      <c r="AR84" s="87"/>
      <c r="AS84" s="87"/>
      <c r="AT84" s="87"/>
      <c r="AU84" s="52"/>
      <c r="AV84" s="52"/>
      <c r="AW84" s="52"/>
      <c r="AX84" s="52"/>
      <c r="AY84" s="52"/>
      <c r="AZ84" s="52"/>
      <c r="BA84" s="52"/>
      <c r="BB84" s="52"/>
      <c r="BC84" s="52"/>
      <c r="BD84" s="52"/>
      <c r="BE84" s="52"/>
      <c r="BF84" s="53"/>
    </row>
    <row r="85" spans="4:58" ht="15" customHeight="1" x14ac:dyDescent="0.25">
      <c r="E85" s="120" t="s">
        <v>62</v>
      </c>
      <c r="F85" s="121"/>
      <c r="G85" s="120" t="s">
        <v>63</v>
      </c>
      <c r="H85" s="140"/>
      <c r="I85" s="140"/>
      <c r="J85" s="141"/>
      <c r="K85" s="52"/>
      <c r="L85" s="52"/>
      <c r="M85" s="53"/>
      <c r="N85" s="52" t="s">
        <v>47</v>
      </c>
      <c r="O85" s="52"/>
      <c r="P85" s="52" t="str">
        <f ca="1">MID(P83, R85, 1)</f>
        <v>1</v>
      </c>
      <c r="Q85" s="52"/>
      <c r="R85" s="52">
        <f ca="1">IF(CLOCK = 1, IF(R85 = (LEN(P83) + 1), 1, R85 + 1),  R85)</f>
        <v>4</v>
      </c>
      <c r="S85" s="52" t="s">
        <v>48</v>
      </c>
      <c r="T85" s="52"/>
      <c r="U85" s="52"/>
      <c r="V85" s="52"/>
      <c r="W85" s="52"/>
      <c r="X85" s="53"/>
      <c r="Z85" s="51"/>
      <c r="AA85" s="52"/>
      <c r="AB85" s="52"/>
      <c r="AC85" s="52"/>
      <c r="AD85" s="52"/>
      <c r="AE85" s="52"/>
      <c r="AF85" s="52"/>
      <c r="AG85" s="52"/>
      <c r="AH85" s="52"/>
      <c r="AI85" s="52"/>
      <c r="AJ85" s="52"/>
      <c r="AK85" s="52"/>
      <c r="AL85" s="52"/>
      <c r="AM85" s="53"/>
      <c r="AO85" s="51"/>
      <c r="AP85" s="52"/>
      <c r="AQ85" s="52"/>
      <c r="AR85" s="87"/>
      <c r="AS85" s="87"/>
      <c r="AT85" s="87"/>
      <c r="AU85" s="188" t="s">
        <v>121</v>
      </c>
      <c r="AV85" s="189"/>
      <c r="AW85" s="188" t="s">
        <v>122</v>
      </c>
      <c r="AX85" s="189"/>
      <c r="AY85" s="52"/>
      <c r="AZ85" s="52"/>
      <c r="BA85" s="52"/>
      <c r="BB85" s="52"/>
      <c r="BC85" s="52"/>
      <c r="BD85" s="52"/>
      <c r="BE85" s="52"/>
      <c r="BF85" s="53"/>
    </row>
    <row r="86" spans="4:58" ht="15" customHeight="1" x14ac:dyDescent="0.25">
      <c r="D86" s="52"/>
      <c r="E86" s="51"/>
      <c r="F86" s="52"/>
      <c r="G86" s="95" t="s">
        <v>80</v>
      </c>
      <c r="H86" s="95"/>
      <c r="I86" s="95">
        <f>VALUE(_xlfn.CONCAT(H87,I87))</f>
        <v>0</v>
      </c>
      <c r="J86" s="95">
        <f>VALUE(_xlfn.CONCAT(J87,K87))</f>
        <v>0</v>
      </c>
      <c r="K86" s="95" t="s">
        <v>81</v>
      </c>
      <c r="L86" s="95">
        <f>VALUE(BIN2DEC(I86))</f>
        <v>0</v>
      </c>
      <c r="M86" s="96">
        <f>VALUE(BIN2DEC(J86))</f>
        <v>0</v>
      </c>
      <c r="N86" s="52"/>
      <c r="O86" s="52"/>
      <c r="P86" s="52"/>
      <c r="Q86" s="52"/>
      <c r="R86" s="52"/>
      <c r="S86" s="52"/>
      <c r="T86" s="52"/>
      <c r="U86" s="52"/>
      <c r="V86" s="52"/>
      <c r="W86" s="52"/>
      <c r="X86" s="53"/>
      <c r="Z86" s="51"/>
      <c r="AA86" s="52"/>
      <c r="AB86" s="52"/>
      <c r="AC86" s="52"/>
      <c r="AD86" s="52"/>
      <c r="AE86" s="52"/>
      <c r="AF86" s="52"/>
      <c r="AG86" s="52"/>
      <c r="AH86" s="52"/>
      <c r="AI86" s="52"/>
      <c r="AJ86" s="52"/>
      <c r="AK86" s="52"/>
      <c r="AL86" s="52"/>
      <c r="AM86" s="53"/>
      <c r="AO86" s="51"/>
      <c r="AP86" s="52"/>
      <c r="AQ86" s="52"/>
      <c r="AR86" s="52"/>
      <c r="AS86" s="52"/>
      <c r="AT86" s="52"/>
      <c r="AU86" s="186">
        <f ca="1">VALUE(BIN2DEC(AU88) + 1)</f>
        <v>1</v>
      </c>
      <c r="AV86" s="187"/>
      <c r="AW86" s="186">
        <f ca="1">VALUE(BIN2DEC(AW88) + 1)</f>
        <v>1</v>
      </c>
      <c r="AX86" s="187"/>
      <c r="AY86" s="52"/>
      <c r="AZ86" s="52"/>
      <c r="BA86" s="52"/>
      <c r="BB86" s="52"/>
      <c r="BC86" s="52"/>
      <c r="BD86" s="52"/>
      <c r="BE86" s="52"/>
      <c r="BF86" s="53"/>
    </row>
    <row r="87" spans="4:58" ht="15" customHeight="1" x14ac:dyDescent="0.25">
      <c r="D87" s="52"/>
      <c r="E87" s="97" t="s">
        <v>75</v>
      </c>
      <c r="F87" s="58">
        <v>0</v>
      </c>
      <c r="G87" s="86" t="s">
        <v>76</v>
      </c>
      <c r="H87" s="58">
        <v>0</v>
      </c>
      <c r="I87" s="58">
        <v>0</v>
      </c>
      <c r="J87" s="58">
        <v>0</v>
      </c>
      <c r="K87" s="58">
        <v>0</v>
      </c>
      <c r="L87" s="52"/>
      <c r="M87" s="53"/>
      <c r="N87" s="52"/>
      <c r="O87" s="52"/>
      <c r="P87" s="52">
        <v>1</v>
      </c>
      <c r="Q87" s="52" t="s">
        <v>38</v>
      </c>
      <c r="R87" s="52"/>
      <c r="S87" s="52"/>
      <c r="T87" s="52"/>
      <c r="U87" s="52" t="str">
        <f>_xlfn.CONCAT(P81,Q81,R81,S81)</f>
        <v>1110</v>
      </c>
      <c r="V87" s="73" t="s">
        <v>65</v>
      </c>
      <c r="W87" s="52"/>
      <c r="X87" s="53"/>
      <c r="Z87" s="102" t="s">
        <v>86</v>
      </c>
      <c r="AA87" s="170" t="s">
        <v>82</v>
      </c>
      <c r="AB87" s="171"/>
      <c r="AC87" s="52"/>
      <c r="AD87" s="52"/>
      <c r="AE87" s="52"/>
      <c r="AF87" s="52"/>
      <c r="AG87" s="52"/>
      <c r="AH87" s="52"/>
      <c r="AI87" s="52"/>
      <c r="AJ87" s="52"/>
      <c r="AK87" s="52"/>
      <c r="AL87" s="52"/>
      <c r="AM87" s="53"/>
      <c r="AO87" s="51"/>
      <c r="AP87" s="52"/>
      <c r="AQ87" s="52"/>
      <c r="AR87" s="52"/>
      <c r="AS87" s="52"/>
      <c r="AT87" s="52"/>
      <c r="AU87" s="188" t="s">
        <v>123</v>
      </c>
      <c r="AV87" s="189"/>
      <c r="AW87" s="188" t="s">
        <v>124</v>
      </c>
      <c r="AX87" s="189"/>
      <c r="AY87" s="52"/>
      <c r="AZ87" s="52"/>
      <c r="BA87" s="52"/>
      <c r="BB87" s="52"/>
      <c r="BC87" s="52"/>
      <c r="BD87" s="52"/>
      <c r="BE87" s="52"/>
      <c r="BF87" s="53"/>
    </row>
    <row r="88" spans="4:58" ht="15" customHeight="1" x14ac:dyDescent="0.25">
      <c r="D88" s="52"/>
      <c r="E88" s="51"/>
      <c r="F88" s="52"/>
      <c r="G88" s="86" t="s">
        <v>77</v>
      </c>
      <c r="H88" s="58">
        <v>0</v>
      </c>
      <c r="I88" s="58">
        <v>0</v>
      </c>
      <c r="J88" s="58">
        <v>0</v>
      </c>
      <c r="K88" s="58">
        <v>0</v>
      </c>
      <c r="L88" s="52"/>
      <c r="M88" s="53"/>
      <c r="N88" s="52"/>
      <c r="O88" s="52"/>
      <c r="P88" s="52"/>
      <c r="Q88" s="52"/>
      <c r="R88" s="52"/>
      <c r="S88" s="52"/>
      <c r="T88" s="52"/>
      <c r="U88" s="52">
        <f>BIN2DEC(U87)</f>
        <v>14</v>
      </c>
      <c r="V88" s="88" t="s">
        <v>79</v>
      </c>
      <c r="W88" s="52"/>
      <c r="X88" s="53"/>
      <c r="Z88" s="103" t="s">
        <v>87</v>
      </c>
      <c r="AA88" s="172" t="s">
        <v>83</v>
      </c>
      <c r="AB88" s="173"/>
      <c r="AC88" s="52"/>
      <c r="AD88" s="52"/>
      <c r="AE88" s="52"/>
      <c r="AF88" s="52"/>
      <c r="AG88" s="52"/>
      <c r="AH88" s="52"/>
      <c r="AI88" s="52"/>
      <c r="AJ88" s="52"/>
      <c r="AK88" s="52"/>
      <c r="AL88" s="52"/>
      <c r="AM88" s="53"/>
      <c r="AO88" s="51"/>
      <c r="AP88" s="52"/>
      <c r="AQ88" s="52"/>
      <c r="AR88" s="52"/>
      <c r="AS88" s="52"/>
      <c r="AT88" s="52"/>
      <c r="AU88" s="186" t="str">
        <f ca="1">IF(AND(AU90 = 0, AW90 = 0), _xlfn.CONCAT(AO82:AV82), AU88)</f>
        <v>00000000</v>
      </c>
      <c r="AV88" s="187"/>
      <c r="AW88" s="186" t="str">
        <f ca="1">IF(AND(AU90 = 0, AW90 = 1), _xlfn.CONCAT(AW82:BD82), AW88)</f>
        <v>00000000</v>
      </c>
      <c r="AX88" s="187"/>
      <c r="AY88" s="52"/>
      <c r="AZ88" s="52"/>
      <c r="BA88" s="52"/>
      <c r="BB88" s="52"/>
      <c r="BC88" s="52"/>
      <c r="BD88" s="52"/>
      <c r="BE88" s="52"/>
      <c r="BF88" s="53"/>
    </row>
    <row r="89" spans="4:58" ht="15" customHeight="1" x14ac:dyDescent="0.25">
      <c r="D89" s="52"/>
      <c r="E89" s="98"/>
      <c r="F89" s="52"/>
      <c r="G89" s="89" t="s">
        <v>78</v>
      </c>
      <c r="H89" s="58" t="str" cm="1">
        <f t="array" aca="1" ref="H89" ca="1">LEFT(INDIRECT(ADDRESS(L86 + 91,M86 + 6)))</f>
        <v>0</v>
      </c>
      <c r="I89" s="58" t="str" cm="1">
        <f t="array" aca="1" ref="I89" ca="1">MID(INDIRECT(ADDRESS(L86 + 91,M86 + 6)), 2, 1)</f>
        <v>0</v>
      </c>
      <c r="J89" s="58" t="str" cm="1">
        <f t="array" aca="1" ref="J89" ca="1">MID(INDIRECT(ADDRESS(L86 + 91,M86 + 6)), 3, 1)</f>
        <v>0</v>
      </c>
      <c r="K89" s="58" t="str" cm="1">
        <f t="array" aca="1" ref="K89" ca="1">MID(INDIRECT(ADDRESS(L86 + 91,M86 + 6)), 4, 1)</f>
        <v>0</v>
      </c>
      <c r="L89" s="52"/>
      <c r="M89" s="53"/>
      <c r="N89" s="52"/>
      <c r="O89" s="52"/>
      <c r="P89" s="52">
        <f ca="1">IF(CLOCK = 1, IF(P89 &gt;= P87, 0, P89 + 1), P89)</f>
        <v>1</v>
      </c>
      <c r="Q89" s="52"/>
      <c r="R89" s="52" t="str">
        <f ca="1">IF(P89 = P87, IF(LEN(R89) = LEN(P83), "", R89 &amp; P85), R89)</f>
        <v>101</v>
      </c>
      <c r="S89" s="52"/>
      <c r="T89" s="52"/>
      <c r="U89" s="52"/>
      <c r="V89" s="52"/>
      <c r="W89" s="52"/>
      <c r="X89" s="53"/>
      <c r="Z89" s="103" t="s">
        <v>88</v>
      </c>
      <c r="AA89" s="177" t="s">
        <v>84</v>
      </c>
      <c r="AB89" s="178"/>
      <c r="AC89" s="52"/>
      <c r="AD89" s="52"/>
      <c r="AE89" s="52"/>
      <c r="AF89" s="52"/>
      <c r="AG89" s="52"/>
      <c r="AH89" s="52"/>
      <c r="AI89" s="52"/>
      <c r="AJ89" s="52"/>
      <c r="AK89" s="52"/>
      <c r="AL89" s="52"/>
      <c r="AM89" s="53"/>
      <c r="AO89" s="51"/>
      <c r="AP89" s="52"/>
      <c r="AQ89" s="52"/>
      <c r="AR89" s="52"/>
      <c r="AS89" s="52"/>
      <c r="AT89" s="52"/>
      <c r="AU89" s="188" t="s">
        <v>125</v>
      </c>
      <c r="AV89" s="192"/>
      <c r="AW89" s="192"/>
      <c r="AX89" s="189"/>
      <c r="AY89" s="52"/>
      <c r="AZ89" s="52"/>
      <c r="BA89" s="52"/>
      <c r="BB89" s="52"/>
      <c r="BC89" s="52"/>
      <c r="BD89" s="52"/>
      <c r="BE89" s="52"/>
      <c r="BF89" s="53"/>
    </row>
    <row r="90" spans="4:58" ht="15" customHeight="1" x14ac:dyDescent="0.25">
      <c r="D90" s="52"/>
      <c r="E90" s="51"/>
      <c r="F90" s="52"/>
      <c r="G90" s="52"/>
      <c r="H90" s="52"/>
      <c r="I90" s="52"/>
      <c r="J90" s="52"/>
      <c r="K90" s="52"/>
      <c r="L90" s="52"/>
      <c r="M90" s="53"/>
      <c r="N90" s="55"/>
      <c r="O90" s="55"/>
      <c r="P90" s="55" t="s">
        <v>39</v>
      </c>
      <c r="Q90" s="55"/>
      <c r="R90" s="55" t="s">
        <v>40</v>
      </c>
      <c r="S90" s="55"/>
      <c r="T90" s="55"/>
      <c r="U90" s="55"/>
      <c r="V90" s="55"/>
      <c r="W90" s="55"/>
      <c r="X90" s="56"/>
      <c r="Z90" s="104" t="s">
        <v>89</v>
      </c>
      <c r="AA90" s="179" t="s">
        <v>85</v>
      </c>
      <c r="AB90" s="180"/>
      <c r="AC90" s="55"/>
      <c r="AD90" s="55"/>
      <c r="AE90" s="55"/>
      <c r="AF90" s="55"/>
      <c r="AG90" s="55"/>
      <c r="AH90" s="55"/>
      <c r="AI90" s="55"/>
      <c r="AJ90" s="55"/>
      <c r="AK90" s="55"/>
      <c r="AL90" s="55"/>
      <c r="AM90" s="56"/>
      <c r="AO90" s="54"/>
      <c r="AP90" s="55"/>
      <c r="AQ90" s="55"/>
      <c r="AR90" s="55"/>
      <c r="AS90" s="55"/>
      <c r="AT90" s="55"/>
      <c r="AU90" s="190">
        <v>1</v>
      </c>
      <c r="AV90" s="191"/>
      <c r="AW90" s="191">
        <v>0</v>
      </c>
      <c r="AX90" s="191"/>
      <c r="AY90" s="107" t="str">
        <f>_xlfn.CONCAT(AU90:AW90)</f>
        <v>10</v>
      </c>
      <c r="AZ90" s="55"/>
      <c r="BA90" s="55"/>
      <c r="BB90" s="55"/>
      <c r="BC90" s="55"/>
      <c r="BD90" s="55"/>
      <c r="BE90" s="55"/>
      <c r="BF90" s="56"/>
    </row>
    <row r="91" spans="4:58" ht="15" customHeight="1" x14ac:dyDescent="0.25">
      <c r="D91" s="52"/>
      <c r="E91" s="51"/>
      <c r="F91" s="87" t="str">
        <f ca="1">IF(AND(F87 = 1, _xlfn.CONCAT(H87, I87, J87, K87) = "0000"), _xlfn.CONCAT(H88, I88, J88, K88), F91)</f>
        <v>0000</v>
      </c>
      <c r="G91" s="87" t="str">
        <f ca="1">IF(AND(F87 = 1, _xlfn.CONCAT(H87, I87, J87, K87) = "0001"), _xlfn.CONCAT(H88, I88, J88, K88), G91)</f>
        <v>0001</v>
      </c>
      <c r="H91" s="87" t="str">
        <f ca="1">IF(AND(F87 = 1, _xlfn.CONCAT(H87, I87, J87, K87) = "0010"), _xlfn.CONCAT(H88, I88, J88, K88), H91)</f>
        <v>0010</v>
      </c>
      <c r="I91" s="87" t="str">
        <f ca="1">IF(AND(F87 = 1, _xlfn.CONCAT(H87, I87, J87, K87) = "0011"), _xlfn.CONCAT(H88, I88, J88, K88), I91)</f>
        <v>0011</v>
      </c>
      <c r="J91" s="52"/>
      <c r="K91" s="52"/>
      <c r="L91" s="52"/>
      <c r="M91" s="53"/>
      <c r="N91" s="52"/>
      <c r="AF91" s="99"/>
    </row>
    <row r="92" spans="4:58" ht="15" customHeight="1" x14ac:dyDescent="0.25">
      <c r="D92" s="52"/>
      <c r="E92" s="51"/>
      <c r="F92" s="87" t="str">
        <f ca="1">IF(AND(F87 = 1, _xlfn.CONCAT(H87, I87, J87, K87) = "0100"), _xlfn.CONCAT(H88, I88, J88, K88), F92)</f>
        <v>0100</v>
      </c>
      <c r="G92" s="87" t="str">
        <f ca="1">IF(AND(F87 = 1, _xlfn.CONCAT(H87, I87, J87, K87) = "0101"), _xlfn.CONCAT(H88, I88, J88, K88), G92)</f>
        <v>0101</v>
      </c>
      <c r="H92" s="87" t="str">
        <f ca="1">IF(AND(F87 = 1, _xlfn.CONCAT(H87, I87, J87, K87) = "0110"), _xlfn.CONCAT(H88, I88, J88, K88), H92)</f>
        <v>0110</v>
      </c>
      <c r="I92" s="87" t="str">
        <f ca="1">IF(AND(F87 = 1, _xlfn.CONCAT(H87, I87, J87, K87) = "0111"), _xlfn.CONCAT(H88, I88, J88, K88), I92)</f>
        <v>0111</v>
      </c>
      <c r="J92" s="52"/>
      <c r="K92" s="52"/>
      <c r="L92" s="52"/>
      <c r="M92" s="53"/>
      <c r="N92" s="52"/>
      <c r="AE92" s="167" t="s">
        <v>114</v>
      </c>
      <c r="AF92" s="168"/>
      <c r="AG92" s="169"/>
      <c r="AH92" s="167" t="s">
        <v>113</v>
      </c>
      <c r="AI92" s="168"/>
      <c r="AJ92" s="169"/>
    </row>
    <row r="93" spans="4:58" ht="15" customHeight="1" x14ac:dyDescent="0.25">
      <c r="D93" s="52"/>
      <c r="E93" s="51"/>
      <c r="F93" s="87" t="str">
        <f ca="1">IF(AND(F87 = 1, _xlfn.CONCAT(H87, I87, J87, K87) = "1000"), _xlfn.CONCAT(H88, I88, J88, K88), F93)</f>
        <v>1000</v>
      </c>
      <c r="G93" s="87" t="str">
        <f ca="1">IF(AND(F87 = 1, _xlfn.CONCAT(H87, I87, J87, K87) = "1001"), _xlfn.CONCAT(H88, I88, J88, K88), G93)</f>
        <v>1001</v>
      </c>
      <c r="H93" s="87" t="str">
        <f ca="1">IF(AND(F87 = 1, _xlfn.CONCAT(H87, I87, J87, K87) = "1010"), _xlfn.CONCAT(H88, I88, J88, K88), H93)</f>
        <v>1010</v>
      </c>
      <c r="I93" s="87" t="str">
        <f ca="1">IF(AND(F87 = 1, _xlfn.CONCAT(H87, I87, J87, K87) = "1011"), _xlfn.CONCAT(H88, I88, J88, K88), I93)</f>
        <v>1011</v>
      </c>
      <c r="J93" s="52"/>
      <c r="K93" s="52"/>
      <c r="L93" s="52"/>
      <c r="M93" s="53"/>
      <c r="N93" s="52"/>
      <c r="AE93" s="108" t="s">
        <v>110</v>
      </c>
      <c r="AF93" s="185" t="s">
        <v>86</v>
      </c>
      <c r="AG93" s="185"/>
      <c r="AH93" s="109" t="s">
        <v>115</v>
      </c>
      <c r="AI93" s="106"/>
      <c r="AJ93" s="106"/>
      <c r="AK93" s="106"/>
      <c r="AL93" s="174" t="s">
        <v>116</v>
      </c>
      <c r="AM93" s="175"/>
      <c r="AN93" s="176"/>
      <c r="AR93" s="87"/>
      <c r="AS93" s="87"/>
      <c r="AT93" s="87"/>
    </row>
    <row r="94" spans="4:58" ht="15" customHeight="1" x14ac:dyDescent="0.25">
      <c r="E94" s="54"/>
      <c r="F94" s="90" t="str">
        <f ca="1">IF(AND(F87 = 1, _xlfn.CONCAT(H87, I87, J87, K87) = "1100"), _xlfn.CONCAT(H88, I88, J88, K88), F94)</f>
        <v>1100</v>
      </c>
      <c r="G94" s="90" t="str">
        <f ca="1">IF(AND(F87 = 1, _xlfn.CONCAT(H87, I87, J87, K87) = "1101"), _xlfn.CONCAT(H88, I88, J88, K88), G94)</f>
        <v>1101</v>
      </c>
      <c r="H94" s="90" t="str">
        <f ca="1">IF(AND(F87 = 1, _xlfn.CONCAT(H87, I87, J87, K87) = "1110"), _xlfn.CONCAT(H88, I88, J88, K88), H94)</f>
        <v>1110</v>
      </c>
      <c r="I94" s="90" t="str">
        <f ca="1">IF(AND(F87 = 1, _xlfn.CONCAT(H87, I87, J87, K87) = "1111"), _xlfn.CONCAT(H88, I88, J88, K88), I94)</f>
        <v>1111</v>
      </c>
      <c r="J94" s="55"/>
      <c r="K94" s="55"/>
      <c r="L94" s="55"/>
      <c r="M94" s="56"/>
      <c r="N94" s="52"/>
      <c r="AE94" s="108" t="s">
        <v>111</v>
      </c>
      <c r="AF94" s="185" t="s">
        <v>87</v>
      </c>
      <c r="AG94" s="185"/>
      <c r="AH94" s="105" t="s">
        <v>73</v>
      </c>
      <c r="AI94" s="106"/>
      <c r="AJ94" s="106"/>
      <c r="AK94" s="107"/>
      <c r="AL94" s="181" t="s">
        <v>106</v>
      </c>
      <c r="AM94" s="181"/>
      <c r="AN94" s="182"/>
      <c r="AR94" s="87"/>
      <c r="AS94" s="87"/>
      <c r="AT94" s="87"/>
    </row>
    <row r="95" spans="4:58" ht="15" customHeight="1" x14ac:dyDescent="0.25">
      <c r="N95" s="70"/>
      <c r="AE95" s="108" t="s">
        <v>112</v>
      </c>
      <c r="AF95" s="185" t="s">
        <v>89</v>
      </c>
      <c r="AG95" s="185"/>
      <c r="AH95" s="105" t="s">
        <v>74</v>
      </c>
      <c r="AI95" s="194" t="s">
        <v>130</v>
      </c>
      <c r="AJ95" s="194" t="s">
        <v>131</v>
      </c>
      <c r="AK95" s="107"/>
      <c r="AL95" s="181" t="s">
        <v>102</v>
      </c>
      <c r="AM95" s="181"/>
      <c r="AN95" s="182"/>
      <c r="AR95" s="87"/>
      <c r="AS95" s="87"/>
      <c r="AT95" s="87"/>
    </row>
    <row r="96" spans="4:58" ht="15" customHeight="1" x14ac:dyDescent="0.25">
      <c r="AH96" s="105" t="s">
        <v>68</v>
      </c>
      <c r="AI96" s="194" t="s">
        <v>130</v>
      </c>
      <c r="AJ96" s="194" t="s">
        <v>131</v>
      </c>
      <c r="AK96" s="195" t="s">
        <v>132</v>
      </c>
      <c r="AL96" s="181" t="s">
        <v>103</v>
      </c>
      <c r="AM96" s="181"/>
      <c r="AN96" s="182"/>
      <c r="AR96" s="87"/>
      <c r="AS96" s="87"/>
      <c r="AT96" s="87"/>
    </row>
    <row r="97" spans="7:48" ht="15" customHeight="1" x14ac:dyDescent="0.25">
      <c r="G97" s="59"/>
      <c r="H97" s="71">
        <v>0</v>
      </c>
      <c r="I97" s="65"/>
      <c r="J97" s="57">
        <v>0</v>
      </c>
      <c r="K97" s="132" t="s">
        <v>55</v>
      </c>
      <c r="L97" s="57">
        <v>0</v>
      </c>
      <c r="M97" s="57">
        <v>0</v>
      </c>
      <c r="N97" s="57">
        <v>0</v>
      </c>
      <c r="O97" s="57">
        <v>0</v>
      </c>
      <c r="P97" s="47" t="s">
        <v>5</v>
      </c>
      <c r="Q97" s="60"/>
      <c r="R97" s="60"/>
      <c r="S97" s="60"/>
      <c r="T97" s="60"/>
      <c r="U97" s="60"/>
      <c r="V97" s="60"/>
      <c r="W97" s="60"/>
      <c r="X97" s="60"/>
      <c r="Y97" s="60"/>
      <c r="Z97" s="60"/>
      <c r="AA97" s="68"/>
      <c r="AH97" s="105" t="s">
        <v>100</v>
      </c>
      <c r="AI97" s="194" t="s">
        <v>130</v>
      </c>
      <c r="AJ97" s="194" t="s">
        <v>131</v>
      </c>
      <c r="AK97" s="195" t="s">
        <v>132</v>
      </c>
      <c r="AL97" s="181" t="s">
        <v>104</v>
      </c>
      <c r="AM97" s="181"/>
      <c r="AN97" s="182"/>
      <c r="AR97" s="87"/>
      <c r="AS97" s="87"/>
      <c r="AT97" s="87"/>
    </row>
    <row r="98" spans="7:48" ht="15" customHeight="1" x14ac:dyDescent="0.25">
      <c r="G98" s="16"/>
      <c r="H98" s="130" t="s">
        <v>54</v>
      </c>
      <c r="I98" s="131"/>
      <c r="J98" s="17"/>
      <c r="K98" s="133"/>
      <c r="L98" s="1">
        <v>0</v>
      </c>
      <c r="M98" s="1">
        <v>0</v>
      </c>
      <c r="N98" s="1">
        <v>0</v>
      </c>
      <c r="O98" s="1">
        <v>0</v>
      </c>
      <c r="P98" s="12" t="s">
        <v>6</v>
      </c>
      <c r="Q98" s="22"/>
      <c r="R98" s="22"/>
      <c r="S98" s="22"/>
      <c r="T98" s="22"/>
      <c r="U98" s="22"/>
      <c r="V98" s="22"/>
      <c r="W98" s="22"/>
      <c r="X98" s="22"/>
      <c r="Y98" s="22"/>
      <c r="Z98" s="22"/>
      <c r="AA98" s="37"/>
      <c r="AH98" s="105" t="s">
        <v>101</v>
      </c>
      <c r="AI98" s="194" t="s">
        <v>130</v>
      </c>
      <c r="AJ98" s="194" t="s">
        <v>131</v>
      </c>
      <c r="AK98" s="195" t="s">
        <v>132</v>
      </c>
      <c r="AL98" s="181" t="s">
        <v>105</v>
      </c>
      <c r="AM98" s="181"/>
      <c r="AN98" s="182"/>
      <c r="AR98" s="87"/>
      <c r="AS98" s="87"/>
      <c r="AT98" s="87"/>
    </row>
    <row r="99" spans="7:48" ht="15" customHeight="1" x14ac:dyDescent="0.25">
      <c r="G99" s="16"/>
      <c r="H99" s="69"/>
      <c r="I99" s="13"/>
      <c r="J99" s="13"/>
      <c r="K99" s="69"/>
      <c r="L99" s="13"/>
      <c r="M99" s="13"/>
      <c r="N99" s="13"/>
      <c r="O99" s="13"/>
      <c r="P99" s="13"/>
      <c r="Q99" s="13"/>
      <c r="R99" s="13"/>
      <c r="S99" s="13"/>
      <c r="T99" s="13"/>
      <c r="U99" s="13"/>
      <c r="V99" s="13"/>
      <c r="W99" s="13"/>
      <c r="X99" s="13"/>
      <c r="Y99" s="13"/>
      <c r="Z99" s="22"/>
      <c r="AA99" s="37"/>
      <c r="AH99" s="105" t="s">
        <v>67</v>
      </c>
      <c r="AI99" s="106"/>
      <c r="AJ99" s="106"/>
      <c r="AK99" s="107"/>
      <c r="AL99" s="181" t="s">
        <v>107</v>
      </c>
      <c r="AM99" s="181"/>
      <c r="AN99" s="182"/>
      <c r="AR99" s="87"/>
      <c r="AS99" s="87"/>
      <c r="AT99" s="87"/>
      <c r="AU99" s="87"/>
      <c r="AV99" s="87"/>
    </row>
    <row r="100" spans="7:48" ht="15" customHeight="1" x14ac:dyDescent="0.25">
      <c r="G100" s="16"/>
      <c r="H100" s="59"/>
      <c r="I100" s="60"/>
      <c r="J100" s="60"/>
      <c r="K100" s="60"/>
      <c r="L100" s="57">
        <f>IF(_xlfn.XOR(O98 = 1, J97 = 1), 1, 0)</f>
        <v>0</v>
      </c>
      <c r="M100" s="61" t="s">
        <v>14</v>
      </c>
      <c r="N100" s="60"/>
      <c r="O100" s="60"/>
      <c r="P100" s="163" t="s">
        <v>30</v>
      </c>
      <c r="Q100" s="13"/>
      <c r="R100" s="64"/>
      <c r="S100" s="65"/>
      <c r="T100" s="65"/>
      <c r="U100" s="65"/>
      <c r="V100" s="65"/>
      <c r="W100" s="65"/>
      <c r="X100" s="164" t="s">
        <v>36</v>
      </c>
      <c r="Y100" s="13"/>
      <c r="Z100" s="22"/>
      <c r="AA100" s="37"/>
      <c r="AH100" s="104" t="s">
        <v>70</v>
      </c>
      <c r="AI100" s="193" t="s">
        <v>128</v>
      </c>
      <c r="AJ100" s="193" t="s">
        <v>129</v>
      </c>
      <c r="AK100" s="56" t="s">
        <v>109</v>
      </c>
      <c r="AL100" s="183" t="s">
        <v>108</v>
      </c>
      <c r="AM100" s="183"/>
      <c r="AN100" s="184"/>
      <c r="AR100" s="87"/>
      <c r="AS100" s="87"/>
      <c r="AT100" s="87"/>
    </row>
    <row r="101" spans="7:48" ht="15" customHeight="1" x14ac:dyDescent="0.25">
      <c r="G101" s="16"/>
      <c r="H101" s="16"/>
      <c r="I101" s="3"/>
      <c r="J101" s="62" t="s">
        <v>4</v>
      </c>
      <c r="K101" s="62" t="s">
        <v>5</v>
      </c>
      <c r="L101" s="62" t="s">
        <v>6</v>
      </c>
      <c r="M101" s="7"/>
      <c r="N101" s="8"/>
      <c r="O101" s="17"/>
      <c r="P101" s="136"/>
      <c r="Q101" s="13"/>
      <c r="R101" s="66"/>
      <c r="S101" s="58">
        <f>IF(AND(L97 = 1, L98 = 1), 1, 0)</f>
        <v>0</v>
      </c>
      <c r="T101" s="58">
        <f>IF(AND(M97 = 1, M98 = 1), 1, 0)</f>
        <v>0</v>
      </c>
      <c r="U101" s="58">
        <f>IF(AND(N97 = 1, N98 = 1), 1, 0)</f>
        <v>0</v>
      </c>
      <c r="V101" s="58">
        <f>IF(AND(O97 = 1, O98 = 1), 1, 0)</f>
        <v>0</v>
      </c>
      <c r="W101" s="67"/>
      <c r="X101" s="165"/>
      <c r="Y101" s="13"/>
      <c r="Z101" s="22"/>
      <c r="AA101" s="37"/>
      <c r="AH101" s="105" t="s">
        <v>118</v>
      </c>
      <c r="AI101" s="106"/>
      <c r="AJ101" s="106"/>
      <c r="AK101" s="106"/>
      <c r="AL101" s="174" t="s">
        <v>117</v>
      </c>
      <c r="AM101" s="175"/>
      <c r="AN101" s="176"/>
      <c r="AR101" s="87"/>
      <c r="AS101" s="87"/>
      <c r="AT101" s="87"/>
    </row>
    <row r="102" spans="7:48" ht="15" customHeight="1" x14ac:dyDescent="0.25">
      <c r="G102" s="16"/>
      <c r="H102" s="16"/>
      <c r="I102" s="15"/>
      <c r="J102" s="63">
        <f>J97</f>
        <v>0</v>
      </c>
      <c r="K102" s="63">
        <f>O97</f>
        <v>0</v>
      </c>
      <c r="L102" s="63">
        <f>L100</f>
        <v>0</v>
      </c>
      <c r="M102" s="13"/>
      <c r="N102" s="14"/>
      <c r="O102" s="17"/>
      <c r="P102" s="144"/>
      <c r="Q102" s="13"/>
      <c r="R102" s="66"/>
      <c r="S102" s="67"/>
      <c r="T102" s="67"/>
      <c r="U102" s="67"/>
      <c r="V102" s="67"/>
      <c r="W102" s="67"/>
      <c r="X102" s="165"/>
      <c r="Y102" s="13"/>
      <c r="Z102" s="22"/>
      <c r="AA102" s="37"/>
    </row>
    <row r="103" spans="7:48" ht="15" customHeight="1" x14ac:dyDescent="0.25">
      <c r="G103" s="16"/>
      <c r="H103" s="16"/>
      <c r="I103" s="15"/>
      <c r="J103" s="13"/>
      <c r="K103" s="13"/>
      <c r="L103" s="13"/>
      <c r="M103" s="13"/>
      <c r="N103" s="137" t="s">
        <v>10</v>
      </c>
      <c r="O103" s="17"/>
      <c r="P103" s="14"/>
      <c r="Q103" s="13"/>
      <c r="R103" s="40"/>
      <c r="S103" s="46">
        <f>S101</f>
        <v>0</v>
      </c>
      <c r="T103" s="46">
        <f>T101</f>
        <v>0</v>
      </c>
      <c r="U103" s="46">
        <f>U101</f>
        <v>0</v>
      </c>
      <c r="V103" s="46">
        <f>V101</f>
        <v>0</v>
      </c>
      <c r="W103" s="27" t="s">
        <v>16</v>
      </c>
      <c r="X103" s="41"/>
      <c r="Y103" s="13"/>
      <c r="Z103" s="22"/>
      <c r="AA103" s="146" t="s">
        <v>53</v>
      </c>
    </row>
    <row r="104" spans="7:48" ht="15" customHeight="1" x14ac:dyDescent="0.25">
      <c r="G104" s="16"/>
      <c r="H104" s="16"/>
      <c r="I104" s="15"/>
      <c r="J104" s="12"/>
      <c r="K104" s="12"/>
      <c r="L104" s="1">
        <f>IF(_xlfn.XOR(K102 = 1, L102 = 1), 1, 0)</f>
        <v>0</v>
      </c>
      <c r="M104" s="13"/>
      <c r="N104" s="138"/>
      <c r="O104" s="17"/>
      <c r="P104" s="14"/>
      <c r="Q104" s="13"/>
      <c r="R104" s="13"/>
      <c r="S104" s="13"/>
      <c r="T104" s="13"/>
      <c r="U104" s="13"/>
      <c r="V104" s="13"/>
      <c r="W104" s="13"/>
      <c r="X104" s="13"/>
      <c r="Y104" s="13"/>
      <c r="Z104" s="22"/>
      <c r="AA104" s="146"/>
    </row>
    <row r="105" spans="7:48" ht="15" customHeight="1" x14ac:dyDescent="0.25">
      <c r="G105" s="16"/>
      <c r="H105" s="16"/>
      <c r="I105" s="15"/>
      <c r="J105" s="1">
        <f>IF(AND(K102 = 1, L102 = 1), 1, 0)</f>
        <v>0</v>
      </c>
      <c r="K105" s="1">
        <f>IF(AND(J102 = 1, L104 = 1), 1, 0)</f>
        <v>0</v>
      </c>
      <c r="L105" s="12"/>
      <c r="M105" s="13"/>
      <c r="N105" s="139"/>
      <c r="O105" s="17"/>
      <c r="P105" s="14"/>
      <c r="Q105" s="13"/>
      <c r="R105" s="64"/>
      <c r="S105" s="65"/>
      <c r="T105" s="65"/>
      <c r="U105" s="65"/>
      <c r="V105" s="65"/>
      <c r="W105" s="65"/>
      <c r="X105" s="166" t="s">
        <v>35</v>
      </c>
      <c r="Y105" s="13"/>
      <c r="Z105" s="22"/>
      <c r="AA105" s="146"/>
    </row>
    <row r="106" spans="7:48" ht="15" customHeight="1" x14ac:dyDescent="0.25">
      <c r="G106" s="16"/>
      <c r="H106" s="16"/>
      <c r="I106" s="15"/>
      <c r="J106" s="12"/>
      <c r="K106" s="12"/>
      <c r="L106" s="1">
        <f>IF(_xlfn.XOR(J102 = 1, L104 = 1), 1, 0)</f>
        <v>0</v>
      </c>
      <c r="M106" s="13"/>
      <c r="N106" s="14"/>
      <c r="O106" s="17"/>
      <c r="P106" s="14"/>
      <c r="Q106" s="13"/>
      <c r="R106" s="66"/>
      <c r="S106" s="58">
        <f>IF(OR(L97 = 1, L98 =1), 1, 0)</f>
        <v>0</v>
      </c>
      <c r="T106" s="58">
        <f>IF(OR(M97 = 1, M98 =1), 1, 0)</f>
        <v>0</v>
      </c>
      <c r="U106" s="58">
        <f>IF(OR(N97 = 1, N98 =1), 1, 0)</f>
        <v>0</v>
      </c>
      <c r="V106" s="58">
        <f>IF(OR(O97 = 1, O98 =1), 1, 0)</f>
        <v>0</v>
      </c>
      <c r="W106" s="67"/>
      <c r="X106" s="146"/>
      <c r="Y106" s="13"/>
      <c r="Z106" s="22"/>
      <c r="AA106" s="37"/>
      <c r="AF106" s="99"/>
    </row>
    <row r="107" spans="7:48" ht="15" customHeight="1" x14ac:dyDescent="0.25">
      <c r="G107" s="16"/>
      <c r="H107" s="16"/>
      <c r="I107" s="15"/>
      <c r="J107" s="12"/>
      <c r="K107" s="1">
        <f>IF(OR(J105 = 1, K105 =1), 1, 0)</f>
        <v>0</v>
      </c>
      <c r="L107" s="12"/>
      <c r="M107" s="13"/>
      <c r="N107" s="14"/>
      <c r="O107" s="17"/>
      <c r="P107" s="14"/>
      <c r="Q107" s="13"/>
      <c r="R107" s="66"/>
      <c r="S107" s="67"/>
      <c r="T107" s="67"/>
      <c r="U107" s="67"/>
      <c r="V107" s="67"/>
      <c r="W107" s="67"/>
      <c r="X107" s="146"/>
      <c r="Y107" s="13"/>
      <c r="Z107" s="22"/>
      <c r="AA107" s="37"/>
      <c r="AK107" t="s">
        <v>127</v>
      </c>
    </row>
    <row r="108" spans="7:48" ht="15" customHeight="1" x14ac:dyDescent="0.25">
      <c r="G108" s="16"/>
      <c r="H108" s="16"/>
      <c r="I108" s="15"/>
      <c r="J108" s="13"/>
      <c r="K108" s="13"/>
      <c r="L108" s="13"/>
      <c r="M108" s="13"/>
      <c r="N108" s="14"/>
      <c r="O108" s="17"/>
      <c r="P108" s="14"/>
      <c r="Q108" s="13"/>
      <c r="R108" s="40"/>
      <c r="S108" s="46">
        <f>S106</f>
        <v>0</v>
      </c>
      <c r="T108" s="46">
        <f>T106</f>
        <v>0</v>
      </c>
      <c r="U108" s="46">
        <f>U106</f>
        <v>0</v>
      </c>
      <c r="V108" s="46">
        <f>V106</f>
        <v>0</v>
      </c>
      <c r="W108" s="27" t="s">
        <v>16</v>
      </c>
      <c r="X108" s="41"/>
      <c r="Y108" s="13"/>
      <c r="Z108" s="22"/>
      <c r="AA108" s="37"/>
      <c r="AE108" s="99"/>
      <c r="AF108" s="99"/>
    </row>
    <row r="109" spans="7:48" ht="15" customHeight="1" x14ac:dyDescent="0.25">
      <c r="G109" s="16"/>
      <c r="H109" s="16"/>
      <c r="I109" s="26"/>
      <c r="J109" s="27" t="s">
        <v>4</v>
      </c>
      <c r="K109" s="28">
        <f>K107</f>
        <v>0</v>
      </c>
      <c r="L109" s="28">
        <f>L106</f>
        <v>0</v>
      </c>
      <c r="M109" s="27" t="s">
        <v>16</v>
      </c>
      <c r="N109" s="29"/>
      <c r="O109" s="17"/>
      <c r="P109" s="14"/>
      <c r="Q109" s="13"/>
      <c r="R109" s="13"/>
      <c r="S109" s="13"/>
      <c r="T109" s="13"/>
      <c r="U109" s="13"/>
      <c r="V109" s="13"/>
      <c r="W109" s="13"/>
      <c r="X109" s="13"/>
      <c r="Y109" s="13"/>
      <c r="Z109" s="22"/>
      <c r="AA109" s="37"/>
    </row>
    <row r="110" spans="7:48" ht="15" customHeight="1" x14ac:dyDescent="0.25">
      <c r="G110" s="16"/>
      <c r="H110" s="16"/>
      <c r="I110" s="17"/>
      <c r="J110" s="17"/>
      <c r="K110" s="17"/>
      <c r="L110" s="1">
        <f>IF(_xlfn.XOR(N98 = 1, J97 = 1), 1, 0)</f>
        <v>0</v>
      </c>
      <c r="M110" s="27" t="s">
        <v>14</v>
      </c>
      <c r="N110" s="17"/>
      <c r="O110" s="17"/>
      <c r="P110" s="14"/>
      <c r="Q110" s="13"/>
      <c r="R110" s="64"/>
      <c r="S110" s="57">
        <f>IF(AND(O97 = 1, J97 = 1), 1, 0)</f>
        <v>0</v>
      </c>
      <c r="T110" s="47"/>
      <c r="U110" s="47"/>
      <c r="V110" s="47"/>
      <c r="W110" s="65"/>
      <c r="X110" s="65"/>
      <c r="Y110" s="65"/>
      <c r="Z110" s="68"/>
      <c r="AA110" s="37"/>
      <c r="AE110" s="99"/>
      <c r="AI110" s="99" t="s">
        <v>115</v>
      </c>
      <c r="AJ110" s="99" t="s">
        <v>73</v>
      </c>
      <c r="AK110" s="99" t="s">
        <v>74</v>
      </c>
      <c r="AL110" s="99" t="s">
        <v>68</v>
      </c>
      <c r="AM110" s="99" t="s">
        <v>100</v>
      </c>
      <c r="AN110" s="99" t="s">
        <v>101</v>
      </c>
      <c r="AO110" s="99" t="s">
        <v>67</v>
      </c>
    </row>
    <row r="111" spans="7:48" ht="15" customHeight="1" x14ac:dyDescent="0.25">
      <c r="G111" s="16"/>
      <c r="H111" s="16"/>
      <c r="I111" s="3"/>
      <c r="J111" s="5" t="s">
        <v>4</v>
      </c>
      <c r="K111" s="5" t="s">
        <v>5</v>
      </c>
      <c r="L111" s="5" t="s">
        <v>6</v>
      </c>
      <c r="M111" s="7"/>
      <c r="N111" s="8"/>
      <c r="O111" s="17"/>
      <c r="P111" s="14"/>
      <c r="Q111" s="13"/>
      <c r="R111" s="18"/>
      <c r="S111" s="12"/>
      <c r="T111" s="1">
        <f>IF(AND(O98 = 1, U111 = 1), 1, 0)</f>
        <v>0</v>
      </c>
      <c r="U111" s="1">
        <f>IF(J97 = 1, 0, 1)</f>
        <v>1</v>
      </c>
      <c r="V111" s="12"/>
      <c r="W111" s="22"/>
      <c r="X111" s="22"/>
      <c r="Y111" s="22"/>
      <c r="Z111" s="37"/>
      <c r="AA111" s="37"/>
      <c r="AF111" s="99"/>
      <c r="AH111" s="99" t="s">
        <v>115</v>
      </c>
      <c r="AI111" s="109">
        <v>1001</v>
      </c>
      <c r="AJ111" s="106">
        <v>1011</v>
      </c>
      <c r="AK111" s="106">
        <v>1011</v>
      </c>
      <c r="AL111" s="107">
        <v>1110</v>
      </c>
      <c r="AM111" s="109">
        <v>1101</v>
      </c>
      <c r="AN111" s="106">
        <v>1010</v>
      </c>
      <c r="AO111" s="107">
        <v>1110</v>
      </c>
    </row>
    <row r="112" spans="7:48" ht="15" customHeight="1" x14ac:dyDescent="0.25">
      <c r="G112" s="16"/>
      <c r="H112" s="16"/>
      <c r="I112" s="15"/>
      <c r="J112" s="1">
        <f>K109</f>
        <v>0</v>
      </c>
      <c r="K112" s="1">
        <f>N97</f>
        <v>0</v>
      </c>
      <c r="L112" s="1">
        <f>L110</f>
        <v>0</v>
      </c>
      <c r="M112" s="13"/>
      <c r="N112" s="14"/>
      <c r="O112" s="17"/>
      <c r="P112" s="14"/>
      <c r="Q112" s="13"/>
      <c r="R112" s="18"/>
      <c r="S112" s="1">
        <f>IF(OR(S110 = 1, T111 =1), 1, 0)</f>
        <v>0</v>
      </c>
      <c r="T112" s="12"/>
      <c r="U112" s="12"/>
      <c r="V112" s="12"/>
      <c r="W112" s="22"/>
      <c r="X112" s="22"/>
      <c r="Y112" s="22"/>
      <c r="Z112" s="37"/>
      <c r="AA112" s="37"/>
    </row>
    <row r="113" spans="7:41" ht="15" customHeight="1" x14ac:dyDescent="0.25">
      <c r="G113" s="16"/>
      <c r="H113" s="16"/>
      <c r="I113" s="15"/>
      <c r="J113" s="13"/>
      <c r="K113" s="13"/>
      <c r="L113" s="13"/>
      <c r="M113" s="13"/>
      <c r="N113" s="137" t="s">
        <v>10</v>
      </c>
      <c r="O113" s="17"/>
      <c r="P113" s="14"/>
      <c r="Q113" s="13"/>
      <c r="R113" s="18"/>
      <c r="S113" s="22"/>
      <c r="T113" s="22"/>
      <c r="U113" s="22"/>
      <c r="V113" s="22"/>
      <c r="W113" s="22"/>
      <c r="X113" s="22"/>
      <c r="Y113" s="22"/>
      <c r="Z113" s="37"/>
      <c r="AA113" s="37"/>
    </row>
    <row r="114" spans="7:41" ht="15" customHeight="1" x14ac:dyDescent="0.25">
      <c r="G114" s="16"/>
      <c r="H114" s="16"/>
      <c r="I114" s="15"/>
      <c r="J114" s="12"/>
      <c r="K114" s="12"/>
      <c r="L114" s="1">
        <f>IF(_xlfn.XOR(K112 = 1, L112 = 1), 1, 0)</f>
        <v>0</v>
      </c>
      <c r="M114" s="13"/>
      <c r="N114" s="138"/>
      <c r="O114" s="17"/>
      <c r="P114" s="14"/>
      <c r="Q114" s="13"/>
      <c r="R114" s="18"/>
      <c r="S114" s="1">
        <f>IF(AND(N97 = 1, J97 = 1), 1, 0)</f>
        <v>0</v>
      </c>
      <c r="T114" s="12"/>
      <c r="U114" s="12"/>
      <c r="V114" s="12"/>
      <c r="W114" s="22"/>
      <c r="X114" s="22"/>
      <c r="Y114" s="22"/>
      <c r="Z114" s="37"/>
      <c r="AA114" s="37"/>
    </row>
    <row r="115" spans="7:41" ht="15" customHeight="1" x14ac:dyDescent="0.25">
      <c r="G115" s="16"/>
      <c r="H115" s="16"/>
      <c r="I115" s="15"/>
      <c r="J115" s="1">
        <f>IF(AND(K112 = 1, L112 = 1), 1, 0)</f>
        <v>0</v>
      </c>
      <c r="K115" s="1">
        <f>IF(AND(J112 = 1, L114 = 1), 1, 0)</f>
        <v>0</v>
      </c>
      <c r="L115" s="12"/>
      <c r="M115" s="13"/>
      <c r="N115" s="139"/>
      <c r="O115" s="17"/>
      <c r="P115" s="14"/>
      <c r="Q115" s="13"/>
      <c r="R115" s="18"/>
      <c r="S115" s="12"/>
      <c r="T115" s="1">
        <f>IF(AND(N98 = 1, U115 = 1), 1, 0)</f>
        <v>0</v>
      </c>
      <c r="U115" s="1">
        <f>IF(J97 = 1, 0, 1)</f>
        <v>1</v>
      </c>
      <c r="V115" s="12"/>
      <c r="W115" s="22"/>
      <c r="X115" s="22"/>
      <c r="Y115" s="22"/>
      <c r="Z115" s="37"/>
      <c r="AA115" s="37"/>
    </row>
    <row r="116" spans="7:41" ht="15" customHeight="1" x14ac:dyDescent="0.25">
      <c r="G116" s="16"/>
      <c r="H116" s="16"/>
      <c r="I116" s="15"/>
      <c r="J116" s="12"/>
      <c r="K116" s="12"/>
      <c r="L116" s="1">
        <f>IF(_xlfn.XOR(J112 = 1, L114 = 1), 1, 0)</f>
        <v>0</v>
      </c>
      <c r="M116" s="13"/>
      <c r="N116" s="14"/>
      <c r="O116" s="17"/>
      <c r="P116" s="14"/>
      <c r="Q116" s="13"/>
      <c r="R116" s="18"/>
      <c r="S116" s="1">
        <f>IF(OR(S114 = 1, T115 =1), 1, 0)</f>
        <v>0</v>
      </c>
      <c r="T116" s="12"/>
      <c r="U116" s="12"/>
      <c r="V116" s="12"/>
      <c r="W116" s="22"/>
      <c r="X116" s="22"/>
      <c r="Y116" s="22"/>
      <c r="Z116" s="134" t="s">
        <v>50</v>
      </c>
      <c r="AA116" s="37"/>
    </row>
    <row r="117" spans="7:41" ht="15" customHeight="1" x14ac:dyDescent="0.25">
      <c r="G117" s="16"/>
      <c r="H117" s="16"/>
      <c r="I117" s="15"/>
      <c r="J117" s="12"/>
      <c r="K117" s="1">
        <f>IF(OR(J115 = 1, K115 =1), 1, 0)</f>
        <v>0</v>
      </c>
      <c r="L117" s="12"/>
      <c r="M117" s="13"/>
      <c r="N117" s="14"/>
      <c r="O117" s="17"/>
      <c r="P117" s="14"/>
      <c r="Q117" s="13"/>
      <c r="R117" s="18"/>
      <c r="S117" s="22"/>
      <c r="T117" s="22"/>
      <c r="U117" s="22"/>
      <c r="V117" s="22"/>
      <c r="W117" s="22"/>
      <c r="X117" s="22"/>
      <c r="Y117" s="22"/>
      <c r="Z117" s="135"/>
      <c r="AA117" s="37"/>
    </row>
    <row r="118" spans="7:41" ht="15" customHeight="1" x14ac:dyDescent="0.25">
      <c r="G118" s="16"/>
      <c r="H118" s="16"/>
      <c r="I118" s="15"/>
      <c r="J118" s="13"/>
      <c r="K118" s="13"/>
      <c r="L118" s="13"/>
      <c r="M118" s="13"/>
      <c r="N118" s="14"/>
      <c r="O118" s="17"/>
      <c r="P118" s="14"/>
      <c r="Q118" s="13"/>
      <c r="R118" s="18"/>
      <c r="S118" s="1">
        <f>IF(AND(M97 = 1, J97 = 1), 1, 0)</f>
        <v>0</v>
      </c>
      <c r="T118" s="12"/>
      <c r="U118" s="12"/>
      <c r="V118" s="12"/>
      <c r="W118" s="22"/>
      <c r="X118" s="22"/>
      <c r="Y118" s="22"/>
      <c r="Z118" s="136"/>
      <c r="AA118" s="37"/>
      <c r="AI118" s="99" t="s">
        <v>115</v>
      </c>
      <c r="AJ118" s="99" t="s">
        <v>73</v>
      </c>
      <c r="AK118" s="99" t="s">
        <v>74</v>
      </c>
      <c r="AL118" s="99" t="s">
        <v>68</v>
      </c>
      <c r="AM118" s="99" t="s">
        <v>100</v>
      </c>
      <c r="AN118" s="99" t="s">
        <v>101</v>
      </c>
      <c r="AO118" s="99" t="s">
        <v>67</v>
      </c>
    </row>
    <row r="119" spans="7:41" ht="15" customHeight="1" x14ac:dyDescent="0.25">
      <c r="G119" s="16"/>
      <c r="H119" s="16"/>
      <c r="I119" s="26"/>
      <c r="J119" s="27" t="s">
        <v>4</v>
      </c>
      <c r="K119" s="28">
        <f>K117</f>
        <v>0</v>
      </c>
      <c r="L119" s="28">
        <f>L116</f>
        <v>0</v>
      </c>
      <c r="M119" s="27" t="s">
        <v>16</v>
      </c>
      <c r="N119" s="29"/>
      <c r="O119" s="17"/>
      <c r="P119" s="14"/>
      <c r="Q119" s="13"/>
      <c r="R119" s="18"/>
      <c r="S119" s="12"/>
      <c r="T119" s="1">
        <f>IF(AND(M98 = 1, U119 = 1), 1, 0)</f>
        <v>0</v>
      </c>
      <c r="U119" s="1">
        <f>IF(J97 = 1, 0, 1)</f>
        <v>1</v>
      </c>
      <c r="V119" s="12"/>
      <c r="W119" s="22"/>
      <c r="X119" s="22"/>
      <c r="Y119" s="22"/>
      <c r="Z119" s="37"/>
      <c r="AA119" s="37"/>
      <c r="AH119" s="99" t="s">
        <v>115</v>
      </c>
      <c r="AI119" s="109"/>
      <c r="AJ119" s="106"/>
      <c r="AK119" s="106"/>
      <c r="AL119" s="106"/>
      <c r="AM119" s="106"/>
      <c r="AN119" s="106"/>
      <c r="AO119" s="107"/>
    </row>
    <row r="120" spans="7:41" ht="15" customHeight="1" x14ac:dyDescent="0.25">
      <c r="G120" s="16"/>
      <c r="H120" s="16"/>
      <c r="I120" s="17"/>
      <c r="J120" s="17"/>
      <c r="K120" s="17"/>
      <c r="L120" s="1">
        <f>IF(_xlfn.XOR(M98 = 1, J97 = 1), 1, 0)</f>
        <v>0</v>
      </c>
      <c r="M120" s="27" t="s">
        <v>14</v>
      </c>
      <c r="N120" s="17"/>
      <c r="O120" s="17"/>
      <c r="P120" s="14"/>
      <c r="Q120" s="13"/>
      <c r="R120" s="18"/>
      <c r="S120" s="1">
        <f>IF(OR(S118 = 1, T119 =1), 1, 0)</f>
        <v>0</v>
      </c>
      <c r="T120" s="12"/>
      <c r="U120" s="12"/>
      <c r="V120" s="12"/>
      <c r="W120" s="22"/>
      <c r="X120" s="22"/>
      <c r="Y120" s="22"/>
      <c r="Z120" s="37"/>
      <c r="AA120" s="37"/>
    </row>
    <row r="121" spans="7:41" ht="15" customHeight="1" x14ac:dyDescent="0.25">
      <c r="G121" s="16"/>
      <c r="H121" s="16"/>
      <c r="I121" s="3"/>
      <c r="J121" s="5" t="s">
        <v>4</v>
      </c>
      <c r="K121" s="5" t="s">
        <v>5</v>
      </c>
      <c r="L121" s="5" t="s">
        <v>6</v>
      </c>
      <c r="M121" s="7"/>
      <c r="N121" s="8"/>
      <c r="O121" s="17"/>
      <c r="P121" s="14"/>
      <c r="Q121" s="13"/>
      <c r="R121" s="18"/>
      <c r="S121" s="22"/>
      <c r="T121" s="22"/>
      <c r="U121" s="22"/>
      <c r="V121" s="22"/>
      <c r="W121" s="22"/>
      <c r="X121" s="22"/>
      <c r="Y121" s="22"/>
      <c r="Z121" s="37"/>
      <c r="AA121" s="37"/>
    </row>
    <row r="122" spans="7:41" ht="15" customHeight="1" x14ac:dyDescent="0.25">
      <c r="G122" s="16"/>
      <c r="H122" s="16"/>
      <c r="I122" s="15"/>
      <c r="J122" s="1">
        <f>K119</f>
        <v>0</v>
      </c>
      <c r="K122" s="1">
        <f>M97</f>
        <v>0</v>
      </c>
      <c r="L122" s="1">
        <f>L120</f>
        <v>0</v>
      </c>
      <c r="M122" s="13"/>
      <c r="N122" s="14"/>
      <c r="O122" s="17"/>
      <c r="P122" s="14"/>
      <c r="Q122" s="13"/>
      <c r="R122" s="18"/>
      <c r="S122" s="1">
        <f>IF(AND(L97 = 1, J97 = 1), 1, 0)</f>
        <v>0</v>
      </c>
      <c r="T122" s="12"/>
      <c r="U122" s="12"/>
      <c r="V122" s="12"/>
      <c r="W122" s="22"/>
      <c r="X122" s="22"/>
      <c r="Y122" s="22"/>
      <c r="Z122" s="37"/>
      <c r="AA122" s="37"/>
    </row>
    <row r="123" spans="7:41" ht="15" customHeight="1" x14ac:dyDescent="0.25">
      <c r="G123" s="16"/>
      <c r="H123" s="16"/>
      <c r="I123" s="15"/>
      <c r="J123" s="13"/>
      <c r="K123" s="13"/>
      <c r="L123" s="13"/>
      <c r="M123" s="13"/>
      <c r="N123" s="137" t="s">
        <v>10</v>
      </c>
      <c r="O123" s="17"/>
      <c r="P123" s="14"/>
      <c r="Q123" s="13"/>
      <c r="R123" s="18"/>
      <c r="S123" s="12"/>
      <c r="T123" s="1">
        <f>IF(AND(L98 = 1, U123 = 1), 1, 0)</f>
        <v>0</v>
      </c>
      <c r="U123" s="1">
        <f>IF(J97 = 1, 0, 1)</f>
        <v>1</v>
      </c>
      <c r="V123" s="12"/>
      <c r="W123" s="22"/>
      <c r="X123" s="22"/>
      <c r="Y123" s="22"/>
      <c r="Z123" s="37"/>
      <c r="AA123" s="37"/>
    </row>
    <row r="124" spans="7:41" ht="15" customHeight="1" x14ac:dyDescent="0.25">
      <c r="G124" s="16"/>
      <c r="H124" s="16"/>
      <c r="I124" s="15"/>
      <c r="J124" s="12"/>
      <c r="K124" s="12"/>
      <c r="L124" s="1">
        <f>IF(_xlfn.XOR(K122 = 1, L122 = 1), 1, 0)</f>
        <v>0</v>
      </c>
      <c r="M124" s="13"/>
      <c r="N124" s="138"/>
      <c r="O124" s="17"/>
      <c r="P124" s="14"/>
      <c r="Q124" s="13"/>
      <c r="R124" s="18"/>
      <c r="S124" s="1">
        <f>IF(OR(S122 = 1, T123 =1), 1, 0)</f>
        <v>0</v>
      </c>
      <c r="T124" s="12"/>
      <c r="U124" s="12"/>
      <c r="V124" s="12"/>
      <c r="W124" s="22"/>
      <c r="X124" s="22"/>
      <c r="Y124" s="22"/>
      <c r="Z124" s="37"/>
      <c r="AA124" s="37"/>
    </row>
    <row r="125" spans="7:41" ht="15" customHeight="1" x14ac:dyDescent="0.25">
      <c r="G125" s="16"/>
      <c r="H125" s="16"/>
      <c r="I125" s="15"/>
      <c r="J125" s="1">
        <f>IF(AND(K122 = 1, L122 = 1), 1, 0)</f>
        <v>0</v>
      </c>
      <c r="K125" s="1">
        <f>IF(AND(J122 = 1, L124 = 1), 1, 0)</f>
        <v>0</v>
      </c>
      <c r="L125" s="12"/>
      <c r="M125" s="13"/>
      <c r="N125" s="139"/>
      <c r="O125" s="17"/>
      <c r="P125" s="14"/>
      <c r="Q125" s="13"/>
      <c r="R125" s="18"/>
      <c r="S125" s="22"/>
      <c r="T125" s="22"/>
      <c r="U125" s="22"/>
      <c r="V125" s="22"/>
      <c r="W125" s="22"/>
      <c r="X125" s="22"/>
      <c r="Y125" s="22"/>
      <c r="Z125" s="37"/>
      <c r="AA125" s="37"/>
    </row>
    <row r="126" spans="7:41" ht="15" customHeight="1" x14ac:dyDescent="0.25">
      <c r="G126" s="16"/>
      <c r="H126" s="16"/>
      <c r="I126" s="15"/>
      <c r="J126" s="12"/>
      <c r="K126" s="12"/>
      <c r="L126" s="1">
        <f>IF(_xlfn.XOR(J122 = 1, L124 = 1), 1, 0)</f>
        <v>0</v>
      </c>
      <c r="M126" s="13"/>
      <c r="N126" s="14"/>
      <c r="O126" s="17"/>
      <c r="P126" s="14"/>
      <c r="Q126" s="13"/>
      <c r="R126" s="40"/>
      <c r="S126" s="46">
        <f>S124</f>
        <v>0</v>
      </c>
      <c r="T126" s="46">
        <f>S120</f>
        <v>0</v>
      </c>
      <c r="U126" s="46">
        <f>S116</f>
        <v>0</v>
      </c>
      <c r="V126" s="46">
        <f>S112</f>
        <v>0</v>
      </c>
      <c r="W126" s="27" t="s">
        <v>16</v>
      </c>
      <c r="X126" s="39"/>
      <c r="Y126" s="39"/>
      <c r="Z126" s="41"/>
      <c r="AA126" s="37"/>
    </row>
    <row r="127" spans="7:41" ht="15" customHeight="1" x14ac:dyDescent="0.25">
      <c r="G127" s="16"/>
      <c r="H127" s="16"/>
      <c r="I127" s="15"/>
      <c r="J127" s="12"/>
      <c r="K127" s="1">
        <f>IF(OR(J125 = 1, K125 =1), 1, 0)</f>
        <v>0</v>
      </c>
      <c r="L127" s="12"/>
      <c r="M127" s="13"/>
      <c r="N127" s="14"/>
      <c r="O127" s="17"/>
      <c r="P127" s="14"/>
      <c r="Q127" s="13"/>
      <c r="R127" s="22"/>
      <c r="S127" s="22"/>
      <c r="T127" s="22"/>
      <c r="U127" s="22"/>
      <c r="V127" s="22"/>
      <c r="W127" s="22"/>
      <c r="X127" s="22"/>
      <c r="Y127" s="22"/>
      <c r="Z127" s="22"/>
      <c r="AA127" s="37"/>
    </row>
    <row r="128" spans="7:41" ht="15" customHeight="1" x14ac:dyDescent="0.25">
      <c r="G128" s="16"/>
      <c r="H128" s="16"/>
      <c r="I128" s="15"/>
      <c r="J128" s="13"/>
      <c r="K128" s="13"/>
      <c r="L128" s="13"/>
      <c r="M128" s="13"/>
      <c r="N128" s="14"/>
      <c r="O128" s="17"/>
      <c r="P128" s="14"/>
      <c r="Q128" s="13"/>
      <c r="R128" s="64"/>
      <c r="S128" s="57">
        <f>IF(AND(V126 = 1, H97 = 1), 1, 0)</f>
        <v>0</v>
      </c>
      <c r="T128" s="47"/>
      <c r="U128" s="47"/>
      <c r="V128" s="47"/>
      <c r="W128" s="65"/>
      <c r="X128" s="65"/>
      <c r="Y128" s="65"/>
      <c r="Z128" s="68"/>
      <c r="AA128" s="37"/>
    </row>
    <row r="129" spans="7:38" ht="15" customHeight="1" x14ac:dyDescent="0.25">
      <c r="G129" s="16"/>
      <c r="H129" s="16"/>
      <c r="I129" s="26"/>
      <c r="J129" s="27" t="s">
        <v>4</v>
      </c>
      <c r="K129" s="28">
        <f>K127</f>
        <v>0</v>
      </c>
      <c r="L129" s="28">
        <f>L126</f>
        <v>0</v>
      </c>
      <c r="M129" s="27" t="s">
        <v>16</v>
      </c>
      <c r="N129" s="29"/>
      <c r="O129" s="17"/>
      <c r="P129" s="14"/>
      <c r="Q129" s="13"/>
      <c r="R129" s="18"/>
      <c r="S129" s="12"/>
      <c r="T129" s="1">
        <f>IF(AND(O144 = 1, U129 = 1), 1, 0)</f>
        <v>0</v>
      </c>
      <c r="U129" s="1">
        <f>IF(H97 = 1, 0, 1)</f>
        <v>1</v>
      </c>
      <c r="V129" s="12"/>
      <c r="W129" s="22"/>
      <c r="X129" s="22"/>
      <c r="Y129" s="22"/>
      <c r="Z129" s="37"/>
      <c r="AA129" s="37"/>
      <c r="AL129" t="s">
        <v>45</v>
      </c>
    </row>
    <row r="130" spans="7:38" ht="15" customHeight="1" x14ac:dyDescent="0.25">
      <c r="G130" s="16"/>
      <c r="H130" s="16"/>
      <c r="I130" s="17"/>
      <c r="J130" s="17"/>
      <c r="K130" s="17"/>
      <c r="L130" s="1">
        <f>IF(_xlfn.XOR(L98 = 1, J97 = 1), 1, 0)</f>
        <v>0</v>
      </c>
      <c r="M130" s="27" t="s">
        <v>14</v>
      </c>
      <c r="N130" s="17"/>
      <c r="O130" s="17"/>
      <c r="P130" s="14"/>
      <c r="Q130" s="13"/>
      <c r="R130" s="18"/>
      <c r="S130" s="1">
        <f>IF(OR(S128 = 1, T129 =1), 1, 0)</f>
        <v>0</v>
      </c>
      <c r="T130" s="12"/>
      <c r="U130" s="12"/>
      <c r="V130" s="12"/>
      <c r="W130" s="22"/>
      <c r="X130" s="22"/>
      <c r="Y130" s="22"/>
      <c r="Z130" s="37"/>
      <c r="AA130" s="37"/>
    </row>
    <row r="131" spans="7:38" ht="15" customHeight="1" x14ac:dyDescent="0.25">
      <c r="G131" s="16"/>
      <c r="H131" s="16"/>
      <c r="I131" s="3"/>
      <c r="J131" s="5" t="s">
        <v>4</v>
      </c>
      <c r="K131" s="5" t="s">
        <v>5</v>
      </c>
      <c r="L131" s="5" t="s">
        <v>6</v>
      </c>
      <c r="M131" s="7"/>
      <c r="N131" s="8"/>
      <c r="O131" s="17"/>
      <c r="P131" s="14"/>
      <c r="Q131" s="13"/>
      <c r="R131" s="18"/>
      <c r="S131" s="22"/>
      <c r="T131" s="22"/>
      <c r="U131" s="22"/>
      <c r="V131" s="22"/>
      <c r="W131" s="22"/>
      <c r="X131" s="22"/>
      <c r="Y131" s="22"/>
      <c r="Z131" s="37"/>
      <c r="AA131" s="37"/>
    </row>
    <row r="132" spans="7:38" ht="15" customHeight="1" x14ac:dyDescent="0.25">
      <c r="G132" s="16"/>
      <c r="H132" s="16"/>
      <c r="I132" s="15"/>
      <c r="J132" s="1">
        <f>K129</f>
        <v>0</v>
      </c>
      <c r="K132" s="1">
        <f>L97</f>
        <v>0</v>
      </c>
      <c r="L132" s="1">
        <f>L130</f>
        <v>0</v>
      </c>
      <c r="M132" s="13"/>
      <c r="N132" s="14"/>
      <c r="O132" s="17"/>
      <c r="P132" s="14"/>
      <c r="Q132" s="13"/>
      <c r="R132" s="18"/>
      <c r="S132" s="1">
        <f>IF(AND(U126 = 1, H97 = 1), 1, 0)</f>
        <v>0</v>
      </c>
      <c r="T132" s="12"/>
      <c r="U132" s="12"/>
      <c r="V132" s="12"/>
      <c r="W132" s="22"/>
      <c r="X132" s="22"/>
      <c r="Y132" s="22"/>
      <c r="Z132" s="37"/>
      <c r="AA132" s="37"/>
    </row>
    <row r="133" spans="7:38" ht="15" customHeight="1" x14ac:dyDescent="0.25">
      <c r="G133" s="16"/>
      <c r="H133" s="16"/>
      <c r="I133" s="15"/>
      <c r="J133" s="13"/>
      <c r="K133" s="13"/>
      <c r="L133" s="13"/>
      <c r="M133" s="13"/>
      <c r="N133" s="137" t="s">
        <v>10</v>
      </c>
      <c r="O133" s="17"/>
      <c r="P133" s="14"/>
      <c r="Q133" s="13"/>
      <c r="R133" s="18"/>
      <c r="S133" s="12"/>
      <c r="T133" s="1">
        <f>IF(AND(N144 = 1, U133 = 1), 1, 0)</f>
        <v>0</v>
      </c>
      <c r="U133" s="1">
        <f>IF(H97 = 1, 0, 1)</f>
        <v>1</v>
      </c>
      <c r="V133" s="12"/>
      <c r="W133" s="22"/>
      <c r="X133" s="22"/>
      <c r="Y133" s="22"/>
      <c r="Z133" s="37"/>
      <c r="AA133" s="37"/>
    </row>
    <row r="134" spans="7:38" ht="15" customHeight="1" x14ac:dyDescent="0.25">
      <c r="G134" s="16"/>
      <c r="H134" s="16"/>
      <c r="I134" s="15"/>
      <c r="J134" s="12"/>
      <c r="K134" s="12"/>
      <c r="L134" s="1">
        <f>IF(_xlfn.XOR(K132 = 1, L132 = 1), 1, 0)</f>
        <v>0</v>
      </c>
      <c r="M134" s="13"/>
      <c r="N134" s="138"/>
      <c r="O134" s="17"/>
      <c r="P134" s="14"/>
      <c r="Q134" s="13"/>
      <c r="R134" s="18"/>
      <c r="S134" s="1">
        <f>IF(OR(S132 = 1, T133 =1), 1, 0)</f>
        <v>0</v>
      </c>
      <c r="T134" s="12"/>
      <c r="U134" s="12"/>
      <c r="V134" s="12"/>
      <c r="W134" s="22"/>
      <c r="X134" s="22"/>
      <c r="Y134" s="22"/>
      <c r="Z134" s="134" t="s">
        <v>50</v>
      </c>
      <c r="AA134" s="37"/>
    </row>
    <row r="135" spans="7:38" ht="15" customHeight="1" x14ac:dyDescent="0.25">
      <c r="G135" s="16"/>
      <c r="H135" s="16"/>
      <c r="I135" s="15"/>
      <c r="J135" s="1">
        <f>IF(AND(K132 = 1, L132 = 1), 1, 0)</f>
        <v>0</v>
      </c>
      <c r="K135" s="1">
        <f>IF(AND(J132 = 1, L134 = 1), 1, 0)</f>
        <v>0</v>
      </c>
      <c r="L135" s="12"/>
      <c r="M135" s="13"/>
      <c r="N135" s="139"/>
      <c r="O135" s="17"/>
      <c r="P135" s="14"/>
      <c r="Q135" s="13"/>
      <c r="R135" s="18"/>
      <c r="S135" s="22"/>
      <c r="T135" s="22"/>
      <c r="U135" s="22"/>
      <c r="V135" s="22"/>
      <c r="W135" s="22"/>
      <c r="X135" s="22"/>
      <c r="Y135" s="22"/>
      <c r="Z135" s="135"/>
      <c r="AA135" s="37"/>
    </row>
    <row r="136" spans="7:38" ht="15" customHeight="1" x14ac:dyDescent="0.25">
      <c r="G136" s="16"/>
      <c r="H136" s="16"/>
      <c r="I136" s="15"/>
      <c r="J136" s="12"/>
      <c r="K136" s="12"/>
      <c r="L136" s="1">
        <f>IF(_xlfn.XOR(J132 = 1, L134 = 1), 1, 0)</f>
        <v>0</v>
      </c>
      <c r="M136" s="13"/>
      <c r="N136" s="14"/>
      <c r="O136" s="17"/>
      <c r="P136" s="14"/>
      <c r="Q136" s="13"/>
      <c r="R136" s="18"/>
      <c r="S136" s="1">
        <f>IF(AND(T126 = 1, H97 = 1), 1, 0)</f>
        <v>0</v>
      </c>
      <c r="T136" s="12"/>
      <c r="U136" s="12"/>
      <c r="V136" s="12"/>
      <c r="W136" s="22"/>
      <c r="X136" s="22"/>
      <c r="Y136" s="22"/>
      <c r="Z136" s="136"/>
      <c r="AA136" s="37"/>
    </row>
    <row r="137" spans="7:38" ht="15" customHeight="1" x14ac:dyDescent="0.25">
      <c r="G137" s="16"/>
      <c r="H137" s="16"/>
      <c r="I137" s="15"/>
      <c r="J137" s="12"/>
      <c r="K137" s="1">
        <f>IF(OR(J135 = 1, K135 =1), 1, 0)</f>
        <v>0</v>
      </c>
      <c r="L137" s="12"/>
      <c r="M137" s="13"/>
      <c r="N137" s="14"/>
      <c r="O137" s="17"/>
      <c r="P137" s="14"/>
      <c r="Q137" s="13"/>
      <c r="R137" s="18"/>
      <c r="S137" s="12"/>
      <c r="T137" s="1">
        <f>IF(AND(M144 = 1, U137 = 1), 1, 0)</f>
        <v>0</v>
      </c>
      <c r="U137" s="1">
        <f>IF(H97 = 1, 0, 1)</f>
        <v>1</v>
      </c>
      <c r="V137" s="12"/>
      <c r="W137" s="22"/>
      <c r="X137" s="22"/>
      <c r="Y137" s="22"/>
      <c r="Z137" s="37"/>
      <c r="AA137" s="37"/>
    </row>
    <row r="138" spans="7:38" ht="15" customHeight="1" x14ac:dyDescent="0.25">
      <c r="G138" s="16"/>
      <c r="H138" s="16"/>
      <c r="I138" s="15"/>
      <c r="J138" s="13"/>
      <c r="K138" s="13"/>
      <c r="L138" s="13"/>
      <c r="M138" s="13"/>
      <c r="N138" s="14"/>
      <c r="O138" s="17"/>
      <c r="P138" s="14"/>
      <c r="Q138" s="13"/>
      <c r="R138" s="18"/>
      <c r="S138" s="1">
        <f>IF(OR(S136 = 1, T137 =1), 1, 0)</f>
        <v>0</v>
      </c>
      <c r="T138" s="12"/>
      <c r="U138" s="12"/>
      <c r="V138" s="12"/>
      <c r="W138" s="22"/>
      <c r="X138" s="22"/>
      <c r="Y138" s="22"/>
      <c r="Z138" s="37"/>
      <c r="AA138" s="37"/>
    </row>
    <row r="139" spans="7:38" ht="15" customHeight="1" x14ac:dyDescent="0.25">
      <c r="G139" s="16"/>
      <c r="H139" s="16"/>
      <c r="I139" s="26"/>
      <c r="J139" s="27" t="s">
        <v>4</v>
      </c>
      <c r="K139" s="28">
        <f>K137</f>
        <v>0</v>
      </c>
      <c r="L139" s="28">
        <f>L136</f>
        <v>0</v>
      </c>
      <c r="M139" s="27" t="s">
        <v>16</v>
      </c>
      <c r="N139" s="29"/>
      <c r="O139" s="17"/>
      <c r="P139" s="14"/>
      <c r="Q139" s="13"/>
      <c r="R139" s="18"/>
      <c r="S139" s="22"/>
      <c r="T139" s="22"/>
      <c r="U139" s="22"/>
      <c r="V139" s="22"/>
      <c r="W139" s="22"/>
      <c r="X139" s="22"/>
      <c r="Y139" s="22"/>
      <c r="Z139" s="37"/>
      <c r="AA139" s="37"/>
    </row>
    <row r="140" spans="7:38" ht="15" customHeight="1" x14ac:dyDescent="0.25">
      <c r="G140" s="16"/>
      <c r="H140" s="16"/>
      <c r="I140" s="17"/>
      <c r="J140" s="17"/>
      <c r="K140" s="17"/>
      <c r="L140" s="17"/>
      <c r="M140" s="17"/>
      <c r="N140" s="17"/>
      <c r="O140" s="17"/>
      <c r="P140" s="14"/>
      <c r="Q140" s="13"/>
      <c r="R140" s="18"/>
      <c r="S140" s="1">
        <f>IF(AND(S126 = 1, H97 = 1), 1, 0)</f>
        <v>0</v>
      </c>
      <c r="T140" s="12"/>
      <c r="U140" s="12"/>
      <c r="V140" s="12"/>
      <c r="W140" s="22"/>
      <c r="X140" s="22"/>
      <c r="Y140" s="22"/>
      <c r="Z140" s="37"/>
      <c r="AA140" s="37"/>
    </row>
    <row r="141" spans="7:38" ht="15" customHeight="1" x14ac:dyDescent="0.25">
      <c r="G141" s="16"/>
      <c r="H141" s="16"/>
      <c r="I141" s="17"/>
      <c r="J141" s="17"/>
      <c r="K141" s="17"/>
      <c r="L141" s="17"/>
      <c r="M141" s="17"/>
      <c r="N141" s="17"/>
      <c r="O141" s="17"/>
      <c r="P141" s="14"/>
      <c r="Q141" s="13"/>
      <c r="R141" s="18"/>
      <c r="S141" s="12"/>
      <c r="T141" s="1">
        <f>IF(AND(L144 = 1, U141 = 1), 1, 0)</f>
        <v>0</v>
      </c>
      <c r="U141" s="1">
        <f>IF(H97 = 1, 0, 1)</f>
        <v>1</v>
      </c>
      <c r="V141" s="12"/>
      <c r="W141" s="22"/>
      <c r="X141" s="22"/>
      <c r="Y141" s="22"/>
      <c r="Z141" s="37"/>
      <c r="AA141" s="37"/>
    </row>
    <row r="142" spans="7:38" ht="15" customHeight="1" x14ac:dyDescent="0.25">
      <c r="G142" s="16"/>
      <c r="H142" s="16"/>
      <c r="I142" s="17"/>
      <c r="J142" s="17"/>
      <c r="K142" s="17"/>
      <c r="L142" s="17"/>
      <c r="M142" s="17"/>
      <c r="N142" s="17"/>
      <c r="O142" s="17"/>
      <c r="P142" s="14"/>
      <c r="Q142" s="13"/>
      <c r="R142" s="18"/>
      <c r="S142" s="1">
        <f>IF(OR(S140 = 1, T141 =1), 1, 0)</f>
        <v>0</v>
      </c>
      <c r="T142" s="12"/>
      <c r="U142" s="12"/>
      <c r="V142" s="12"/>
      <c r="W142" s="22"/>
      <c r="X142" s="22"/>
      <c r="Y142" s="22"/>
      <c r="Z142" s="37"/>
      <c r="AA142" s="37"/>
    </row>
    <row r="143" spans="7:38" ht="15" customHeight="1" x14ac:dyDescent="0.25">
      <c r="G143" s="16"/>
      <c r="H143" s="16"/>
      <c r="I143" s="1">
        <f>IF(_xlfn.XOR(K139 = 1, K129 = 1), 1, 0)</f>
        <v>0</v>
      </c>
      <c r="J143" s="128" t="s">
        <v>32</v>
      </c>
      <c r="K143" s="129"/>
      <c r="L143" s="17"/>
      <c r="M143" s="17"/>
      <c r="N143" s="17"/>
      <c r="O143" s="17"/>
      <c r="P143" s="14"/>
      <c r="Q143" s="13"/>
      <c r="R143" s="18"/>
      <c r="S143" s="22"/>
      <c r="T143" s="22"/>
      <c r="U143" s="22"/>
      <c r="V143" s="22"/>
      <c r="W143" s="22"/>
      <c r="X143" s="22"/>
      <c r="Y143" s="22"/>
      <c r="Z143" s="37"/>
      <c r="AA143" s="37"/>
    </row>
    <row r="144" spans="7:38" ht="15" customHeight="1" x14ac:dyDescent="0.25">
      <c r="G144" s="16"/>
      <c r="H144" s="31"/>
      <c r="I144" s="28">
        <f>K139</f>
        <v>0</v>
      </c>
      <c r="J144" s="125" t="s">
        <v>33</v>
      </c>
      <c r="K144" s="126"/>
      <c r="L144" s="28">
        <f>L139</f>
        <v>0</v>
      </c>
      <c r="M144" s="28">
        <f>L129</f>
        <v>0</v>
      </c>
      <c r="N144" s="28">
        <f>L119</f>
        <v>0</v>
      </c>
      <c r="O144" s="28">
        <f>L109</f>
        <v>0</v>
      </c>
      <c r="P144" s="45" t="s">
        <v>31</v>
      </c>
      <c r="Q144" s="13"/>
      <c r="R144" s="40"/>
      <c r="S144" s="46">
        <f>S142</f>
        <v>0</v>
      </c>
      <c r="T144" s="46">
        <f>S138</f>
        <v>0</v>
      </c>
      <c r="U144" s="46">
        <f>S134</f>
        <v>0</v>
      </c>
      <c r="V144" s="46">
        <f>S130</f>
        <v>0</v>
      </c>
      <c r="W144" s="27" t="s">
        <v>16</v>
      </c>
      <c r="X144" s="39"/>
      <c r="Y144" s="39"/>
      <c r="Z144" s="41"/>
      <c r="AA144" s="37"/>
    </row>
    <row r="145" spans="7:27" ht="15" customHeight="1" x14ac:dyDescent="0.25">
      <c r="G145" s="16"/>
      <c r="H145" s="13"/>
      <c r="I145" s="13"/>
      <c r="J145" s="13"/>
      <c r="K145" s="13"/>
      <c r="L145" s="13"/>
      <c r="M145" s="13"/>
      <c r="N145" s="13"/>
      <c r="O145" s="13"/>
      <c r="P145" s="13"/>
      <c r="Q145" s="13"/>
      <c r="R145" s="13"/>
      <c r="S145" s="13"/>
      <c r="T145" s="13"/>
      <c r="U145" s="13"/>
      <c r="V145" s="13"/>
      <c r="W145" s="13"/>
      <c r="X145" s="13"/>
      <c r="Y145" s="13"/>
      <c r="Z145" s="13"/>
      <c r="AA145" s="37"/>
    </row>
    <row r="146" spans="7:27" ht="15" customHeight="1" x14ac:dyDescent="0.25">
      <c r="G146" s="16"/>
      <c r="H146" s="13"/>
      <c r="I146" s="13"/>
      <c r="J146" s="13"/>
      <c r="K146" s="13"/>
      <c r="L146" s="13"/>
      <c r="M146" s="13"/>
      <c r="N146" s="13"/>
      <c r="O146" s="13"/>
      <c r="P146" s="13"/>
      <c r="Q146" s="13"/>
      <c r="R146" s="13"/>
      <c r="S146" s="1">
        <f>IF(OR(U144 = 1, V144 =1), 1, 0)</f>
        <v>0</v>
      </c>
      <c r="T146" s="13"/>
      <c r="U146" s="13"/>
      <c r="V146" s="13"/>
      <c r="W146" s="13"/>
      <c r="X146" s="13"/>
      <c r="Y146" s="13"/>
      <c r="Z146" s="13"/>
      <c r="AA146" s="37"/>
    </row>
    <row r="147" spans="7:27" ht="15" customHeight="1" x14ac:dyDescent="0.25">
      <c r="G147" s="16"/>
      <c r="H147" s="13"/>
      <c r="I147" s="13"/>
      <c r="J147" s="13"/>
      <c r="K147" s="13"/>
      <c r="L147" s="13"/>
      <c r="M147" s="13"/>
      <c r="N147" s="13"/>
      <c r="O147" s="13"/>
      <c r="P147" s="13"/>
      <c r="Q147" s="13"/>
      <c r="R147" s="13"/>
      <c r="S147" s="1">
        <f>IF(OR(S146 = 1, T144 =1), 1, 0)</f>
        <v>0</v>
      </c>
      <c r="T147" s="13"/>
      <c r="U147" s="13"/>
      <c r="V147" s="13"/>
      <c r="W147" s="13"/>
      <c r="X147" s="13"/>
      <c r="Y147" s="13"/>
      <c r="Z147" s="13"/>
      <c r="AA147" s="37"/>
    </row>
    <row r="148" spans="7:27" ht="15" customHeight="1" x14ac:dyDescent="0.25">
      <c r="G148" s="16"/>
      <c r="H148" s="13"/>
      <c r="I148" s="13"/>
      <c r="J148" s="13"/>
      <c r="K148" s="13"/>
      <c r="L148" s="13"/>
      <c r="M148" s="13"/>
      <c r="N148" s="13"/>
      <c r="O148" s="13"/>
      <c r="P148" s="13"/>
      <c r="Q148" s="13"/>
      <c r="R148" s="13"/>
      <c r="S148" s="1">
        <f>IF(OR(S147 = 1, S144 =1), 1, 0)</f>
        <v>0</v>
      </c>
      <c r="T148" s="13"/>
      <c r="U148" s="13"/>
      <c r="V148" s="13"/>
      <c r="W148" s="13"/>
      <c r="X148" s="13"/>
      <c r="Y148" s="13"/>
      <c r="Z148" s="13"/>
      <c r="AA148" s="37"/>
    </row>
    <row r="149" spans="7:27" ht="15" customHeight="1" x14ac:dyDescent="0.25">
      <c r="G149" s="16"/>
      <c r="H149" s="13"/>
      <c r="I149" s="13"/>
      <c r="J149" s="13"/>
      <c r="K149" s="13"/>
      <c r="L149" s="13"/>
      <c r="M149" s="13"/>
      <c r="N149" s="13"/>
      <c r="O149" s="13"/>
      <c r="P149" s="13"/>
      <c r="Q149" s="13"/>
      <c r="R149" s="13"/>
      <c r="S149" s="1">
        <f>IF(S148 = 1, 0, 1)</f>
        <v>1</v>
      </c>
      <c r="T149" s="13"/>
      <c r="U149" s="13"/>
      <c r="V149" s="13"/>
      <c r="W149" s="13"/>
      <c r="X149" s="13"/>
      <c r="Y149" s="13"/>
      <c r="Z149" s="13"/>
      <c r="AA149" s="37"/>
    </row>
    <row r="150" spans="7:27" ht="15" customHeight="1" x14ac:dyDescent="0.25">
      <c r="G150" s="16"/>
      <c r="H150" s="13"/>
      <c r="I150" s="13"/>
      <c r="J150" s="13"/>
      <c r="K150" s="13"/>
      <c r="L150" s="13"/>
      <c r="M150" s="13"/>
      <c r="N150" s="13"/>
      <c r="O150" s="13"/>
      <c r="P150" s="13"/>
      <c r="Q150" s="13"/>
      <c r="R150" s="13"/>
      <c r="S150" s="13"/>
      <c r="T150" s="13"/>
      <c r="U150" s="13"/>
      <c r="V150" s="13"/>
      <c r="W150" s="13"/>
      <c r="X150" s="13"/>
      <c r="Y150" s="13"/>
      <c r="Z150" s="13"/>
      <c r="AA150" s="37"/>
    </row>
    <row r="151" spans="7:27" ht="15" customHeight="1" x14ac:dyDescent="0.25">
      <c r="G151" s="40"/>
      <c r="H151" s="39"/>
      <c r="I151" s="39"/>
      <c r="J151" s="46">
        <f>S144</f>
        <v>0</v>
      </c>
      <c r="K151" s="127" t="s">
        <v>52</v>
      </c>
      <c r="L151" s="127"/>
      <c r="M151" s="28">
        <f>I144</f>
        <v>0</v>
      </c>
      <c r="N151" s="125" t="s">
        <v>33</v>
      </c>
      <c r="O151" s="126"/>
      <c r="P151" s="28">
        <f>I143</f>
        <v>0</v>
      </c>
      <c r="Q151" s="125" t="s">
        <v>32</v>
      </c>
      <c r="R151" s="126"/>
      <c r="S151" s="46">
        <f>S149</f>
        <v>1</v>
      </c>
      <c r="T151" s="27" t="s">
        <v>37</v>
      </c>
      <c r="U151" s="46">
        <f>S144</f>
        <v>0</v>
      </c>
      <c r="V151" s="46">
        <f>T144</f>
        <v>0</v>
      </c>
      <c r="W151" s="46">
        <f>U144</f>
        <v>0</v>
      </c>
      <c r="X151" s="46">
        <f>V144</f>
        <v>0</v>
      </c>
      <c r="Y151" s="27" t="s">
        <v>16</v>
      </c>
      <c r="Z151" s="39"/>
      <c r="AA151" s="41"/>
    </row>
    <row r="153" spans="7:27" ht="15" customHeight="1" x14ac:dyDescent="0.25">
      <c r="P153" s="70" t="s">
        <v>45</v>
      </c>
    </row>
  </sheetData>
  <mergeCells count="76">
    <mergeCell ref="AU86:AV86"/>
    <mergeCell ref="AW86:AX86"/>
    <mergeCell ref="AO80:AV80"/>
    <mergeCell ref="AW80:BD80"/>
    <mergeCell ref="BE81:BF81"/>
    <mergeCell ref="BE82:BF82"/>
    <mergeCell ref="AU85:AV85"/>
    <mergeCell ref="AW85:AX85"/>
    <mergeCell ref="BE83:BF83"/>
    <mergeCell ref="AU88:AV88"/>
    <mergeCell ref="AU87:AV87"/>
    <mergeCell ref="AW87:AX87"/>
    <mergeCell ref="AW88:AX88"/>
    <mergeCell ref="AU90:AV90"/>
    <mergeCell ref="AW90:AX90"/>
    <mergeCell ref="AU89:AX89"/>
    <mergeCell ref="AL93:AN93"/>
    <mergeCell ref="AL101:AN101"/>
    <mergeCell ref="AA89:AB89"/>
    <mergeCell ref="AA90:AB90"/>
    <mergeCell ref="AL99:AN99"/>
    <mergeCell ref="AL100:AN100"/>
    <mergeCell ref="AF93:AG93"/>
    <mergeCell ref="AF94:AG94"/>
    <mergeCell ref="AF95:AG95"/>
    <mergeCell ref="AE92:AG92"/>
    <mergeCell ref="AL94:AN94"/>
    <mergeCell ref="AL95:AN95"/>
    <mergeCell ref="AL96:AN96"/>
    <mergeCell ref="AL97:AN97"/>
    <mergeCell ref="AL98:AN98"/>
    <mergeCell ref="AI56:AI58"/>
    <mergeCell ref="P100:P102"/>
    <mergeCell ref="N103:N105"/>
    <mergeCell ref="N113:N115"/>
    <mergeCell ref="N123:N125"/>
    <mergeCell ref="X100:X102"/>
    <mergeCell ref="X105:X107"/>
    <mergeCell ref="Z116:Z118"/>
    <mergeCell ref="W61:W63"/>
    <mergeCell ref="S71:T71"/>
    <mergeCell ref="S72:T72"/>
    <mergeCell ref="N60:N62"/>
    <mergeCell ref="AA103:AA105"/>
    <mergeCell ref="AH92:AJ92"/>
    <mergeCell ref="AA87:AB87"/>
    <mergeCell ref="AA88:AB88"/>
    <mergeCell ref="AH27:AH29"/>
    <mergeCell ref="Y28:Y30"/>
    <mergeCell ref="AG35:AG37"/>
    <mergeCell ref="W31:W33"/>
    <mergeCell ref="M5:M7"/>
    <mergeCell ref="N36:N38"/>
    <mergeCell ref="N24:N26"/>
    <mergeCell ref="X6:X8"/>
    <mergeCell ref="AF8:AF10"/>
    <mergeCell ref="O12:Q14"/>
    <mergeCell ref="N16:N18"/>
    <mergeCell ref="AE18:AE20"/>
    <mergeCell ref="W18:W20"/>
    <mergeCell ref="Z134:Z136"/>
    <mergeCell ref="N133:N135"/>
    <mergeCell ref="G85:J85"/>
    <mergeCell ref="W51:W53"/>
    <mergeCell ref="AG42:AG44"/>
    <mergeCell ref="W41:W43"/>
    <mergeCell ref="N48:N50"/>
    <mergeCell ref="E85:F85"/>
    <mergeCell ref="G80:J80"/>
    <mergeCell ref="Q151:R151"/>
    <mergeCell ref="N151:O151"/>
    <mergeCell ref="K151:L151"/>
    <mergeCell ref="J143:K143"/>
    <mergeCell ref="J144:K144"/>
    <mergeCell ref="H98:I98"/>
    <mergeCell ref="K97:K98"/>
  </mergeCells>
  <conditionalFormatting sqref="A1 U12:V12">
    <cfRule type="cellIs" dxfId="485" priority="425" operator="equal">
      <formula>1</formula>
    </cfRule>
    <cfRule type="cellIs" dxfId="484" priority="424" operator="equal">
      <formula>0</formula>
    </cfRule>
  </conditionalFormatting>
  <conditionalFormatting sqref="A3">
    <cfRule type="cellIs" dxfId="483" priority="427" operator="equal">
      <formula>1</formula>
    </cfRule>
    <cfRule type="cellIs" dxfId="482" priority="426" operator="equal">
      <formula>0</formula>
    </cfRule>
  </conditionalFormatting>
  <conditionalFormatting sqref="A5">
    <cfRule type="cellIs" dxfId="481" priority="429" operator="equal">
      <formula>1</formula>
    </cfRule>
    <cfRule type="cellIs" dxfId="480" priority="428" operator="equal">
      <formula>0</formula>
    </cfRule>
  </conditionalFormatting>
  <conditionalFormatting sqref="A7">
    <cfRule type="cellIs" dxfId="479" priority="431" operator="equal">
      <formula>1</formula>
    </cfRule>
    <cfRule type="cellIs" dxfId="478" priority="430" operator="equal">
      <formula>0</formula>
    </cfRule>
  </conditionalFormatting>
  <conditionalFormatting sqref="A9">
    <cfRule type="cellIs" dxfId="477" priority="432" operator="equal">
      <formula>0</formula>
    </cfRule>
    <cfRule type="cellIs" dxfId="476" priority="433" operator="equal">
      <formula>1</formula>
    </cfRule>
  </conditionalFormatting>
  <conditionalFormatting sqref="A11 R71:R72">
    <cfRule type="cellIs" dxfId="475" priority="434" operator="equal">
      <formula>0</formula>
    </cfRule>
    <cfRule type="cellIs" dxfId="474" priority="435" operator="equal">
      <formula>1</formula>
    </cfRule>
  </conditionalFormatting>
  <conditionalFormatting sqref="A13">
    <cfRule type="cellIs" dxfId="473" priority="437" operator="equal">
      <formula>1</formula>
    </cfRule>
    <cfRule type="cellIs" dxfId="472" priority="436" operator="equal">
      <formula>0</formula>
    </cfRule>
  </conditionalFormatting>
  <conditionalFormatting sqref="A15">
    <cfRule type="cellIs" dxfId="471" priority="439" operator="equal">
      <formula>1</formula>
    </cfRule>
    <cfRule type="cellIs" dxfId="470" priority="438" operator="equal">
      <formula>0</formula>
    </cfRule>
  </conditionalFormatting>
  <conditionalFormatting sqref="A17">
    <cfRule type="cellIs" dxfId="469" priority="440" operator="equal">
      <formula>0</formula>
    </cfRule>
    <cfRule type="cellIs" dxfId="468" priority="441" operator="equal">
      <formula>1</formula>
    </cfRule>
  </conditionalFormatting>
  <conditionalFormatting sqref="A19">
    <cfRule type="cellIs" dxfId="467" priority="442" operator="equal">
      <formula>0</formula>
    </cfRule>
    <cfRule type="cellIs" dxfId="466" priority="443" operator="equal">
      <formula>1</formula>
    </cfRule>
  </conditionalFormatting>
  <conditionalFormatting sqref="A21">
    <cfRule type="cellIs" dxfId="465" priority="445" operator="equal">
      <formula>1</formula>
    </cfRule>
    <cfRule type="cellIs" dxfId="464" priority="444" operator="equal">
      <formula>0</formula>
    </cfRule>
  </conditionalFormatting>
  <conditionalFormatting sqref="C1">
    <cfRule type="cellIs" dxfId="463" priority="446" operator="equal">
      <formula>0</formula>
    </cfRule>
    <cfRule type="cellIs" dxfId="462" priority="447" operator="equal">
      <formula>1</formula>
    </cfRule>
  </conditionalFormatting>
  <conditionalFormatting sqref="C3">
    <cfRule type="cellIs" dxfId="461" priority="448" operator="equal">
      <formula>0</formula>
    </cfRule>
    <cfRule type="cellIs" dxfId="460" priority="449" operator="equal">
      <formula>1</formula>
    </cfRule>
  </conditionalFormatting>
  <conditionalFormatting sqref="E1">
    <cfRule type="cellIs" dxfId="459" priority="450" operator="equal">
      <formula>0</formula>
    </cfRule>
    <cfRule type="cellIs" dxfId="458" priority="451" operator="equal">
      <formula>1</formula>
    </cfRule>
  </conditionalFormatting>
  <conditionalFormatting sqref="F87">
    <cfRule type="cellIs" dxfId="457" priority="58" operator="equal">
      <formula>0</formula>
    </cfRule>
    <cfRule type="cellIs" dxfId="456" priority="59" operator="equal">
      <formula>1</formula>
    </cfRule>
  </conditionalFormatting>
  <conditionalFormatting sqref="F91:I94">
    <cfRule type="cellIs" dxfId="455" priority="42" operator="greaterThan">
      <formula>0</formula>
    </cfRule>
    <cfRule type="containsText" dxfId="454" priority="41" operator="containsText" text="0000">
      <formula>NOT(ISERROR(SEARCH("0000",F91)))</formula>
    </cfRule>
  </conditionalFormatting>
  <conditionalFormatting sqref="G12">
    <cfRule type="cellIs" dxfId="453" priority="453" operator="equal">
      <formula>1</formula>
    </cfRule>
    <cfRule type="cellIs" dxfId="452" priority="452" operator="equal">
      <formula>0</formula>
    </cfRule>
  </conditionalFormatting>
  <conditionalFormatting sqref="G14">
    <cfRule type="cellIs" dxfId="451" priority="454" operator="equal">
      <formula>0</formula>
    </cfRule>
    <cfRule type="cellIs" dxfId="450" priority="455" operator="equal">
      <formula>1</formula>
    </cfRule>
  </conditionalFormatting>
  <conditionalFormatting sqref="H20">
    <cfRule type="cellIs" dxfId="449" priority="515" operator="equal">
      <formula>1</formula>
    </cfRule>
    <cfRule type="cellIs" dxfId="448" priority="514" operator="equal">
      <formula>0</formula>
    </cfRule>
  </conditionalFormatting>
  <conditionalFormatting sqref="H32">
    <cfRule type="cellIs" dxfId="447" priority="539" operator="equal">
      <formula>1</formula>
    </cfRule>
    <cfRule type="cellIs" dxfId="446" priority="538" operator="equal">
      <formula>0</formula>
    </cfRule>
  </conditionalFormatting>
  <conditionalFormatting sqref="H44">
    <cfRule type="cellIs" dxfId="445" priority="563" operator="equal">
      <formula>1</formula>
    </cfRule>
    <cfRule type="cellIs" dxfId="444" priority="562" operator="equal">
      <formula>0</formula>
    </cfRule>
  </conditionalFormatting>
  <conditionalFormatting sqref="H56">
    <cfRule type="cellIs" dxfId="443" priority="587" operator="equal">
      <formula>1</formula>
    </cfRule>
    <cfRule type="cellIs" dxfId="442" priority="586" operator="equal">
      <formula>0</formula>
    </cfRule>
  </conditionalFormatting>
  <conditionalFormatting sqref="H68">
    <cfRule type="cellIs" dxfId="441" priority="603" operator="equal">
      <formula>1</formula>
    </cfRule>
    <cfRule type="cellIs" dxfId="440" priority="602" operator="equal">
      <formula>0</formula>
    </cfRule>
  </conditionalFormatting>
  <conditionalFormatting sqref="H97">
    <cfRule type="cellIs" dxfId="439" priority="213" operator="equal">
      <formula>1</formula>
    </cfRule>
    <cfRule type="cellIs" dxfId="438" priority="212" operator="equal">
      <formula>0</formula>
    </cfRule>
  </conditionalFormatting>
  <conditionalFormatting sqref="H16:K17">
    <cfRule type="cellIs" dxfId="437" priority="600" operator="equal">
      <formula>0</formula>
    </cfRule>
    <cfRule type="cellIs" dxfId="436" priority="601" operator="equal">
      <formula>1</formula>
    </cfRule>
  </conditionalFormatting>
  <conditionalFormatting sqref="H87:K89 AU90 AW90">
    <cfRule type="cellIs" dxfId="435" priority="34" operator="greaterThanOrEqual">
      <formula>1</formula>
    </cfRule>
    <cfRule type="cellIs" dxfId="434" priority="33" operator="equal">
      <formula>0</formula>
    </cfRule>
  </conditionalFormatting>
  <conditionalFormatting sqref="I12">
    <cfRule type="cellIs" dxfId="433" priority="460" operator="equal">
      <formula>0</formula>
    </cfRule>
    <cfRule type="cellIs" dxfId="432" priority="461" operator="equal">
      <formula>1</formula>
    </cfRule>
  </conditionalFormatting>
  <conditionalFormatting sqref="I14">
    <cfRule type="cellIs" dxfId="431" priority="462" operator="equal">
      <formula>0</formula>
    </cfRule>
    <cfRule type="cellIs" dxfId="430" priority="463" operator="equal">
      <formula>1</formula>
    </cfRule>
  </conditionalFormatting>
  <conditionalFormatting sqref="I23">
    <cfRule type="cellIs" dxfId="429" priority="504" operator="equal">
      <formula>0</formula>
    </cfRule>
    <cfRule type="cellIs" dxfId="428" priority="505" operator="equal">
      <formula>1</formula>
    </cfRule>
  </conditionalFormatting>
  <conditionalFormatting sqref="I25">
    <cfRule type="cellIs" dxfId="427" priority="512" operator="equal">
      <formula>0</formula>
    </cfRule>
    <cfRule type="cellIs" dxfId="426" priority="513" operator="equal">
      <formula>1</formula>
    </cfRule>
  </conditionalFormatting>
  <conditionalFormatting sqref="I28">
    <cfRule type="cellIs" dxfId="425" priority="520" operator="equal">
      <formula>0</formula>
    </cfRule>
    <cfRule type="cellIs" dxfId="424" priority="521" operator="equal">
      <formula>1</formula>
    </cfRule>
  </conditionalFormatting>
  <conditionalFormatting sqref="I30">
    <cfRule type="cellIs" dxfId="423" priority="526" operator="equal">
      <formula>0</formula>
    </cfRule>
    <cfRule type="cellIs" dxfId="422" priority="527" operator="equal">
      <formula>1</formula>
    </cfRule>
  </conditionalFormatting>
  <conditionalFormatting sqref="I35">
    <cfRule type="cellIs" dxfId="421" priority="528" operator="equal">
      <formula>0</formula>
    </cfRule>
    <cfRule type="cellIs" dxfId="420" priority="529" operator="equal">
      <formula>1</formula>
    </cfRule>
  </conditionalFormatting>
  <conditionalFormatting sqref="I37">
    <cfRule type="cellIs" dxfId="419" priority="536" operator="equal">
      <formula>0</formula>
    </cfRule>
    <cfRule type="cellIs" dxfId="418" priority="537" operator="equal">
      <formula>1</formula>
    </cfRule>
  </conditionalFormatting>
  <conditionalFormatting sqref="I40">
    <cfRule type="cellIs" dxfId="417" priority="545" operator="equal">
      <formula>1</formula>
    </cfRule>
    <cfRule type="cellIs" dxfId="416" priority="544" operator="equal">
      <formula>0</formula>
    </cfRule>
  </conditionalFormatting>
  <conditionalFormatting sqref="I42">
    <cfRule type="cellIs" dxfId="415" priority="550" operator="equal">
      <formula>0</formula>
    </cfRule>
    <cfRule type="cellIs" dxfId="414" priority="551" operator="equal">
      <formula>1</formula>
    </cfRule>
  </conditionalFormatting>
  <conditionalFormatting sqref="I47">
    <cfRule type="cellIs" dxfId="413" priority="553" operator="equal">
      <formula>1</formula>
    </cfRule>
    <cfRule type="cellIs" dxfId="412" priority="552" operator="equal">
      <formula>0</formula>
    </cfRule>
  </conditionalFormatting>
  <conditionalFormatting sqref="I49">
    <cfRule type="cellIs" dxfId="411" priority="561" operator="equal">
      <formula>1</formula>
    </cfRule>
    <cfRule type="cellIs" dxfId="410" priority="560" operator="equal">
      <formula>0</formula>
    </cfRule>
  </conditionalFormatting>
  <conditionalFormatting sqref="I52">
    <cfRule type="cellIs" dxfId="409" priority="568" operator="equal">
      <formula>0</formula>
    </cfRule>
    <cfRule type="cellIs" dxfId="408" priority="569" operator="equal">
      <formula>1</formula>
    </cfRule>
  </conditionalFormatting>
  <conditionalFormatting sqref="I54">
    <cfRule type="cellIs" dxfId="407" priority="575" operator="equal">
      <formula>1</formula>
    </cfRule>
    <cfRule type="cellIs" dxfId="406" priority="574" operator="equal">
      <formula>0</formula>
    </cfRule>
  </conditionalFormatting>
  <conditionalFormatting sqref="I59">
    <cfRule type="cellIs" dxfId="405" priority="576" operator="equal">
      <formula>0</formula>
    </cfRule>
    <cfRule type="cellIs" dxfId="404" priority="577" operator="equal">
      <formula>1</formula>
    </cfRule>
  </conditionalFormatting>
  <conditionalFormatting sqref="I61">
    <cfRule type="cellIs" dxfId="403" priority="584" operator="equal">
      <formula>0</formula>
    </cfRule>
    <cfRule type="cellIs" dxfId="402" priority="585" operator="equal">
      <formula>1</formula>
    </cfRule>
  </conditionalFormatting>
  <conditionalFormatting sqref="I64">
    <cfRule type="cellIs" dxfId="401" priority="593" operator="equal">
      <formula>1</formula>
    </cfRule>
    <cfRule type="cellIs" dxfId="400" priority="592" operator="equal">
      <formula>0</formula>
    </cfRule>
  </conditionalFormatting>
  <conditionalFormatting sqref="I66">
    <cfRule type="cellIs" dxfId="399" priority="599" operator="equal">
      <formula>1</formula>
    </cfRule>
    <cfRule type="cellIs" dxfId="398" priority="598" operator="equal">
      <formula>0</formula>
    </cfRule>
  </conditionalFormatting>
  <conditionalFormatting sqref="I143:I144">
    <cfRule type="cellIs" dxfId="397" priority="150" operator="equal">
      <formula>0</formula>
    </cfRule>
    <cfRule type="cellIs" dxfId="396" priority="151" operator="equal">
      <formula>1</formula>
    </cfRule>
  </conditionalFormatting>
  <conditionalFormatting sqref="J4:J5">
    <cfRule type="cellIs" dxfId="395" priority="468" operator="equal">
      <formula>0</formula>
    </cfRule>
    <cfRule type="cellIs" dxfId="394" priority="469" operator="equal">
      <formula>1</formula>
    </cfRule>
  </conditionalFormatting>
  <conditionalFormatting sqref="J7">
    <cfRule type="cellIs" dxfId="393" priority="470" operator="equal">
      <formula>0</formula>
    </cfRule>
    <cfRule type="cellIs" dxfId="392" priority="471" operator="equal">
      <formula>1</formula>
    </cfRule>
  </conditionalFormatting>
  <conditionalFormatting sqref="J9">
    <cfRule type="cellIs" dxfId="391" priority="472" operator="equal">
      <formula>0</formula>
    </cfRule>
    <cfRule type="cellIs" dxfId="390" priority="473" operator="equal">
      <formula>1</formula>
    </cfRule>
  </conditionalFormatting>
  <conditionalFormatting sqref="J20">
    <cfRule type="cellIs" dxfId="389" priority="517" operator="equal">
      <formula>1</formula>
    </cfRule>
    <cfRule type="cellIs" dxfId="388" priority="516" operator="equal">
      <formula>0</formula>
    </cfRule>
  </conditionalFormatting>
  <conditionalFormatting sqref="J26">
    <cfRule type="cellIs" dxfId="387" priority="511" operator="equal">
      <formula>1</formula>
    </cfRule>
    <cfRule type="cellIs" dxfId="386" priority="510" operator="equal">
      <formula>0</formula>
    </cfRule>
  </conditionalFormatting>
  <conditionalFormatting sqref="J32">
    <cfRule type="cellIs" dxfId="385" priority="541" operator="equal">
      <formula>1</formula>
    </cfRule>
    <cfRule type="cellIs" dxfId="384" priority="540" operator="equal">
      <formula>0</formula>
    </cfRule>
  </conditionalFormatting>
  <conditionalFormatting sqref="J38">
    <cfRule type="cellIs" dxfId="383" priority="535" operator="equal">
      <formula>1</formula>
    </cfRule>
    <cfRule type="cellIs" dxfId="382" priority="534" operator="equal">
      <formula>0</formula>
    </cfRule>
  </conditionalFormatting>
  <conditionalFormatting sqref="J44">
    <cfRule type="cellIs" dxfId="381" priority="564" operator="equal">
      <formula>0</formula>
    </cfRule>
    <cfRule type="cellIs" dxfId="380" priority="565" operator="equal">
      <formula>1</formula>
    </cfRule>
  </conditionalFormatting>
  <conditionalFormatting sqref="J50">
    <cfRule type="cellIs" dxfId="379" priority="558" operator="equal">
      <formula>0</formula>
    </cfRule>
    <cfRule type="cellIs" dxfId="378" priority="559" operator="equal">
      <formula>1</formula>
    </cfRule>
  </conditionalFormatting>
  <conditionalFormatting sqref="J56">
    <cfRule type="cellIs" dxfId="377" priority="589" operator="equal">
      <formula>1</formula>
    </cfRule>
    <cfRule type="cellIs" dxfId="376" priority="588" operator="equal">
      <formula>0</formula>
    </cfRule>
  </conditionalFormatting>
  <conditionalFormatting sqref="J62">
    <cfRule type="cellIs" dxfId="375" priority="583" operator="equal">
      <formula>1</formula>
    </cfRule>
    <cfRule type="cellIs" dxfId="374" priority="582" operator="equal">
      <formula>0</formula>
    </cfRule>
  </conditionalFormatting>
  <conditionalFormatting sqref="J97">
    <cfRule type="cellIs" dxfId="373" priority="210" operator="equal">
      <formula>0</formula>
    </cfRule>
    <cfRule type="cellIs" dxfId="372" priority="211" operator="equal">
      <formula>1</formula>
    </cfRule>
  </conditionalFormatting>
  <conditionalFormatting sqref="J151">
    <cfRule type="cellIs" dxfId="371" priority="65" operator="equal">
      <formula>1</formula>
    </cfRule>
    <cfRule type="cellIs" dxfId="370" priority="64" operator="equal">
      <formula>0</formula>
    </cfRule>
  </conditionalFormatting>
  <conditionalFormatting sqref="J105:K105">
    <cfRule type="cellIs" dxfId="369" priority="155" operator="equal">
      <formula>1</formula>
    </cfRule>
    <cfRule type="cellIs" dxfId="368" priority="154" operator="equal">
      <formula>0</formula>
    </cfRule>
  </conditionalFormatting>
  <conditionalFormatting sqref="J115:K115">
    <cfRule type="cellIs" dxfId="367" priority="169" operator="equal">
      <formula>1</formula>
    </cfRule>
    <cfRule type="cellIs" dxfId="366" priority="168" operator="equal">
      <formula>0</formula>
    </cfRule>
  </conditionalFormatting>
  <conditionalFormatting sqref="J125:K125">
    <cfRule type="cellIs" dxfId="365" priority="182" operator="equal">
      <formula>0</formula>
    </cfRule>
    <cfRule type="cellIs" dxfId="364" priority="183" operator="equal">
      <formula>1</formula>
    </cfRule>
  </conditionalFormatting>
  <conditionalFormatting sqref="J135:K135">
    <cfRule type="cellIs" dxfId="363" priority="196" operator="equal">
      <formula>0</formula>
    </cfRule>
    <cfRule type="cellIs" dxfId="362" priority="197" operator="equal">
      <formula>1</formula>
    </cfRule>
  </conditionalFormatting>
  <conditionalFormatting sqref="J102:L102">
    <cfRule type="cellIs" dxfId="361" priority="157" operator="equal">
      <formula>1</formula>
    </cfRule>
    <cfRule type="cellIs" dxfId="360" priority="156" operator="equal">
      <formula>0</formula>
    </cfRule>
  </conditionalFormatting>
  <conditionalFormatting sqref="J112:L112">
    <cfRule type="cellIs" dxfId="359" priority="171" operator="equal">
      <formula>1</formula>
    </cfRule>
    <cfRule type="cellIs" dxfId="358" priority="170" operator="equal">
      <formula>0</formula>
    </cfRule>
  </conditionalFormatting>
  <conditionalFormatting sqref="J122:L122">
    <cfRule type="cellIs" dxfId="357" priority="184" operator="equal">
      <formula>0</formula>
    </cfRule>
    <cfRule type="cellIs" dxfId="356" priority="185" operator="equal">
      <formula>1</formula>
    </cfRule>
  </conditionalFormatting>
  <conditionalFormatting sqref="J132:L132">
    <cfRule type="cellIs" dxfId="355" priority="198" operator="equal">
      <formula>0</formula>
    </cfRule>
    <cfRule type="cellIs" dxfId="354" priority="199" operator="equal">
      <formula>1</formula>
    </cfRule>
  </conditionalFormatting>
  <conditionalFormatting sqref="J68:M68">
    <cfRule type="cellIs" dxfId="353" priority="604" operator="equal">
      <formula>0</formula>
    </cfRule>
    <cfRule type="cellIs" dxfId="352" priority="605" operator="equal">
      <formula>1</formula>
    </cfRule>
  </conditionalFormatting>
  <conditionalFormatting sqref="K6">
    <cfRule type="cellIs" dxfId="351" priority="479" operator="equal">
      <formula>1</formula>
    </cfRule>
    <cfRule type="cellIs" dxfId="350" priority="478" operator="equal">
      <formula>0</formula>
    </cfRule>
  </conditionalFormatting>
  <conditionalFormatting sqref="K8">
    <cfRule type="cellIs" dxfId="349" priority="481" operator="equal">
      <formula>1</formula>
    </cfRule>
    <cfRule type="cellIs" dxfId="348" priority="480" operator="equal">
      <formula>0</formula>
    </cfRule>
  </conditionalFormatting>
  <conditionalFormatting sqref="K12">
    <cfRule type="cellIs" dxfId="347" priority="482" operator="equal">
      <formula>0</formula>
    </cfRule>
    <cfRule type="cellIs" dxfId="346" priority="483" operator="equal">
      <formula>1</formula>
    </cfRule>
  </conditionalFormatting>
  <conditionalFormatting sqref="K14">
    <cfRule type="cellIs" dxfId="345" priority="485" operator="equal">
      <formula>1</formula>
    </cfRule>
    <cfRule type="cellIs" dxfId="344" priority="484" operator="equal">
      <formula>0</formula>
    </cfRule>
  </conditionalFormatting>
  <conditionalFormatting sqref="K22">
    <cfRule type="cellIs" dxfId="343" priority="506" operator="equal">
      <formula>0</formula>
    </cfRule>
    <cfRule type="cellIs" dxfId="342" priority="507" operator="equal">
      <formula>1</formula>
    </cfRule>
  </conditionalFormatting>
  <conditionalFormatting sqref="K24">
    <cfRule type="cellIs" dxfId="341" priority="508" operator="equal">
      <formula>0</formula>
    </cfRule>
    <cfRule type="cellIs" dxfId="340" priority="509" operator="equal">
      <formula>1</formula>
    </cfRule>
  </conditionalFormatting>
  <conditionalFormatting sqref="K30">
    <cfRule type="cellIs" dxfId="339" priority="525" operator="equal">
      <formula>1</formula>
    </cfRule>
    <cfRule type="cellIs" dxfId="338" priority="524" operator="equal">
      <formula>0</formula>
    </cfRule>
  </conditionalFormatting>
  <conditionalFormatting sqref="K34">
    <cfRule type="cellIs" dxfId="337" priority="531" operator="equal">
      <formula>1</formula>
    </cfRule>
    <cfRule type="cellIs" dxfId="336" priority="530" operator="equal">
      <formula>0</formula>
    </cfRule>
  </conditionalFormatting>
  <conditionalFormatting sqref="K36">
    <cfRule type="cellIs" dxfId="335" priority="533" operator="equal">
      <formula>1</formula>
    </cfRule>
    <cfRule type="cellIs" dxfId="334" priority="532" operator="equal">
      <formula>0</formula>
    </cfRule>
  </conditionalFormatting>
  <conditionalFormatting sqref="K42">
    <cfRule type="cellIs" dxfId="333" priority="549" operator="equal">
      <formula>1</formula>
    </cfRule>
    <cfRule type="cellIs" dxfId="332" priority="548" operator="equal">
      <formula>0</formula>
    </cfRule>
  </conditionalFormatting>
  <conditionalFormatting sqref="K46">
    <cfRule type="cellIs" dxfId="331" priority="554" operator="equal">
      <formula>0</formula>
    </cfRule>
    <cfRule type="cellIs" dxfId="330" priority="555" operator="equal">
      <formula>1</formula>
    </cfRule>
  </conditionalFormatting>
  <conditionalFormatting sqref="K48">
    <cfRule type="cellIs" dxfId="329" priority="557" operator="equal">
      <formula>1</formula>
    </cfRule>
    <cfRule type="cellIs" dxfId="328" priority="556" operator="equal">
      <formula>0</formula>
    </cfRule>
  </conditionalFormatting>
  <conditionalFormatting sqref="K54">
    <cfRule type="cellIs" dxfId="327" priority="573" operator="equal">
      <formula>1</formula>
    </cfRule>
    <cfRule type="cellIs" dxfId="326" priority="572" operator="equal">
      <formula>0</formula>
    </cfRule>
  </conditionalFormatting>
  <conditionalFormatting sqref="K58">
    <cfRule type="cellIs" dxfId="325" priority="579" operator="equal">
      <formula>1</formula>
    </cfRule>
    <cfRule type="cellIs" dxfId="324" priority="578" operator="equal">
      <formula>0</formula>
    </cfRule>
  </conditionalFormatting>
  <conditionalFormatting sqref="K60">
    <cfRule type="cellIs" dxfId="323" priority="581" operator="equal">
      <formula>1</formula>
    </cfRule>
    <cfRule type="cellIs" dxfId="322" priority="580" operator="equal">
      <formula>0</formula>
    </cfRule>
  </conditionalFormatting>
  <conditionalFormatting sqref="K66">
    <cfRule type="cellIs" dxfId="321" priority="597" operator="equal">
      <formula>1</formula>
    </cfRule>
    <cfRule type="cellIs" dxfId="320" priority="596" operator="equal">
      <formula>0</formula>
    </cfRule>
  </conditionalFormatting>
  <conditionalFormatting sqref="K107">
    <cfRule type="cellIs" dxfId="319" priority="158" operator="equal">
      <formula>0</formula>
    </cfRule>
    <cfRule type="cellIs" dxfId="318" priority="159" operator="equal">
      <formula>1</formula>
    </cfRule>
  </conditionalFormatting>
  <conditionalFormatting sqref="K109">
    <cfRule type="cellIs" dxfId="317" priority="160" operator="equal">
      <formula>0</formula>
    </cfRule>
    <cfRule type="cellIs" dxfId="316" priority="161" operator="equal">
      <formula>1</formula>
    </cfRule>
  </conditionalFormatting>
  <conditionalFormatting sqref="K117">
    <cfRule type="cellIs" dxfId="315" priority="173" operator="equal">
      <formula>1</formula>
    </cfRule>
    <cfRule type="cellIs" dxfId="314" priority="172" operator="equal">
      <formula>0</formula>
    </cfRule>
  </conditionalFormatting>
  <conditionalFormatting sqref="K119">
    <cfRule type="cellIs" dxfId="313" priority="175" operator="equal">
      <formula>1</formula>
    </cfRule>
    <cfRule type="cellIs" dxfId="312" priority="174" operator="equal">
      <formula>0</formula>
    </cfRule>
  </conditionalFormatting>
  <conditionalFormatting sqref="K127">
    <cfRule type="cellIs" dxfId="311" priority="187" operator="equal">
      <formula>1</formula>
    </cfRule>
    <cfRule type="cellIs" dxfId="310" priority="186" operator="equal">
      <formula>0</formula>
    </cfRule>
  </conditionalFormatting>
  <conditionalFormatting sqref="K129">
    <cfRule type="cellIs" dxfId="309" priority="189" operator="equal">
      <formula>1</formula>
    </cfRule>
    <cfRule type="cellIs" dxfId="308" priority="188" operator="equal">
      <formula>0</formula>
    </cfRule>
  </conditionalFormatting>
  <conditionalFormatting sqref="K137">
    <cfRule type="cellIs" dxfId="307" priority="201" operator="equal">
      <formula>1</formula>
    </cfRule>
    <cfRule type="cellIs" dxfId="306" priority="200" operator="equal">
      <formula>0</formula>
    </cfRule>
  </conditionalFormatting>
  <conditionalFormatting sqref="K139:L139">
    <cfRule type="cellIs" dxfId="305" priority="195" operator="equal">
      <formula>1</formula>
    </cfRule>
    <cfRule type="cellIs" dxfId="304" priority="194" operator="equal">
      <formula>0</formula>
    </cfRule>
  </conditionalFormatting>
  <conditionalFormatting sqref="L20">
    <cfRule type="cellIs" dxfId="303" priority="519" operator="equal">
      <formula>1</formula>
    </cfRule>
    <cfRule type="cellIs" dxfId="302" priority="518" operator="equal">
      <formula>0</formula>
    </cfRule>
  </conditionalFormatting>
  <conditionalFormatting sqref="L23">
    <cfRule type="cellIs" dxfId="301" priority="523" operator="equal">
      <formula>1</formula>
    </cfRule>
    <cfRule type="cellIs" dxfId="300" priority="522" operator="equal">
      <formula>0</formula>
    </cfRule>
  </conditionalFormatting>
  <conditionalFormatting sqref="L32">
    <cfRule type="cellIs" dxfId="299" priority="542" operator="equal">
      <formula>0</formula>
    </cfRule>
    <cfRule type="cellIs" dxfId="298" priority="543" operator="equal">
      <formula>1</formula>
    </cfRule>
  </conditionalFormatting>
  <conditionalFormatting sqref="L35">
    <cfRule type="cellIs" dxfId="297" priority="547" operator="equal">
      <formula>1</formula>
    </cfRule>
    <cfRule type="cellIs" dxfId="296" priority="546" operator="equal">
      <formula>0</formula>
    </cfRule>
  </conditionalFormatting>
  <conditionalFormatting sqref="L44">
    <cfRule type="cellIs" dxfId="295" priority="567" operator="equal">
      <formula>1</formula>
    </cfRule>
    <cfRule type="cellIs" dxfId="294" priority="566" operator="equal">
      <formula>0</formula>
    </cfRule>
  </conditionalFormatting>
  <conditionalFormatting sqref="L47">
    <cfRule type="cellIs" dxfId="293" priority="570" operator="equal">
      <formula>0</formula>
    </cfRule>
    <cfRule type="cellIs" dxfId="292" priority="571" operator="equal">
      <formula>1</formula>
    </cfRule>
  </conditionalFormatting>
  <conditionalFormatting sqref="L56">
    <cfRule type="cellIs" dxfId="291" priority="591" operator="equal">
      <formula>1</formula>
    </cfRule>
    <cfRule type="cellIs" dxfId="290" priority="590" operator="equal">
      <formula>0</formula>
    </cfRule>
  </conditionalFormatting>
  <conditionalFormatting sqref="L59">
    <cfRule type="cellIs" dxfId="289" priority="595" operator="equal">
      <formula>1</formula>
    </cfRule>
    <cfRule type="cellIs" dxfId="288" priority="594" operator="equal">
      <formula>0</formula>
    </cfRule>
  </conditionalFormatting>
  <conditionalFormatting sqref="L100">
    <cfRule type="cellIs" dxfId="287" priority="208" operator="equal">
      <formula>0</formula>
    </cfRule>
    <cfRule type="cellIs" dxfId="286" priority="209" operator="equal">
      <formula>1</formula>
    </cfRule>
  </conditionalFormatting>
  <conditionalFormatting sqref="L104">
    <cfRule type="cellIs" dxfId="285" priority="163" operator="equal">
      <formula>1</formula>
    </cfRule>
    <cfRule type="cellIs" dxfId="284" priority="162" operator="equal">
      <formula>0</formula>
    </cfRule>
  </conditionalFormatting>
  <conditionalFormatting sqref="L106">
    <cfRule type="cellIs" dxfId="283" priority="165" operator="equal">
      <formula>1</formula>
    </cfRule>
    <cfRule type="cellIs" dxfId="282" priority="164" operator="equal">
      <formula>0</formula>
    </cfRule>
  </conditionalFormatting>
  <conditionalFormatting sqref="L109:L110">
    <cfRule type="cellIs" dxfId="281" priority="153" operator="equal">
      <formula>1</formula>
    </cfRule>
    <cfRule type="cellIs" dxfId="280" priority="152" operator="equal">
      <formula>0</formula>
    </cfRule>
  </conditionalFormatting>
  <conditionalFormatting sqref="L114">
    <cfRule type="cellIs" dxfId="279" priority="176" operator="equal">
      <formula>0</formula>
    </cfRule>
    <cfRule type="cellIs" dxfId="278" priority="177" operator="equal">
      <formula>1</formula>
    </cfRule>
  </conditionalFormatting>
  <conditionalFormatting sqref="L116">
    <cfRule type="cellIs" dxfId="277" priority="178" operator="equal">
      <formula>0</formula>
    </cfRule>
    <cfRule type="cellIs" dxfId="276" priority="179" operator="equal">
      <formula>1</formula>
    </cfRule>
  </conditionalFormatting>
  <conditionalFormatting sqref="L119:L120">
    <cfRule type="cellIs" dxfId="275" priority="166" operator="equal">
      <formula>0</formula>
    </cfRule>
    <cfRule type="cellIs" dxfId="274" priority="167" operator="equal">
      <formula>1</formula>
    </cfRule>
  </conditionalFormatting>
  <conditionalFormatting sqref="L124">
    <cfRule type="cellIs" dxfId="273" priority="190" operator="equal">
      <formula>0</formula>
    </cfRule>
    <cfRule type="cellIs" dxfId="272" priority="191" operator="equal">
      <formula>1</formula>
    </cfRule>
  </conditionalFormatting>
  <conditionalFormatting sqref="L126">
    <cfRule type="cellIs" dxfId="271" priority="192" operator="equal">
      <formula>0</formula>
    </cfRule>
    <cfRule type="cellIs" dxfId="270" priority="193" operator="equal">
      <formula>1</formula>
    </cfRule>
  </conditionalFormatting>
  <conditionalFormatting sqref="L129:L130">
    <cfRule type="cellIs" dxfId="269" priority="180" operator="equal">
      <formula>0</formula>
    </cfRule>
    <cfRule type="cellIs" dxfId="268" priority="181" operator="equal">
      <formula>1</formula>
    </cfRule>
  </conditionalFormatting>
  <conditionalFormatting sqref="L134">
    <cfRule type="cellIs" dxfId="267" priority="202" operator="equal">
      <formula>0</formula>
    </cfRule>
    <cfRule type="cellIs" dxfId="266" priority="203" operator="equal">
      <formula>1</formula>
    </cfRule>
  </conditionalFormatting>
  <conditionalFormatting sqref="L136">
    <cfRule type="cellIs" dxfId="265" priority="205" operator="equal">
      <formula>1</formula>
    </cfRule>
    <cfRule type="cellIs" dxfId="264" priority="204" operator="equal">
      <formula>0</formula>
    </cfRule>
  </conditionalFormatting>
  <conditionalFormatting sqref="L97:O98">
    <cfRule type="cellIs" dxfId="263" priority="215" operator="equal">
      <formula>1</formula>
    </cfRule>
    <cfRule type="cellIs" dxfId="262" priority="214" operator="equal">
      <formula>0</formula>
    </cfRule>
  </conditionalFormatting>
  <conditionalFormatting sqref="L144:O144">
    <cfRule type="cellIs" dxfId="261" priority="206" operator="equal">
      <formula>0</formula>
    </cfRule>
    <cfRule type="cellIs" dxfId="260" priority="207" operator="equal">
      <formula>1</formula>
    </cfRule>
  </conditionalFormatting>
  <conditionalFormatting sqref="M12">
    <cfRule type="cellIs" dxfId="259" priority="487" operator="equal">
      <formula>1</formula>
    </cfRule>
    <cfRule type="cellIs" dxfId="258" priority="486" operator="equal">
      <formula>0</formula>
    </cfRule>
  </conditionalFormatting>
  <conditionalFormatting sqref="M14">
    <cfRule type="cellIs" dxfId="257" priority="489" operator="equal">
      <formula>1</formula>
    </cfRule>
    <cfRule type="cellIs" dxfId="256" priority="488" operator="equal">
      <formula>0</formula>
    </cfRule>
  </conditionalFormatting>
  <conditionalFormatting sqref="M151">
    <cfRule type="cellIs" dxfId="255" priority="67" operator="equal">
      <formula>1</formula>
    </cfRule>
    <cfRule type="cellIs" dxfId="254" priority="66" operator="equal">
      <formula>0</formula>
    </cfRule>
  </conditionalFormatting>
  <conditionalFormatting sqref="P151">
    <cfRule type="cellIs" dxfId="253" priority="69" operator="equal">
      <formula>1</formula>
    </cfRule>
    <cfRule type="cellIs" dxfId="252" priority="68" operator="equal">
      <formula>0</formula>
    </cfRule>
  </conditionalFormatting>
  <conditionalFormatting sqref="R16">
    <cfRule type="cellIs" dxfId="251" priority="406" operator="equal">
      <formula>0</formula>
    </cfRule>
    <cfRule type="cellIs" dxfId="250" priority="407" operator="equal">
      <formula>1</formula>
    </cfRule>
  </conditionalFormatting>
  <conditionalFormatting sqref="R23">
    <cfRule type="cellIs" dxfId="249" priority="702" operator="equal">
      <formula>0</formula>
    </cfRule>
    <cfRule type="cellIs" dxfId="248" priority="703" operator="equal">
      <formula>1</formula>
    </cfRule>
  </conditionalFormatting>
  <conditionalFormatting sqref="R25:U26">
    <cfRule type="cellIs" dxfId="247" priority="662" operator="equal">
      <formula>0</formula>
    </cfRule>
    <cfRule type="cellIs" dxfId="246" priority="663" operator="equal">
      <formula>1</formula>
    </cfRule>
  </conditionalFormatting>
  <conditionalFormatting sqref="S20">
    <cfRule type="cellIs" dxfId="245" priority="707" operator="equal">
      <formula>1</formula>
    </cfRule>
    <cfRule type="cellIs" dxfId="244" priority="706" operator="equal">
      <formula>0</formula>
    </cfRule>
  </conditionalFormatting>
  <conditionalFormatting sqref="S110">
    <cfRule type="cellIs" dxfId="243" priority="134" operator="equal">
      <formula>0</formula>
    </cfRule>
    <cfRule type="cellIs" dxfId="242" priority="135" operator="equal">
      <formula>1</formula>
    </cfRule>
  </conditionalFormatting>
  <conditionalFormatting sqref="S112">
    <cfRule type="cellIs" dxfId="241" priority="131" operator="equal">
      <formula>1</formula>
    </cfRule>
    <cfRule type="cellIs" dxfId="240" priority="130" operator="equal">
      <formula>0</formula>
    </cfRule>
  </conditionalFormatting>
  <conditionalFormatting sqref="S114">
    <cfRule type="cellIs" dxfId="239" priority="128" operator="equal">
      <formula>0</formula>
    </cfRule>
    <cfRule type="cellIs" dxfId="238" priority="129" operator="equal">
      <formula>1</formula>
    </cfRule>
  </conditionalFormatting>
  <conditionalFormatting sqref="S116">
    <cfRule type="cellIs" dxfId="237" priority="125" operator="equal">
      <formula>1</formula>
    </cfRule>
    <cfRule type="cellIs" dxfId="236" priority="124" operator="equal">
      <formula>0</formula>
    </cfRule>
  </conditionalFormatting>
  <conditionalFormatting sqref="S118">
    <cfRule type="cellIs" dxfId="235" priority="123" operator="equal">
      <formula>1</formula>
    </cfRule>
    <cfRule type="cellIs" dxfId="234" priority="122" operator="equal">
      <formula>0</formula>
    </cfRule>
  </conditionalFormatting>
  <conditionalFormatting sqref="S120">
    <cfRule type="cellIs" dxfId="233" priority="119" operator="equal">
      <formula>1</formula>
    </cfRule>
    <cfRule type="cellIs" dxfId="232" priority="118" operator="equal">
      <formula>0</formula>
    </cfRule>
  </conditionalFormatting>
  <conditionalFormatting sqref="S122">
    <cfRule type="cellIs" dxfId="231" priority="117" operator="equal">
      <formula>1</formula>
    </cfRule>
    <cfRule type="cellIs" dxfId="230" priority="116" operator="equal">
      <formula>0</formula>
    </cfRule>
  </conditionalFormatting>
  <conditionalFormatting sqref="S124">
    <cfRule type="cellIs" dxfId="229" priority="113" operator="equal">
      <formula>1</formula>
    </cfRule>
    <cfRule type="cellIs" dxfId="228" priority="112" operator="equal">
      <formula>0</formula>
    </cfRule>
  </conditionalFormatting>
  <conditionalFormatting sqref="S128">
    <cfRule type="cellIs" dxfId="227" priority="108" operator="equal">
      <formula>0</formula>
    </cfRule>
    <cfRule type="cellIs" dxfId="226" priority="109" operator="equal">
      <formula>1</formula>
    </cfRule>
  </conditionalFormatting>
  <conditionalFormatting sqref="S130">
    <cfRule type="cellIs" dxfId="225" priority="104" operator="equal">
      <formula>0</formula>
    </cfRule>
    <cfRule type="cellIs" dxfId="224" priority="105" operator="equal">
      <formula>1</formula>
    </cfRule>
  </conditionalFormatting>
  <conditionalFormatting sqref="S132">
    <cfRule type="cellIs" dxfId="223" priority="103" operator="equal">
      <formula>1</formula>
    </cfRule>
    <cfRule type="cellIs" dxfId="222" priority="102" operator="equal">
      <formula>0</formula>
    </cfRule>
  </conditionalFormatting>
  <conditionalFormatting sqref="S134">
    <cfRule type="cellIs" dxfId="221" priority="98" operator="equal">
      <formula>0</formula>
    </cfRule>
    <cfRule type="cellIs" dxfId="220" priority="99" operator="equal">
      <formula>1</formula>
    </cfRule>
  </conditionalFormatting>
  <conditionalFormatting sqref="S136">
    <cfRule type="cellIs" dxfId="219" priority="96" operator="equal">
      <formula>0</formula>
    </cfRule>
    <cfRule type="cellIs" dxfId="218" priority="97" operator="equal">
      <formula>1</formula>
    </cfRule>
  </conditionalFormatting>
  <conditionalFormatting sqref="S138">
    <cfRule type="cellIs" dxfId="217" priority="93" operator="equal">
      <formula>1</formula>
    </cfRule>
    <cfRule type="cellIs" dxfId="216" priority="92" operator="equal">
      <formula>0</formula>
    </cfRule>
  </conditionalFormatting>
  <conditionalFormatting sqref="S140">
    <cfRule type="cellIs" dxfId="215" priority="90" operator="equal">
      <formula>0</formula>
    </cfRule>
    <cfRule type="cellIs" dxfId="214" priority="91" operator="equal">
      <formula>1</formula>
    </cfRule>
  </conditionalFormatting>
  <conditionalFormatting sqref="S142">
    <cfRule type="cellIs" dxfId="213" priority="86" operator="equal">
      <formula>0</formula>
    </cfRule>
    <cfRule type="cellIs" dxfId="212" priority="87" operator="equal">
      <formula>1</formula>
    </cfRule>
  </conditionalFormatting>
  <conditionalFormatting sqref="S146:S149">
    <cfRule type="cellIs" dxfId="211" priority="77" operator="equal">
      <formula>1</formula>
    </cfRule>
    <cfRule type="cellIs" dxfId="210" priority="76" operator="equal">
      <formula>0</formula>
    </cfRule>
  </conditionalFormatting>
  <conditionalFormatting sqref="S151">
    <cfRule type="cellIs" dxfId="209" priority="74" operator="equal">
      <formula>0</formula>
    </cfRule>
    <cfRule type="cellIs" dxfId="208" priority="75" operator="equal">
      <formula>1</formula>
    </cfRule>
  </conditionalFormatting>
  <conditionalFormatting sqref="S33:T33">
    <cfRule type="cellIs" dxfId="207" priority="608" operator="equal">
      <formula>0</formula>
    </cfRule>
    <cfRule type="cellIs" dxfId="206" priority="609" operator="equal">
      <formula>1</formula>
    </cfRule>
  </conditionalFormatting>
  <conditionalFormatting sqref="S43:T43">
    <cfRule type="cellIs" dxfId="205" priority="622" operator="equal">
      <formula>0</formula>
    </cfRule>
    <cfRule type="cellIs" dxfId="204" priority="623" operator="equal">
      <formula>1</formula>
    </cfRule>
  </conditionalFormatting>
  <conditionalFormatting sqref="S53:T53">
    <cfRule type="cellIs" dxfId="203" priority="636" operator="equal">
      <formula>0</formula>
    </cfRule>
    <cfRule type="cellIs" dxfId="202" priority="637" operator="equal">
      <formula>1</formula>
    </cfRule>
  </conditionalFormatting>
  <conditionalFormatting sqref="S63:T63">
    <cfRule type="cellIs" dxfId="201" priority="650" operator="equal">
      <formula>0</formula>
    </cfRule>
    <cfRule type="cellIs" dxfId="200" priority="651" operator="equal">
      <formula>1</formula>
    </cfRule>
  </conditionalFormatting>
  <conditionalFormatting sqref="S30:U30">
    <cfRule type="cellIs" dxfId="199" priority="610" operator="equal">
      <formula>0</formula>
    </cfRule>
    <cfRule type="cellIs" dxfId="198" priority="611" operator="equal">
      <formula>1</formula>
    </cfRule>
  </conditionalFormatting>
  <conditionalFormatting sqref="S40:U40">
    <cfRule type="cellIs" dxfId="197" priority="624" operator="equal">
      <formula>0</formula>
    </cfRule>
    <cfRule type="cellIs" dxfId="196" priority="625" operator="equal">
      <formula>1</formula>
    </cfRule>
  </conditionalFormatting>
  <conditionalFormatting sqref="S50:U50">
    <cfRule type="cellIs" dxfId="195" priority="639" operator="equal">
      <formula>1</formula>
    </cfRule>
    <cfRule type="cellIs" dxfId="194" priority="638" operator="equal">
      <formula>0</formula>
    </cfRule>
  </conditionalFormatting>
  <conditionalFormatting sqref="S60:U60">
    <cfRule type="cellIs" dxfId="193" priority="653" operator="equal">
      <formula>1</formula>
    </cfRule>
    <cfRule type="cellIs" dxfId="192" priority="652" operator="equal">
      <formula>0</formula>
    </cfRule>
  </conditionalFormatting>
  <conditionalFormatting sqref="S101:V101">
    <cfRule type="cellIs" dxfId="191" priority="145" operator="equal">
      <formula>1</formula>
    </cfRule>
    <cfRule type="cellIs" dxfId="190" priority="144" operator="equal">
      <formula>0</formula>
    </cfRule>
  </conditionalFormatting>
  <conditionalFormatting sqref="S103:V103">
    <cfRule type="cellIs" dxfId="189" priority="147" operator="equal">
      <formula>1</formula>
    </cfRule>
    <cfRule type="cellIs" dxfId="188" priority="146" operator="equal">
      <formula>0</formula>
    </cfRule>
  </conditionalFormatting>
  <conditionalFormatting sqref="S106:V106">
    <cfRule type="cellIs" dxfId="187" priority="138" operator="equal">
      <formula>0</formula>
    </cfRule>
    <cfRule type="cellIs" dxfId="186" priority="139" operator="equal">
      <formula>1</formula>
    </cfRule>
  </conditionalFormatting>
  <conditionalFormatting sqref="S108:V108">
    <cfRule type="cellIs" dxfId="185" priority="140" operator="equal">
      <formula>0</formula>
    </cfRule>
    <cfRule type="cellIs" dxfId="184" priority="141" operator="equal">
      <formula>1</formula>
    </cfRule>
  </conditionalFormatting>
  <conditionalFormatting sqref="S126:V126">
    <cfRule type="cellIs" dxfId="183" priority="136" operator="equal">
      <formula>0</formula>
    </cfRule>
    <cfRule type="cellIs" dxfId="182" priority="137" operator="equal">
      <formula>1</formula>
    </cfRule>
  </conditionalFormatting>
  <conditionalFormatting sqref="S144:V144">
    <cfRule type="cellIs" dxfId="181" priority="110" operator="equal">
      <formula>0</formula>
    </cfRule>
    <cfRule type="cellIs" dxfId="180" priority="111" operator="equal">
      <formula>1</formula>
    </cfRule>
  </conditionalFormatting>
  <conditionalFormatting sqref="T16">
    <cfRule type="cellIs" dxfId="179" priority="404" operator="equal">
      <formula>0</formula>
    </cfRule>
    <cfRule type="cellIs" dxfId="178" priority="405" operator="equal">
      <formula>1</formula>
    </cfRule>
  </conditionalFormatting>
  <conditionalFormatting sqref="T18">
    <cfRule type="cellIs" dxfId="177" priority="709" operator="equal">
      <formula>1</formula>
    </cfRule>
    <cfRule type="cellIs" dxfId="176" priority="708" operator="equal">
      <formula>0</formula>
    </cfRule>
  </conditionalFormatting>
  <conditionalFormatting sqref="T23">
    <cfRule type="cellIs" dxfId="175" priority="705" operator="equal">
      <formula>1</formula>
    </cfRule>
    <cfRule type="cellIs" dxfId="174" priority="704" operator="equal">
      <formula>0</formula>
    </cfRule>
  </conditionalFormatting>
  <conditionalFormatting sqref="T35">
    <cfRule type="cellIs" dxfId="173" priority="612" operator="equal">
      <formula>0</formula>
    </cfRule>
    <cfRule type="cellIs" dxfId="172" priority="613" operator="equal">
      <formula>1</formula>
    </cfRule>
  </conditionalFormatting>
  <conditionalFormatting sqref="T37">
    <cfRule type="cellIs" dxfId="171" priority="615" operator="equal">
      <formula>1</formula>
    </cfRule>
    <cfRule type="cellIs" dxfId="170" priority="614" operator="equal">
      <formula>0</formula>
    </cfRule>
  </conditionalFormatting>
  <conditionalFormatting sqref="T45">
    <cfRule type="cellIs" dxfId="169" priority="627" operator="equal">
      <formula>1</formula>
    </cfRule>
    <cfRule type="cellIs" dxfId="168" priority="626" operator="equal">
      <formula>0</formula>
    </cfRule>
  </conditionalFormatting>
  <conditionalFormatting sqref="T47">
    <cfRule type="cellIs" dxfId="167" priority="628" operator="equal">
      <formula>0</formula>
    </cfRule>
    <cfRule type="cellIs" dxfId="166" priority="629" operator="equal">
      <formula>1</formula>
    </cfRule>
  </conditionalFormatting>
  <conditionalFormatting sqref="T55">
    <cfRule type="cellIs" dxfId="165" priority="641" operator="equal">
      <formula>1</formula>
    </cfRule>
    <cfRule type="cellIs" dxfId="164" priority="640" operator="equal">
      <formula>0</formula>
    </cfRule>
  </conditionalFormatting>
  <conditionalFormatting sqref="T57">
    <cfRule type="cellIs" dxfId="163" priority="642" operator="equal">
      <formula>0</formula>
    </cfRule>
    <cfRule type="cellIs" dxfId="162" priority="643" operator="equal">
      <formula>1</formula>
    </cfRule>
  </conditionalFormatting>
  <conditionalFormatting sqref="T65">
    <cfRule type="cellIs" dxfId="161" priority="655" operator="equal">
      <formula>1</formula>
    </cfRule>
    <cfRule type="cellIs" dxfId="160" priority="654" operator="equal">
      <formula>0</formula>
    </cfRule>
  </conditionalFormatting>
  <conditionalFormatting sqref="T8:U8">
    <cfRule type="cellIs" dxfId="159" priority="456" operator="equal">
      <formula>0</formula>
    </cfRule>
    <cfRule type="cellIs" dxfId="158" priority="457" operator="equal">
      <formula>1</formula>
    </cfRule>
  </conditionalFormatting>
  <conditionalFormatting sqref="T67:U67">
    <cfRule type="cellIs" dxfId="157" priority="649" operator="equal">
      <formula>1</formula>
    </cfRule>
    <cfRule type="cellIs" dxfId="156" priority="648" operator="equal">
      <formula>0</formula>
    </cfRule>
  </conditionalFormatting>
  <conditionalFormatting sqref="T111:U111">
    <cfRule type="cellIs" dxfId="155" priority="132" operator="equal">
      <formula>0</formula>
    </cfRule>
    <cfRule type="cellIs" dxfId="154" priority="133" operator="equal">
      <formula>1</formula>
    </cfRule>
  </conditionalFormatting>
  <conditionalFormatting sqref="T115:U115">
    <cfRule type="cellIs" dxfId="153" priority="127" operator="equal">
      <formula>1</formula>
    </cfRule>
    <cfRule type="cellIs" dxfId="152" priority="126" operator="equal">
      <formula>0</formula>
    </cfRule>
  </conditionalFormatting>
  <conditionalFormatting sqref="T119:U119">
    <cfRule type="cellIs" dxfId="151" priority="120" operator="equal">
      <formula>0</formula>
    </cfRule>
    <cfRule type="cellIs" dxfId="150" priority="121" operator="equal">
      <formula>1</formula>
    </cfRule>
  </conditionalFormatting>
  <conditionalFormatting sqref="T123:U123">
    <cfRule type="cellIs" dxfId="149" priority="115" operator="equal">
      <formula>1</formula>
    </cfRule>
    <cfRule type="cellIs" dxfId="148" priority="114" operator="equal">
      <formula>0</formula>
    </cfRule>
  </conditionalFormatting>
  <conditionalFormatting sqref="T129:U129">
    <cfRule type="cellIs" dxfId="147" priority="107" operator="equal">
      <formula>1</formula>
    </cfRule>
    <cfRule type="cellIs" dxfId="146" priority="106" operator="equal">
      <formula>0</formula>
    </cfRule>
  </conditionalFormatting>
  <conditionalFormatting sqref="T133:U133">
    <cfRule type="cellIs" dxfId="145" priority="100" operator="equal">
      <formula>0</formula>
    </cfRule>
    <cfRule type="cellIs" dxfId="144" priority="101" operator="equal">
      <formula>1</formula>
    </cfRule>
  </conditionalFormatting>
  <conditionalFormatting sqref="T137:U137">
    <cfRule type="cellIs" dxfId="143" priority="95" operator="equal">
      <formula>1</formula>
    </cfRule>
    <cfRule type="cellIs" dxfId="142" priority="94" operator="equal">
      <formula>0</formula>
    </cfRule>
  </conditionalFormatting>
  <conditionalFormatting sqref="T141:U141">
    <cfRule type="cellIs" dxfId="141" priority="88" operator="equal">
      <formula>0</formula>
    </cfRule>
    <cfRule type="cellIs" dxfId="140" priority="89" operator="equal">
      <formula>1</formula>
    </cfRule>
  </conditionalFormatting>
  <conditionalFormatting sqref="T5:V5">
    <cfRule type="cellIs" dxfId="139" priority="459" operator="equal">
      <formula>1</formula>
    </cfRule>
    <cfRule type="cellIs" dxfId="138" priority="458" operator="equal">
      <formula>0</formula>
    </cfRule>
  </conditionalFormatting>
  <conditionalFormatting sqref="U10">
    <cfRule type="cellIs" dxfId="137" priority="464" operator="equal">
      <formula>0</formula>
    </cfRule>
    <cfRule type="cellIs" dxfId="136" priority="465" operator="equal">
      <formula>1</formula>
    </cfRule>
  </conditionalFormatting>
  <conditionalFormatting sqref="U28">
    <cfRule type="cellIs" dxfId="135" priority="671" operator="equal">
      <formula>1</formula>
    </cfRule>
    <cfRule type="cellIs" dxfId="134" priority="670" operator="equal">
      <formula>0</formula>
    </cfRule>
  </conditionalFormatting>
  <conditionalFormatting sqref="U32">
    <cfRule type="cellIs" dxfId="133" priority="616" operator="equal">
      <formula>0</formula>
    </cfRule>
    <cfRule type="cellIs" dxfId="132" priority="617" operator="equal">
      <formula>1</formula>
    </cfRule>
  </conditionalFormatting>
  <conditionalFormatting sqref="U34">
    <cfRule type="cellIs" dxfId="131" priority="618" operator="equal">
      <formula>0</formula>
    </cfRule>
    <cfRule type="cellIs" dxfId="130" priority="619" operator="equal">
      <formula>1</formula>
    </cfRule>
  </conditionalFormatting>
  <conditionalFormatting sqref="U37:U38">
    <cfRule type="cellIs" dxfId="129" priority="607" operator="equal">
      <formula>1</formula>
    </cfRule>
    <cfRule type="cellIs" dxfId="128" priority="606" operator="equal">
      <formula>0</formula>
    </cfRule>
  </conditionalFormatting>
  <conditionalFormatting sqref="U42">
    <cfRule type="cellIs" dxfId="127" priority="630" operator="equal">
      <formula>0</formula>
    </cfRule>
    <cfRule type="cellIs" dxfId="126" priority="631" operator="equal">
      <formula>1</formula>
    </cfRule>
  </conditionalFormatting>
  <conditionalFormatting sqref="U44">
    <cfRule type="cellIs" dxfId="125" priority="632" operator="equal">
      <formula>0</formula>
    </cfRule>
    <cfRule type="cellIs" dxfId="124" priority="633" operator="equal">
      <formula>1</formula>
    </cfRule>
  </conditionalFormatting>
  <conditionalFormatting sqref="U47:U48">
    <cfRule type="cellIs" dxfId="123" priority="620" operator="equal">
      <formula>0</formula>
    </cfRule>
    <cfRule type="cellIs" dxfId="122" priority="621" operator="equal">
      <formula>1</formula>
    </cfRule>
  </conditionalFormatting>
  <conditionalFormatting sqref="U52">
    <cfRule type="cellIs" dxfId="121" priority="645" operator="equal">
      <formula>1</formula>
    </cfRule>
    <cfRule type="cellIs" dxfId="120" priority="644" operator="equal">
      <formula>0</formula>
    </cfRule>
  </conditionalFormatting>
  <conditionalFormatting sqref="U54">
    <cfRule type="cellIs" dxfId="119" priority="647" operator="equal">
      <formula>1</formula>
    </cfRule>
    <cfRule type="cellIs" dxfId="118" priority="646" operator="equal">
      <formula>0</formula>
    </cfRule>
  </conditionalFormatting>
  <conditionalFormatting sqref="U57:U58">
    <cfRule type="cellIs" dxfId="117" priority="634" operator="equal">
      <formula>0</formula>
    </cfRule>
    <cfRule type="cellIs" dxfId="116" priority="635" operator="equal">
      <formula>1</formula>
    </cfRule>
  </conditionalFormatting>
  <conditionalFormatting sqref="U62">
    <cfRule type="cellIs" dxfId="115" priority="658" operator="equal">
      <formula>0</formula>
    </cfRule>
    <cfRule type="cellIs" dxfId="114" priority="659" operator="equal">
      <formula>1</formula>
    </cfRule>
  </conditionalFormatting>
  <conditionalFormatting sqref="U64">
    <cfRule type="cellIs" dxfId="113" priority="661" operator="equal">
      <formula>1</formula>
    </cfRule>
    <cfRule type="cellIs" dxfId="112" priority="660" operator="equal">
      <formula>0</formula>
    </cfRule>
  </conditionalFormatting>
  <conditionalFormatting sqref="U72:X72">
    <cfRule type="cellIs" dxfId="111" priority="669" operator="equal">
      <formula>1</formula>
    </cfRule>
    <cfRule type="cellIs" dxfId="110" priority="668" operator="equal">
      <formula>0</formula>
    </cfRule>
  </conditionalFormatting>
  <conditionalFormatting sqref="U151:X151">
    <cfRule type="cellIs" dxfId="109" priority="72" operator="equal">
      <formula>0</formula>
    </cfRule>
    <cfRule type="cellIs" dxfId="108" priority="73" operator="equal">
      <formula>1</formula>
    </cfRule>
  </conditionalFormatting>
  <conditionalFormatting sqref="V7">
    <cfRule type="cellIs" dxfId="107" priority="474" operator="equal">
      <formula>0</formula>
    </cfRule>
    <cfRule type="cellIs" dxfId="106" priority="475" operator="equal">
      <formula>1</formula>
    </cfRule>
  </conditionalFormatting>
  <conditionalFormatting sqref="V9">
    <cfRule type="cellIs" dxfId="105" priority="476" operator="equal">
      <formula>0</formula>
    </cfRule>
    <cfRule type="cellIs" dxfId="104" priority="477" operator="equal">
      <formula>1</formula>
    </cfRule>
  </conditionalFormatting>
  <conditionalFormatting sqref="W25">
    <cfRule type="cellIs" dxfId="103" priority="664" operator="equal">
      <formula>0</formula>
    </cfRule>
    <cfRule type="cellIs" dxfId="102" priority="665" operator="equal">
      <formula>1</formula>
    </cfRule>
  </conditionalFormatting>
  <conditionalFormatting sqref="Z4">
    <cfRule type="cellIs" dxfId="101" priority="688" operator="equal">
      <formula>0</formula>
    </cfRule>
    <cfRule type="cellIs" dxfId="100" priority="689" operator="equal">
      <formula>1</formula>
    </cfRule>
  </conditionalFormatting>
  <conditionalFormatting sqref="Z16">
    <cfRule type="cellIs" dxfId="99" priority="491" operator="equal">
      <formula>1</formula>
    </cfRule>
    <cfRule type="cellIs" dxfId="98" priority="490" operator="equal">
      <formula>0</formula>
    </cfRule>
  </conditionalFormatting>
  <conditionalFormatting sqref="Z19">
    <cfRule type="cellIs" dxfId="97" priority="494" operator="equal">
      <formula>0</formula>
    </cfRule>
    <cfRule type="cellIs" dxfId="96" priority="495" operator="equal">
      <formula>1</formula>
    </cfRule>
  </conditionalFormatting>
  <conditionalFormatting sqref="Z21">
    <cfRule type="cellIs" dxfId="95" priority="496" operator="equal">
      <formula>0</formula>
    </cfRule>
    <cfRule type="cellIs" dxfId="94" priority="497" operator="equal">
      <formula>1</formula>
    </cfRule>
  </conditionalFormatting>
  <conditionalFormatting sqref="Z23">
    <cfRule type="cellIs" dxfId="93" priority="498" operator="equal">
      <formula>0</formula>
    </cfRule>
    <cfRule type="cellIs" dxfId="92" priority="499" operator="equal">
      <formula>1</formula>
    </cfRule>
  </conditionalFormatting>
  <conditionalFormatting sqref="AA7">
    <cfRule type="cellIs" dxfId="91" priority="678" operator="equal">
      <formula>0</formula>
    </cfRule>
    <cfRule type="cellIs" dxfId="90" priority="679" operator="equal">
      <formula>1</formula>
    </cfRule>
  </conditionalFormatting>
  <conditionalFormatting sqref="AA9">
    <cfRule type="cellIs" dxfId="89" priority="686" operator="equal">
      <formula>0</formula>
    </cfRule>
    <cfRule type="cellIs" dxfId="88" priority="687" operator="equal">
      <formula>1</formula>
    </cfRule>
  </conditionalFormatting>
  <conditionalFormatting sqref="AA12">
    <cfRule type="cellIs" dxfId="87" priority="694" operator="equal">
      <formula>0</formula>
    </cfRule>
    <cfRule type="cellIs" dxfId="86" priority="695" operator="equal">
      <formula>1</formula>
    </cfRule>
  </conditionalFormatting>
  <conditionalFormatting sqref="AA14">
    <cfRule type="cellIs" dxfId="85" priority="700" operator="equal">
      <formula>0</formula>
    </cfRule>
    <cfRule type="cellIs" dxfId="84" priority="701" operator="equal">
      <formula>1</formula>
    </cfRule>
  </conditionalFormatting>
  <conditionalFormatting sqref="AA82:AB82">
    <cfRule type="cellIs" dxfId="83" priority="19" operator="equal">
      <formula>0</formula>
    </cfRule>
    <cfRule type="cellIs" dxfId="82" priority="20" operator="greaterThanOrEqual">
      <formula>1</formula>
    </cfRule>
  </conditionalFormatting>
  <conditionalFormatting sqref="AB4">
    <cfRule type="cellIs" dxfId="81" priority="690" operator="equal">
      <formula>0</formula>
    </cfRule>
    <cfRule type="cellIs" dxfId="80" priority="691" operator="equal">
      <formula>1</formula>
    </cfRule>
  </conditionalFormatting>
  <conditionalFormatting sqref="AB10">
    <cfRule type="cellIs" dxfId="79" priority="684" operator="equal">
      <formula>0</formula>
    </cfRule>
    <cfRule type="cellIs" dxfId="78" priority="685" operator="equal">
      <formula>1</formula>
    </cfRule>
  </conditionalFormatting>
  <conditionalFormatting sqref="AB16">
    <cfRule type="cellIs" dxfId="77" priority="493" operator="equal">
      <formula>1</formula>
    </cfRule>
    <cfRule type="cellIs" dxfId="76" priority="492" operator="equal">
      <formula>0</formula>
    </cfRule>
  </conditionalFormatting>
  <conditionalFormatting sqref="AB18">
    <cfRule type="cellIs" dxfId="75" priority="500" operator="equal">
      <formula>0</formula>
    </cfRule>
    <cfRule type="cellIs" dxfId="74" priority="501" operator="equal">
      <formula>1</formula>
    </cfRule>
  </conditionalFormatting>
  <conditionalFormatting sqref="AB23">
    <cfRule type="cellIs" dxfId="73" priority="502" operator="equal">
      <formula>0</formula>
    </cfRule>
    <cfRule type="cellIs" dxfId="72" priority="503" operator="equal">
      <formula>1</formula>
    </cfRule>
  </conditionalFormatting>
  <conditionalFormatting sqref="AB25">
    <cfRule type="cellIs" dxfId="71" priority="422" operator="equal">
      <formula>0</formula>
    </cfRule>
    <cfRule type="cellIs" dxfId="70" priority="423" operator="equal">
      <formula>1</formula>
    </cfRule>
  </conditionalFormatting>
  <conditionalFormatting sqref="AB50">
    <cfRule type="cellIs" dxfId="69" priority="257" operator="equal">
      <formula>1</formula>
    </cfRule>
    <cfRule type="cellIs" dxfId="68" priority="256" operator="equal">
      <formula>0</formula>
    </cfRule>
  </conditionalFormatting>
  <conditionalFormatting sqref="AB52">
    <cfRule type="cellIs" dxfId="67" priority="252" operator="equal">
      <formula>0</formula>
    </cfRule>
    <cfRule type="cellIs" dxfId="66" priority="253" operator="equal">
      <formula>1</formula>
    </cfRule>
  </conditionalFormatting>
  <conditionalFormatting sqref="AB54">
    <cfRule type="cellIs" dxfId="65" priority="232" operator="equal">
      <formula>0</formula>
    </cfRule>
    <cfRule type="cellIs" dxfId="64" priority="233" operator="equal">
      <formula>1</formula>
    </cfRule>
  </conditionalFormatting>
  <conditionalFormatting sqref="AB56">
    <cfRule type="cellIs" dxfId="63" priority="228" operator="equal">
      <formula>0</formula>
    </cfRule>
    <cfRule type="cellIs" dxfId="62" priority="229" operator="equal">
      <formula>1</formula>
    </cfRule>
  </conditionalFormatting>
  <conditionalFormatting sqref="AB58">
    <cfRule type="cellIs" dxfId="61" priority="226" operator="equal">
      <formula>0</formula>
    </cfRule>
    <cfRule type="cellIs" dxfId="60" priority="227" operator="equal">
      <formula>1</formula>
    </cfRule>
  </conditionalFormatting>
  <conditionalFormatting sqref="AB60">
    <cfRule type="cellIs" dxfId="59" priority="222" operator="equal">
      <formula>0</formula>
    </cfRule>
    <cfRule type="cellIs" dxfId="58" priority="223" operator="equal">
      <formula>1</formula>
    </cfRule>
  </conditionalFormatting>
  <conditionalFormatting sqref="AB62">
    <cfRule type="cellIs" dxfId="57" priority="221" operator="equal">
      <formula>1</formula>
    </cfRule>
    <cfRule type="cellIs" dxfId="56" priority="220" operator="equal">
      <formula>0</formula>
    </cfRule>
  </conditionalFormatting>
  <conditionalFormatting sqref="AB64">
    <cfRule type="cellIs" dxfId="55" priority="216" operator="equal">
      <formula>0</formula>
    </cfRule>
    <cfRule type="cellIs" dxfId="54" priority="217" operator="equal">
      <formula>1</formula>
    </cfRule>
  </conditionalFormatting>
  <conditionalFormatting sqref="AB33:AE34">
    <cfRule type="cellIs" dxfId="53" priority="334" operator="equal">
      <formula>0</formula>
    </cfRule>
    <cfRule type="cellIs" dxfId="52" priority="335" operator="equal">
      <formula>1</formula>
    </cfRule>
  </conditionalFormatting>
  <conditionalFormatting sqref="AB36:AE36">
    <cfRule type="cellIs" dxfId="51" priority="264" operator="equal">
      <formula>0</formula>
    </cfRule>
    <cfRule type="cellIs" dxfId="50" priority="265" operator="equal">
      <formula>1</formula>
    </cfRule>
  </conditionalFormatting>
  <conditionalFormatting sqref="AB38:AE38">
    <cfRule type="cellIs" dxfId="49" priority="278" operator="equal">
      <formula>0</formula>
    </cfRule>
    <cfRule type="cellIs" dxfId="48" priority="279" operator="equal">
      <formula>1</formula>
    </cfRule>
  </conditionalFormatting>
  <conditionalFormatting sqref="AB40:AE41">
    <cfRule type="cellIs" dxfId="47" priority="319" operator="equal">
      <formula>1</formula>
    </cfRule>
    <cfRule type="cellIs" dxfId="46" priority="318" operator="equal">
      <formula>0</formula>
    </cfRule>
  </conditionalFormatting>
  <conditionalFormatting sqref="AB43:AE43">
    <cfRule type="cellIs" dxfId="45" priority="284" operator="equal">
      <formula>0</formula>
    </cfRule>
    <cfRule type="cellIs" dxfId="44" priority="285" operator="equal">
      <formula>1</formula>
    </cfRule>
  </conditionalFormatting>
  <conditionalFormatting sqref="AB45:AE45">
    <cfRule type="cellIs" dxfId="43" priority="297" operator="equal">
      <formula>1</formula>
    </cfRule>
    <cfRule type="cellIs" dxfId="42" priority="296" operator="equal">
      <formula>0</formula>
    </cfRule>
  </conditionalFormatting>
  <conditionalFormatting sqref="AB47:AE48">
    <cfRule type="cellIs" dxfId="41" priority="262" operator="equal">
      <formula>0</formula>
    </cfRule>
    <cfRule type="cellIs" dxfId="40" priority="263" operator="equal">
      <formula>1</formula>
    </cfRule>
  </conditionalFormatting>
  <conditionalFormatting sqref="AB66:AE66">
    <cfRule type="cellIs" dxfId="39" priority="258" operator="equal">
      <formula>0</formula>
    </cfRule>
    <cfRule type="cellIs" dxfId="38" priority="259" operator="equal">
      <formula>1</formula>
    </cfRule>
  </conditionalFormatting>
  <conditionalFormatting sqref="AC6">
    <cfRule type="cellIs" dxfId="37" priority="681" operator="equal">
      <formula>1</formula>
    </cfRule>
    <cfRule type="cellIs" dxfId="36" priority="680" operator="equal">
      <formula>0</formula>
    </cfRule>
  </conditionalFormatting>
  <conditionalFormatting sqref="AC8">
    <cfRule type="cellIs" dxfId="35" priority="683" operator="equal">
      <formula>1</formula>
    </cfRule>
    <cfRule type="cellIs" dxfId="34" priority="682" operator="equal">
      <formula>0</formula>
    </cfRule>
  </conditionalFormatting>
  <conditionalFormatting sqref="AC14">
    <cfRule type="cellIs" dxfId="33" priority="699" operator="equal">
      <formula>1</formula>
    </cfRule>
    <cfRule type="cellIs" dxfId="32" priority="698" operator="equal">
      <formula>0</formula>
    </cfRule>
  </conditionalFormatting>
  <conditionalFormatting sqref="AC27">
    <cfRule type="cellIs" dxfId="31" priority="417" operator="equal">
      <formula>1</formula>
    </cfRule>
    <cfRule type="cellIs" dxfId="30" priority="416" operator="equal">
      <formula>0</formula>
    </cfRule>
  </conditionalFormatting>
  <conditionalFormatting sqref="AC29">
    <cfRule type="cellIs" dxfId="29" priority="411" operator="equal">
      <formula>1</formula>
    </cfRule>
    <cfRule type="cellIs" dxfId="28" priority="410" operator="equal">
      <formula>0</formula>
    </cfRule>
  </conditionalFormatting>
  <conditionalFormatting sqref="AC31">
    <cfRule type="cellIs" dxfId="27" priority="408" operator="equal">
      <formula>0</formula>
    </cfRule>
    <cfRule type="cellIs" dxfId="26" priority="409" operator="equal">
      <formula>1</formula>
    </cfRule>
  </conditionalFormatting>
  <conditionalFormatting sqref="AC51:AD51">
    <cfRule type="cellIs" dxfId="25" priority="255" operator="equal">
      <formula>1</formula>
    </cfRule>
    <cfRule type="cellIs" dxfId="24" priority="254" operator="equal">
      <formula>0</formula>
    </cfRule>
  </conditionalFormatting>
  <conditionalFormatting sqref="AC55:AD55">
    <cfRule type="cellIs" dxfId="23" priority="231" operator="equal">
      <formula>1</formula>
    </cfRule>
    <cfRule type="cellIs" dxfId="22" priority="230" operator="equal">
      <formula>0</formula>
    </cfRule>
  </conditionalFormatting>
  <conditionalFormatting sqref="AC59:AD59">
    <cfRule type="cellIs" dxfId="21" priority="225" operator="equal">
      <formula>1</formula>
    </cfRule>
    <cfRule type="cellIs" dxfId="20" priority="224" operator="equal">
      <formula>0</formula>
    </cfRule>
  </conditionalFormatting>
  <conditionalFormatting sqref="AC63:AD63">
    <cfRule type="cellIs" dxfId="19" priority="219" operator="equal">
      <formula>1</formula>
    </cfRule>
    <cfRule type="cellIs" dxfId="18" priority="218" operator="equal">
      <formula>0</formula>
    </cfRule>
  </conditionalFormatting>
  <conditionalFormatting sqref="AD4">
    <cfRule type="cellIs" dxfId="17" priority="692" operator="equal">
      <formula>0</formula>
    </cfRule>
    <cfRule type="cellIs" dxfId="16" priority="693" operator="equal">
      <formula>1</formula>
    </cfRule>
  </conditionalFormatting>
  <conditionalFormatting sqref="AD7">
    <cfRule type="cellIs" dxfId="15" priority="696" operator="equal">
      <formula>0</formula>
    </cfRule>
    <cfRule type="cellIs" dxfId="14" priority="697" operator="equal">
      <formula>1</formula>
    </cfRule>
  </conditionalFormatting>
  <conditionalFormatting sqref="AD25">
    <cfRule type="cellIs" dxfId="13" priority="420" operator="equal">
      <formula>0</formula>
    </cfRule>
    <cfRule type="cellIs" dxfId="12" priority="421" operator="equal">
      <formula>1</formula>
    </cfRule>
  </conditionalFormatting>
  <conditionalFormatting sqref="AD28:AE28">
    <cfRule type="cellIs" dxfId="11" priority="413" operator="equal">
      <formula>1</formula>
    </cfRule>
    <cfRule type="cellIs" dxfId="10" priority="412" operator="equal">
      <formula>0</formula>
    </cfRule>
  </conditionalFormatting>
  <conditionalFormatting sqref="AD82:AG83">
    <cfRule type="cellIs" dxfId="9" priority="9" operator="equal">
      <formula>0</formula>
    </cfRule>
    <cfRule type="cellIs" dxfId="8" priority="10" operator="greaterThanOrEqual">
      <formula>1</formula>
    </cfRule>
  </conditionalFormatting>
  <conditionalFormatting sqref="AF25">
    <cfRule type="cellIs" dxfId="7" priority="418" operator="equal">
      <formula>0</formula>
    </cfRule>
    <cfRule type="cellIs" dxfId="6" priority="419" operator="equal">
      <formula>1</formula>
    </cfRule>
  </conditionalFormatting>
  <conditionalFormatting sqref="AG47">
    <cfRule type="cellIs" dxfId="5" priority="261" operator="equal">
      <formula>1</formula>
    </cfRule>
    <cfRule type="cellIs" dxfId="4" priority="260" operator="equal">
      <formula>0</formula>
    </cfRule>
  </conditionalFormatting>
  <conditionalFormatting sqref="AR84:AT85 AR93:AT101 AU99:AV99">
    <cfRule type="cellIs" dxfId="3" priority="4" operator="greaterThan">
      <formula>0</formula>
    </cfRule>
    <cfRule type="containsText" dxfId="2" priority="3" operator="containsText" text="0000">
      <formula>NOT(ISERROR(SEARCH("0000",AR84)))</formula>
    </cfRule>
  </conditionalFormatting>
  <pageMargins left="0.7" right="0.7" top="0.75" bottom="0.75" header="0" footer="0"/>
  <pageSetup orientation="portrait" r:id="rId1"/>
  <ignoredErrors>
    <ignoredError sqref="G82:J82 H81:J81 F83:F84" numberStoredAsText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3C5777-AFFF-4023-937A-47B65E24E5FA}">
  <sheetPr codeName="Sheet2"/>
  <dimension ref="A1"/>
  <sheetViews>
    <sheetView workbookViewId="0">
      <selection activeCell="N20" sqref="N20"/>
    </sheetView>
  </sheetViews>
  <sheetFormatPr defaultColWidth="9.140625" defaultRowHeight="15" x14ac:dyDescent="0.25"/>
  <cols>
    <col min="1" max="5" width="9.140625" style="91"/>
    <col min="6" max="7" width="9.140625" style="91" customWidth="1"/>
    <col min="8" max="16384" width="9.140625" style="91"/>
  </cols>
  <sheetData>
    <row r="1" spans="1:1" x14ac:dyDescent="0.25">
      <c r="A1" s="92" t="s">
        <v>67</v>
      </c>
    </row>
  </sheetData>
  <pageMargins left="0.7" right="0.7" top="0.75" bottom="0.75" header="0.3" footer="0.3"/>
  <pageSetup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946844-C73D-4D2F-BDE4-E3700F7AA59E}">
  <dimension ref="A1:BL69"/>
  <sheetViews>
    <sheetView topLeftCell="A43" workbookViewId="0">
      <selection activeCell="C27" sqref="C27"/>
    </sheetView>
  </sheetViews>
  <sheetFormatPr defaultRowHeight="15" x14ac:dyDescent="0.25"/>
  <cols>
    <col min="1" max="64" width="18.7109375" customWidth="1"/>
  </cols>
  <sheetData>
    <row r="1" spans="1:64" x14ac:dyDescent="0.25">
      <c r="A1" s="87" t="str">
        <f t="shared" ref="A1:J10" ca="1" si="0">IF(AND(OP="11",RAMX=DEC2BIN(COLUMN(A1)-1,8),RAMY=DEC2BIN(ROW(A1)-1,8)),DATA,A1)</f>
        <v>0000000000000001</v>
      </c>
      <c r="B1" s="87">
        <f t="shared" ca="1" si="0"/>
        <v>0</v>
      </c>
      <c r="C1" s="87">
        <f t="shared" ca="1" si="0"/>
        <v>0</v>
      </c>
      <c r="D1" s="87">
        <f t="shared" ca="1" si="0"/>
        <v>0</v>
      </c>
      <c r="E1" s="87">
        <f t="shared" ca="1" si="0"/>
        <v>0</v>
      </c>
      <c r="F1" s="87">
        <f t="shared" ca="1" si="0"/>
        <v>0</v>
      </c>
      <c r="G1" s="87">
        <f t="shared" ca="1" si="0"/>
        <v>0</v>
      </c>
      <c r="H1" s="87">
        <f t="shared" ca="1" si="0"/>
        <v>0</v>
      </c>
      <c r="I1" s="87">
        <f t="shared" ca="1" si="0"/>
        <v>0</v>
      </c>
      <c r="J1" s="87">
        <f t="shared" ca="1" si="0"/>
        <v>0</v>
      </c>
      <c r="K1" s="87">
        <f t="shared" ref="K1:T10" ca="1" si="1">IF(AND(OP="11",RAMX=DEC2BIN(COLUMN(K1)-1,8),RAMY=DEC2BIN(ROW(K1)-1,8)),DATA,K1)</f>
        <v>0</v>
      </c>
      <c r="L1" s="87">
        <f t="shared" ca="1" si="1"/>
        <v>0</v>
      </c>
      <c r="M1" s="87">
        <f t="shared" ca="1" si="1"/>
        <v>0</v>
      </c>
      <c r="N1" s="87">
        <f t="shared" ca="1" si="1"/>
        <v>0</v>
      </c>
      <c r="O1" s="87">
        <f t="shared" ca="1" si="1"/>
        <v>0</v>
      </c>
      <c r="P1" s="87">
        <f t="shared" ca="1" si="1"/>
        <v>0</v>
      </c>
      <c r="Q1" s="87">
        <f t="shared" ca="1" si="1"/>
        <v>0</v>
      </c>
      <c r="R1" s="87">
        <f t="shared" ca="1" si="1"/>
        <v>0</v>
      </c>
      <c r="S1" s="87">
        <f t="shared" ca="1" si="1"/>
        <v>0</v>
      </c>
      <c r="T1" s="87">
        <f t="shared" ca="1" si="1"/>
        <v>0</v>
      </c>
      <c r="U1" s="87">
        <f t="shared" ref="U1:AD10" ca="1" si="2">IF(AND(OP="11",RAMX=DEC2BIN(COLUMN(U1)-1,8),RAMY=DEC2BIN(ROW(U1)-1,8)),DATA,U1)</f>
        <v>0</v>
      </c>
      <c r="V1" s="87">
        <f t="shared" ca="1" si="2"/>
        <v>0</v>
      </c>
      <c r="W1" s="87">
        <f t="shared" ca="1" si="2"/>
        <v>0</v>
      </c>
      <c r="X1" s="87">
        <f t="shared" ca="1" si="2"/>
        <v>0</v>
      </c>
      <c r="Y1" s="87">
        <f t="shared" ca="1" si="2"/>
        <v>0</v>
      </c>
      <c r="Z1" s="87">
        <f t="shared" ca="1" si="2"/>
        <v>0</v>
      </c>
      <c r="AA1" s="87">
        <f t="shared" ca="1" si="2"/>
        <v>0</v>
      </c>
      <c r="AB1" s="87">
        <f t="shared" ca="1" si="2"/>
        <v>0</v>
      </c>
      <c r="AC1" s="87">
        <f t="shared" ca="1" si="2"/>
        <v>0</v>
      </c>
      <c r="AD1" s="87">
        <f t="shared" ca="1" si="2"/>
        <v>0</v>
      </c>
      <c r="AE1" s="87">
        <f t="shared" ref="AE1:AN10" ca="1" si="3">IF(AND(OP="11",RAMX=DEC2BIN(COLUMN(AE1)-1,8),RAMY=DEC2BIN(ROW(AE1)-1,8)),DATA,AE1)</f>
        <v>0</v>
      </c>
      <c r="AF1" s="87">
        <f t="shared" ca="1" si="3"/>
        <v>0</v>
      </c>
      <c r="AG1" s="87">
        <f t="shared" ca="1" si="3"/>
        <v>0</v>
      </c>
      <c r="AH1" s="87">
        <f t="shared" ca="1" si="3"/>
        <v>0</v>
      </c>
      <c r="AI1" s="87">
        <f t="shared" ca="1" si="3"/>
        <v>0</v>
      </c>
      <c r="AJ1" s="87">
        <f t="shared" ca="1" si="3"/>
        <v>0</v>
      </c>
      <c r="AK1" s="87">
        <f t="shared" ca="1" si="3"/>
        <v>0</v>
      </c>
      <c r="AL1" s="87">
        <f t="shared" ca="1" si="3"/>
        <v>0</v>
      </c>
      <c r="AM1" s="87">
        <f t="shared" ca="1" si="3"/>
        <v>0</v>
      </c>
      <c r="AN1" s="87">
        <f t="shared" ca="1" si="3"/>
        <v>0</v>
      </c>
      <c r="AO1" s="87">
        <f t="shared" ref="AO1:AX10" ca="1" si="4">IF(AND(OP="11",RAMX=DEC2BIN(COLUMN(AO1)-1,8),RAMY=DEC2BIN(ROW(AO1)-1,8)),DATA,AO1)</f>
        <v>0</v>
      </c>
      <c r="AP1" s="87">
        <f t="shared" ca="1" si="4"/>
        <v>0</v>
      </c>
      <c r="AQ1" s="87">
        <f t="shared" ca="1" si="4"/>
        <v>0</v>
      </c>
      <c r="AR1" s="87">
        <f t="shared" ca="1" si="4"/>
        <v>0</v>
      </c>
      <c r="AS1" s="87">
        <f t="shared" ca="1" si="4"/>
        <v>0</v>
      </c>
      <c r="AT1" s="87">
        <f t="shared" ca="1" si="4"/>
        <v>0</v>
      </c>
      <c r="AU1" s="87">
        <f t="shared" ca="1" si="4"/>
        <v>0</v>
      </c>
      <c r="AV1" s="87">
        <f t="shared" ca="1" si="4"/>
        <v>0</v>
      </c>
      <c r="AW1" s="87">
        <f t="shared" ca="1" si="4"/>
        <v>0</v>
      </c>
      <c r="AX1" s="87">
        <f t="shared" ca="1" si="4"/>
        <v>0</v>
      </c>
      <c r="AY1" s="87">
        <f t="shared" ref="AY1:BL10" ca="1" si="5">IF(AND(OP="11",RAMX=DEC2BIN(COLUMN(AY1)-1,8),RAMY=DEC2BIN(ROW(AY1)-1,8)),DATA,AY1)</f>
        <v>0</v>
      </c>
      <c r="AZ1" s="87">
        <f t="shared" ca="1" si="5"/>
        <v>0</v>
      </c>
      <c r="BA1" s="87">
        <f t="shared" ca="1" si="5"/>
        <v>0</v>
      </c>
      <c r="BB1" s="87">
        <f t="shared" ca="1" si="5"/>
        <v>0</v>
      </c>
      <c r="BC1" s="87">
        <f t="shared" ca="1" si="5"/>
        <v>0</v>
      </c>
      <c r="BD1" s="87">
        <f t="shared" ca="1" si="5"/>
        <v>0</v>
      </c>
      <c r="BE1" s="87">
        <f t="shared" ca="1" si="5"/>
        <v>0</v>
      </c>
      <c r="BF1" s="87">
        <f t="shared" ca="1" si="5"/>
        <v>0</v>
      </c>
      <c r="BG1" s="87">
        <f t="shared" ca="1" si="5"/>
        <v>0</v>
      </c>
      <c r="BH1" s="87">
        <f t="shared" ca="1" si="5"/>
        <v>0</v>
      </c>
      <c r="BI1" s="87">
        <f t="shared" ca="1" si="5"/>
        <v>0</v>
      </c>
      <c r="BJ1" s="87">
        <f t="shared" ca="1" si="5"/>
        <v>0</v>
      </c>
      <c r="BK1" s="87">
        <f t="shared" ca="1" si="5"/>
        <v>0</v>
      </c>
      <c r="BL1" s="87">
        <f t="shared" ca="1" si="5"/>
        <v>0</v>
      </c>
    </row>
    <row r="2" spans="1:64" x14ac:dyDescent="0.25">
      <c r="A2" s="87">
        <f t="shared" ca="1" si="0"/>
        <v>0</v>
      </c>
      <c r="B2" s="87" t="str">
        <f t="shared" ca="1" si="0"/>
        <v>0000000100000001</v>
      </c>
      <c r="C2" s="87">
        <f t="shared" ca="1" si="0"/>
        <v>0</v>
      </c>
      <c r="D2" s="87">
        <f t="shared" ca="1" si="0"/>
        <v>0</v>
      </c>
      <c r="E2" s="87">
        <f t="shared" ca="1" si="0"/>
        <v>0</v>
      </c>
      <c r="F2" s="87">
        <f t="shared" ca="1" si="0"/>
        <v>0</v>
      </c>
      <c r="G2" s="87">
        <f t="shared" ca="1" si="0"/>
        <v>0</v>
      </c>
      <c r="H2" s="87">
        <f t="shared" ca="1" si="0"/>
        <v>0</v>
      </c>
      <c r="I2" s="87">
        <f t="shared" ca="1" si="0"/>
        <v>0</v>
      </c>
      <c r="J2" s="87">
        <f t="shared" ca="1" si="0"/>
        <v>0</v>
      </c>
      <c r="K2" s="87">
        <f t="shared" ca="1" si="1"/>
        <v>0</v>
      </c>
      <c r="L2" s="87">
        <f t="shared" ca="1" si="1"/>
        <v>0</v>
      </c>
      <c r="M2" s="87">
        <f t="shared" ca="1" si="1"/>
        <v>0</v>
      </c>
      <c r="N2" s="87">
        <f t="shared" ca="1" si="1"/>
        <v>0</v>
      </c>
      <c r="O2" s="87">
        <f t="shared" ca="1" si="1"/>
        <v>0</v>
      </c>
      <c r="P2" s="87">
        <f t="shared" ca="1" si="1"/>
        <v>0</v>
      </c>
      <c r="Q2" s="87">
        <f t="shared" ca="1" si="1"/>
        <v>0</v>
      </c>
      <c r="R2" s="87">
        <f t="shared" ca="1" si="1"/>
        <v>0</v>
      </c>
      <c r="S2" s="87">
        <f t="shared" ca="1" si="1"/>
        <v>0</v>
      </c>
      <c r="T2" s="87">
        <f t="shared" ca="1" si="1"/>
        <v>0</v>
      </c>
      <c r="U2" s="87">
        <f t="shared" ca="1" si="2"/>
        <v>0</v>
      </c>
      <c r="V2" s="87">
        <f t="shared" ca="1" si="2"/>
        <v>0</v>
      </c>
      <c r="W2" s="87">
        <f t="shared" ca="1" si="2"/>
        <v>0</v>
      </c>
      <c r="X2" s="87">
        <f t="shared" ca="1" si="2"/>
        <v>0</v>
      </c>
      <c r="Y2" s="87">
        <f t="shared" ca="1" si="2"/>
        <v>0</v>
      </c>
      <c r="Z2" s="87">
        <f t="shared" ca="1" si="2"/>
        <v>0</v>
      </c>
      <c r="AA2" s="87">
        <f t="shared" ca="1" si="2"/>
        <v>0</v>
      </c>
      <c r="AB2" s="87">
        <f t="shared" ca="1" si="2"/>
        <v>0</v>
      </c>
      <c r="AC2" s="87">
        <f t="shared" ca="1" si="2"/>
        <v>0</v>
      </c>
      <c r="AD2" s="87">
        <f t="shared" ca="1" si="2"/>
        <v>0</v>
      </c>
      <c r="AE2" s="87">
        <f t="shared" ca="1" si="3"/>
        <v>0</v>
      </c>
      <c r="AF2" s="87">
        <f t="shared" ca="1" si="3"/>
        <v>0</v>
      </c>
      <c r="AG2" s="87">
        <f t="shared" ca="1" si="3"/>
        <v>0</v>
      </c>
      <c r="AH2" s="87">
        <f t="shared" ca="1" si="3"/>
        <v>0</v>
      </c>
      <c r="AI2" s="87">
        <f t="shared" ca="1" si="3"/>
        <v>0</v>
      </c>
      <c r="AJ2" s="87">
        <f t="shared" ca="1" si="3"/>
        <v>0</v>
      </c>
      <c r="AK2" s="87">
        <f t="shared" ca="1" si="3"/>
        <v>0</v>
      </c>
      <c r="AL2" s="87">
        <f t="shared" ca="1" si="3"/>
        <v>0</v>
      </c>
      <c r="AM2" s="87">
        <f t="shared" ca="1" si="3"/>
        <v>0</v>
      </c>
      <c r="AN2" s="87">
        <f t="shared" ca="1" si="3"/>
        <v>0</v>
      </c>
      <c r="AO2" s="87">
        <f t="shared" ca="1" si="4"/>
        <v>0</v>
      </c>
      <c r="AP2" s="87">
        <f t="shared" ca="1" si="4"/>
        <v>0</v>
      </c>
      <c r="AQ2" s="87">
        <f t="shared" ca="1" si="4"/>
        <v>0</v>
      </c>
      <c r="AR2" s="87">
        <f t="shared" ca="1" si="4"/>
        <v>0</v>
      </c>
      <c r="AS2" s="87">
        <f t="shared" ca="1" si="4"/>
        <v>0</v>
      </c>
      <c r="AT2" s="87">
        <f t="shared" ca="1" si="4"/>
        <v>0</v>
      </c>
      <c r="AU2" s="87">
        <f t="shared" ca="1" si="4"/>
        <v>0</v>
      </c>
      <c r="AV2" s="87">
        <f t="shared" ca="1" si="4"/>
        <v>0</v>
      </c>
      <c r="AW2" s="87">
        <f t="shared" ca="1" si="4"/>
        <v>0</v>
      </c>
      <c r="AX2" s="87">
        <f t="shared" ca="1" si="4"/>
        <v>0</v>
      </c>
      <c r="AY2" s="87">
        <f t="shared" ca="1" si="5"/>
        <v>0</v>
      </c>
      <c r="AZ2" s="87">
        <f t="shared" ca="1" si="5"/>
        <v>0</v>
      </c>
      <c r="BA2" s="87">
        <f t="shared" ca="1" si="5"/>
        <v>0</v>
      </c>
      <c r="BB2" s="87">
        <f t="shared" ca="1" si="5"/>
        <v>0</v>
      </c>
      <c r="BC2" s="87">
        <f t="shared" ca="1" si="5"/>
        <v>0</v>
      </c>
      <c r="BD2" s="87">
        <f t="shared" ca="1" si="5"/>
        <v>0</v>
      </c>
      <c r="BE2" s="87">
        <f t="shared" ca="1" si="5"/>
        <v>0</v>
      </c>
      <c r="BF2" s="87">
        <f t="shared" ca="1" si="5"/>
        <v>0</v>
      </c>
      <c r="BG2" s="87">
        <f t="shared" ca="1" si="5"/>
        <v>0</v>
      </c>
      <c r="BH2" s="87">
        <f t="shared" ca="1" si="5"/>
        <v>0</v>
      </c>
      <c r="BI2" s="87">
        <f t="shared" ca="1" si="5"/>
        <v>0</v>
      </c>
      <c r="BJ2" s="87">
        <f t="shared" ca="1" si="5"/>
        <v>0</v>
      </c>
      <c r="BK2" s="87">
        <f t="shared" ca="1" si="5"/>
        <v>0</v>
      </c>
      <c r="BL2" s="87">
        <f t="shared" ca="1" si="5"/>
        <v>0</v>
      </c>
    </row>
    <row r="3" spans="1:64" x14ac:dyDescent="0.25">
      <c r="A3" s="87">
        <f t="shared" ca="1" si="0"/>
        <v>0</v>
      </c>
      <c r="B3" s="87">
        <f t="shared" ca="1" si="0"/>
        <v>0</v>
      </c>
      <c r="C3" s="87">
        <f t="shared" ca="1" si="0"/>
        <v>0</v>
      </c>
      <c r="D3" s="87">
        <f t="shared" ca="1" si="0"/>
        <v>0</v>
      </c>
      <c r="E3" s="87">
        <f t="shared" ca="1" si="0"/>
        <v>0</v>
      </c>
      <c r="F3" s="87">
        <f t="shared" ca="1" si="0"/>
        <v>0</v>
      </c>
      <c r="G3" s="87">
        <f t="shared" ca="1" si="0"/>
        <v>0</v>
      </c>
      <c r="H3" s="87">
        <f t="shared" ca="1" si="0"/>
        <v>0</v>
      </c>
      <c r="I3" s="87">
        <f t="shared" ca="1" si="0"/>
        <v>0</v>
      </c>
      <c r="J3" s="87">
        <f t="shared" ca="1" si="0"/>
        <v>0</v>
      </c>
      <c r="K3" s="87">
        <f t="shared" ca="1" si="1"/>
        <v>0</v>
      </c>
      <c r="L3" s="87">
        <f t="shared" ca="1" si="1"/>
        <v>0</v>
      </c>
      <c r="M3" s="87">
        <f t="shared" ca="1" si="1"/>
        <v>0</v>
      </c>
      <c r="N3" s="87">
        <f t="shared" ca="1" si="1"/>
        <v>0</v>
      </c>
      <c r="O3" s="87">
        <f t="shared" ca="1" si="1"/>
        <v>0</v>
      </c>
      <c r="P3" s="87">
        <f t="shared" ca="1" si="1"/>
        <v>0</v>
      </c>
      <c r="Q3" s="87">
        <f t="shared" ca="1" si="1"/>
        <v>0</v>
      </c>
      <c r="R3" s="87">
        <f t="shared" ca="1" si="1"/>
        <v>0</v>
      </c>
      <c r="S3" s="87">
        <f t="shared" ca="1" si="1"/>
        <v>0</v>
      </c>
      <c r="T3" s="87">
        <f t="shared" ca="1" si="1"/>
        <v>0</v>
      </c>
      <c r="U3" s="87">
        <f t="shared" ca="1" si="2"/>
        <v>0</v>
      </c>
      <c r="V3" s="87">
        <f t="shared" ca="1" si="2"/>
        <v>0</v>
      </c>
      <c r="W3" s="87">
        <f t="shared" ca="1" si="2"/>
        <v>0</v>
      </c>
      <c r="X3" s="87">
        <f t="shared" ca="1" si="2"/>
        <v>0</v>
      </c>
      <c r="Y3" s="87">
        <f t="shared" ca="1" si="2"/>
        <v>0</v>
      </c>
      <c r="Z3" s="87">
        <f t="shared" ca="1" si="2"/>
        <v>0</v>
      </c>
      <c r="AA3" s="87">
        <f t="shared" ca="1" si="2"/>
        <v>0</v>
      </c>
      <c r="AB3" s="87">
        <f t="shared" ca="1" si="2"/>
        <v>0</v>
      </c>
      <c r="AC3" s="87">
        <f t="shared" ca="1" si="2"/>
        <v>0</v>
      </c>
      <c r="AD3" s="87">
        <f t="shared" ca="1" si="2"/>
        <v>0</v>
      </c>
      <c r="AE3" s="87">
        <f t="shared" ca="1" si="3"/>
        <v>0</v>
      </c>
      <c r="AF3" s="87">
        <f t="shared" ca="1" si="3"/>
        <v>0</v>
      </c>
      <c r="AG3" s="87">
        <f t="shared" ca="1" si="3"/>
        <v>0</v>
      </c>
      <c r="AH3" s="87">
        <f t="shared" ca="1" si="3"/>
        <v>0</v>
      </c>
      <c r="AI3" s="87">
        <f t="shared" ca="1" si="3"/>
        <v>0</v>
      </c>
      <c r="AJ3" s="87">
        <f t="shared" ca="1" si="3"/>
        <v>0</v>
      </c>
      <c r="AK3" s="87">
        <f t="shared" ca="1" si="3"/>
        <v>0</v>
      </c>
      <c r="AL3" s="87">
        <f t="shared" ca="1" si="3"/>
        <v>0</v>
      </c>
      <c r="AM3" s="87">
        <f t="shared" ca="1" si="3"/>
        <v>0</v>
      </c>
      <c r="AN3" s="87">
        <f t="shared" ca="1" si="3"/>
        <v>0</v>
      </c>
      <c r="AO3" s="87">
        <f t="shared" ca="1" si="4"/>
        <v>0</v>
      </c>
      <c r="AP3" s="87">
        <f t="shared" ca="1" si="4"/>
        <v>0</v>
      </c>
      <c r="AQ3" s="87">
        <f t="shared" ca="1" si="4"/>
        <v>0</v>
      </c>
      <c r="AR3" s="87">
        <f t="shared" ca="1" si="4"/>
        <v>0</v>
      </c>
      <c r="AS3" s="87">
        <f t="shared" ca="1" si="4"/>
        <v>0</v>
      </c>
      <c r="AT3" s="87">
        <f t="shared" ca="1" si="4"/>
        <v>0</v>
      </c>
      <c r="AU3" s="87">
        <f t="shared" ca="1" si="4"/>
        <v>0</v>
      </c>
      <c r="AV3" s="87">
        <f t="shared" ca="1" si="4"/>
        <v>0</v>
      </c>
      <c r="AW3" s="87">
        <f t="shared" ca="1" si="4"/>
        <v>0</v>
      </c>
      <c r="AX3" s="87">
        <f t="shared" ca="1" si="4"/>
        <v>0</v>
      </c>
      <c r="AY3" s="87">
        <f t="shared" ca="1" si="5"/>
        <v>0</v>
      </c>
      <c r="AZ3" s="87">
        <f t="shared" ca="1" si="5"/>
        <v>0</v>
      </c>
      <c r="BA3" s="87">
        <f t="shared" ca="1" si="5"/>
        <v>0</v>
      </c>
      <c r="BB3" s="87">
        <f t="shared" ca="1" si="5"/>
        <v>0</v>
      </c>
      <c r="BC3" s="87">
        <f t="shared" ca="1" si="5"/>
        <v>0</v>
      </c>
      <c r="BD3" s="87">
        <f t="shared" ca="1" si="5"/>
        <v>0</v>
      </c>
      <c r="BE3" s="87">
        <f t="shared" ca="1" si="5"/>
        <v>0</v>
      </c>
      <c r="BF3" s="87">
        <f t="shared" ca="1" si="5"/>
        <v>0</v>
      </c>
      <c r="BG3" s="87">
        <f t="shared" ca="1" si="5"/>
        <v>0</v>
      </c>
      <c r="BH3" s="87">
        <f t="shared" ca="1" si="5"/>
        <v>0</v>
      </c>
      <c r="BI3" s="87">
        <f t="shared" ca="1" si="5"/>
        <v>0</v>
      </c>
      <c r="BJ3" s="87">
        <f t="shared" ca="1" si="5"/>
        <v>0</v>
      </c>
      <c r="BK3" s="87">
        <f t="shared" ca="1" si="5"/>
        <v>0</v>
      </c>
      <c r="BL3" s="87">
        <f t="shared" ca="1" si="5"/>
        <v>0</v>
      </c>
    </row>
    <row r="4" spans="1:64" x14ac:dyDescent="0.25">
      <c r="A4" s="87">
        <f t="shared" ca="1" si="0"/>
        <v>0</v>
      </c>
      <c r="B4" s="87">
        <f t="shared" ca="1" si="0"/>
        <v>0</v>
      </c>
      <c r="C4" s="87">
        <f t="shared" ca="1" si="0"/>
        <v>0</v>
      </c>
      <c r="D4" s="87">
        <f t="shared" ca="1" si="0"/>
        <v>0</v>
      </c>
      <c r="E4" s="87">
        <f t="shared" ca="1" si="0"/>
        <v>0</v>
      </c>
      <c r="F4" s="87">
        <f t="shared" ca="1" si="0"/>
        <v>0</v>
      </c>
      <c r="G4" s="87">
        <f t="shared" ca="1" si="0"/>
        <v>0</v>
      </c>
      <c r="H4" s="87">
        <f t="shared" ca="1" si="0"/>
        <v>0</v>
      </c>
      <c r="I4" s="87">
        <f t="shared" ca="1" si="0"/>
        <v>0</v>
      </c>
      <c r="J4" s="87">
        <f t="shared" ca="1" si="0"/>
        <v>0</v>
      </c>
      <c r="K4" s="87">
        <f t="shared" ca="1" si="1"/>
        <v>0</v>
      </c>
      <c r="L4" s="87">
        <f t="shared" ca="1" si="1"/>
        <v>0</v>
      </c>
      <c r="M4" s="87">
        <f t="shared" ca="1" si="1"/>
        <v>0</v>
      </c>
      <c r="N4" s="87">
        <f t="shared" ca="1" si="1"/>
        <v>0</v>
      </c>
      <c r="O4" s="87">
        <f t="shared" ca="1" si="1"/>
        <v>0</v>
      </c>
      <c r="P4" s="87">
        <f t="shared" ca="1" si="1"/>
        <v>0</v>
      </c>
      <c r="Q4" s="87">
        <f t="shared" ca="1" si="1"/>
        <v>0</v>
      </c>
      <c r="R4" s="87">
        <f t="shared" ca="1" si="1"/>
        <v>0</v>
      </c>
      <c r="S4" s="87">
        <f t="shared" ca="1" si="1"/>
        <v>0</v>
      </c>
      <c r="T4" s="87">
        <f t="shared" ca="1" si="1"/>
        <v>0</v>
      </c>
      <c r="U4" s="87">
        <f t="shared" ca="1" si="2"/>
        <v>0</v>
      </c>
      <c r="V4" s="87">
        <f t="shared" ca="1" si="2"/>
        <v>0</v>
      </c>
      <c r="W4" s="87">
        <f t="shared" ca="1" si="2"/>
        <v>0</v>
      </c>
      <c r="X4" s="87">
        <f t="shared" ca="1" si="2"/>
        <v>0</v>
      </c>
      <c r="Y4" s="87">
        <f t="shared" ca="1" si="2"/>
        <v>0</v>
      </c>
      <c r="Z4" s="87">
        <f t="shared" ca="1" si="2"/>
        <v>0</v>
      </c>
      <c r="AA4" s="87">
        <f t="shared" ca="1" si="2"/>
        <v>0</v>
      </c>
      <c r="AB4" s="87">
        <f t="shared" ca="1" si="2"/>
        <v>0</v>
      </c>
      <c r="AC4" s="87">
        <f t="shared" ca="1" si="2"/>
        <v>0</v>
      </c>
      <c r="AD4" s="87">
        <f t="shared" ca="1" si="2"/>
        <v>0</v>
      </c>
      <c r="AE4" s="87">
        <f t="shared" ca="1" si="3"/>
        <v>0</v>
      </c>
      <c r="AF4" s="87">
        <f t="shared" ca="1" si="3"/>
        <v>0</v>
      </c>
      <c r="AG4" s="87">
        <f t="shared" ca="1" si="3"/>
        <v>0</v>
      </c>
      <c r="AH4" s="87">
        <f t="shared" ca="1" si="3"/>
        <v>0</v>
      </c>
      <c r="AI4" s="87">
        <f t="shared" ca="1" si="3"/>
        <v>0</v>
      </c>
      <c r="AJ4" s="87">
        <f t="shared" ca="1" si="3"/>
        <v>0</v>
      </c>
      <c r="AK4" s="87">
        <f t="shared" ca="1" si="3"/>
        <v>0</v>
      </c>
      <c r="AL4" s="87">
        <f t="shared" ca="1" si="3"/>
        <v>0</v>
      </c>
      <c r="AM4" s="87">
        <f t="shared" ca="1" si="3"/>
        <v>0</v>
      </c>
      <c r="AN4" s="87">
        <f t="shared" ca="1" si="3"/>
        <v>0</v>
      </c>
      <c r="AO4" s="87">
        <f t="shared" ca="1" si="4"/>
        <v>0</v>
      </c>
      <c r="AP4" s="87">
        <f t="shared" ca="1" si="4"/>
        <v>0</v>
      </c>
      <c r="AQ4" s="87">
        <f t="shared" ca="1" si="4"/>
        <v>0</v>
      </c>
      <c r="AR4" s="87">
        <f t="shared" ca="1" si="4"/>
        <v>0</v>
      </c>
      <c r="AS4" s="87">
        <f t="shared" ca="1" si="4"/>
        <v>0</v>
      </c>
      <c r="AT4" s="87">
        <f t="shared" ca="1" si="4"/>
        <v>0</v>
      </c>
      <c r="AU4" s="87">
        <f t="shared" ca="1" si="4"/>
        <v>0</v>
      </c>
      <c r="AV4" s="87">
        <f t="shared" ca="1" si="4"/>
        <v>0</v>
      </c>
      <c r="AW4" s="87">
        <f t="shared" ca="1" si="4"/>
        <v>0</v>
      </c>
      <c r="AX4" s="87">
        <f t="shared" ca="1" si="4"/>
        <v>0</v>
      </c>
      <c r="AY4" s="87">
        <f t="shared" ca="1" si="5"/>
        <v>0</v>
      </c>
      <c r="AZ4" s="87">
        <f t="shared" ca="1" si="5"/>
        <v>0</v>
      </c>
      <c r="BA4" s="87">
        <f t="shared" ca="1" si="5"/>
        <v>0</v>
      </c>
      <c r="BB4" s="87">
        <f t="shared" ca="1" si="5"/>
        <v>0</v>
      </c>
      <c r="BC4" s="87">
        <f t="shared" ca="1" si="5"/>
        <v>0</v>
      </c>
      <c r="BD4" s="87">
        <f t="shared" ca="1" si="5"/>
        <v>0</v>
      </c>
      <c r="BE4" s="87">
        <f t="shared" ca="1" si="5"/>
        <v>0</v>
      </c>
      <c r="BF4" s="87">
        <f t="shared" ca="1" si="5"/>
        <v>0</v>
      </c>
      <c r="BG4" s="87">
        <f t="shared" ca="1" si="5"/>
        <v>0</v>
      </c>
      <c r="BH4" s="87">
        <f t="shared" ca="1" si="5"/>
        <v>0</v>
      </c>
      <c r="BI4" s="87">
        <f t="shared" ca="1" si="5"/>
        <v>0</v>
      </c>
      <c r="BJ4" s="87">
        <f t="shared" ca="1" si="5"/>
        <v>0</v>
      </c>
      <c r="BK4" s="87">
        <f t="shared" ca="1" si="5"/>
        <v>0</v>
      </c>
      <c r="BL4" s="87">
        <f t="shared" ca="1" si="5"/>
        <v>0</v>
      </c>
    </row>
    <row r="5" spans="1:64" x14ac:dyDescent="0.25">
      <c r="A5" s="87">
        <f t="shared" ca="1" si="0"/>
        <v>0</v>
      </c>
      <c r="B5" s="87">
        <f t="shared" ca="1" si="0"/>
        <v>0</v>
      </c>
      <c r="C5" s="87">
        <f t="shared" ca="1" si="0"/>
        <v>0</v>
      </c>
      <c r="D5" s="87">
        <f t="shared" ca="1" si="0"/>
        <v>0</v>
      </c>
      <c r="E5" s="87">
        <f t="shared" ca="1" si="0"/>
        <v>0</v>
      </c>
      <c r="F5" s="87">
        <f t="shared" ca="1" si="0"/>
        <v>0</v>
      </c>
      <c r="G5" s="87">
        <f t="shared" ca="1" si="0"/>
        <v>0</v>
      </c>
      <c r="H5" s="87">
        <f t="shared" ca="1" si="0"/>
        <v>0</v>
      </c>
      <c r="I5" s="87">
        <f t="shared" ca="1" si="0"/>
        <v>0</v>
      </c>
      <c r="J5" s="87">
        <f t="shared" ca="1" si="0"/>
        <v>0</v>
      </c>
      <c r="K5" s="87">
        <f t="shared" ca="1" si="1"/>
        <v>0</v>
      </c>
      <c r="L5" s="87">
        <f t="shared" ca="1" si="1"/>
        <v>0</v>
      </c>
      <c r="M5" s="87">
        <f t="shared" ca="1" si="1"/>
        <v>0</v>
      </c>
      <c r="N5" s="87">
        <f t="shared" ca="1" si="1"/>
        <v>0</v>
      </c>
      <c r="O5" s="87">
        <f t="shared" ca="1" si="1"/>
        <v>0</v>
      </c>
      <c r="P5" s="87">
        <f t="shared" ca="1" si="1"/>
        <v>0</v>
      </c>
      <c r="Q5" s="87">
        <f t="shared" ca="1" si="1"/>
        <v>0</v>
      </c>
      <c r="R5" s="87">
        <f t="shared" ca="1" si="1"/>
        <v>0</v>
      </c>
      <c r="S5" s="87">
        <f t="shared" ca="1" si="1"/>
        <v>0</v>
      </c>
      <c r="T5" s="87">
        <f t="shared" ca="1" si="1"/>
        <v>0</v>
      </c>
      <c r="U5" s="87">
        <f t="shared" ca="1" si="2"/>
        <v>0</v>
      </c>
      <c r="V5" s="87">
        <f t="shared" ca="1" si="2"/>
        <v>0</v>
      </c>
      <c r="W5" s="87">
        <f t="shared" ca="1" si="2"/>
        <v>0</v>
      </c>
      <c r="X5" s="87">
        <f t="shared" ca="1" si="2"/>
        <v>0</v>
      </c>
      <c r="Y5" s="87">
        <f t="shared" ca="1" si="2"/>
        <v>0</v>
      </c>
      <c r="Z5" s="87">
        <f t="shared" ca="1" si="2"/>
        <v>0</v>
      </c>
      <c r="AA5" s="87">
        <f t="shared" ca="1" si="2"/>
        <v>0</v>
      </c>
      <c r="AB5" s="87">
        <f t="shared" ca="1" si="2"/>
        <v>0</v>
      </c>
      <c r="AC5" s="87">
        <f t="shared" ca="1" si="2"/>
        <v>0</v>
      </c>
      <c r="AD5" s="87">
        <f t="shared" ca="1" si="2"/>
        <v>0</v>
      </c>
      <c r="AE5" s="87">
        <f t="shared" ca="1" si="3"/>
        <v>0</v>
      </c>
      <c r="AF5" s="87">
        <f t="shared" ca="1" si="3"/>
        <v>0</v>
      </c>
      <c r="AG5" s="87">
        <f t="shared" ca="1" si="3"/>
        <v>0</v>
      </c>
      <c r="AH5" s="87">
        <f t="shared" ca="1" si="3"/>
        <v>0</v>
      </c>
      <c r="AI5" s="87">
        <f t="shared" ca="1" si="3"/>
        <v>0</v>
      </c>
      <c r="AJ5" s="87">
        <f t="shared" ca="1" si="3"/>
        <v>0</v>
      </c>
      <c r="AK5" s="87">
        <f t="shared" ca="1" si="3"/>
        <v>0</v>
      </c>
      <c r="AL5" s="87">
        <f t="shared" ca="1" si="3"/>
        <v>0</v>
      </c>
      <c r="AM5" s="87">
        <f t="shared" ca="1" si="3"/>
        <v>0</v>
      </c>
      <c r="AN5" s="87">
        <f t="shared" ca="1" si="3"/>
        <v>0</v>
      </c>
      <c r="AO5" s="87">
        <f t="shared" ca="1" si="4"/>
        <v>0</v>
      </c>
      <c r="AP5" s="87">
        <f t="shared" ca="1" si="4"/>
        <v>0</v>
      </c>
      <c r="AQ5" s="87">
        <f t="shared" ca="1" si="4"/>
        <v>0</v>
      </c>
      <c r="AR5" s="87">
        <f t="shared" ca="1" si="4"/>
        <v>0</v>
      </c>
      <c r="AS5" s="87">
        <f t="shared" ca="1" si="4"/>
        <v>0</v>
      </c>
      <c r="AT5" s="87">
        <f t="shared" ca="1" si="4"/>
        <v>0</v>
      </c>
      <c r="AU5" s="87">
        <f t="shared" ca="1" si="4"/>
        <v>0</v>
      </c>
      <c r="AV5" s="87">
        <f t="shared" ca="1" si="4"/>
        <v>0</v>
      </c>
      <c r="AW5" s="87">
        <f t="shared" ca="1" si="4"/>
        <v>0</v>
      </c>
      <c r="AX5" s="87">
        <f t="shared" ca="1" si="4"/>
        <v>0</v>
      </c>
      <c r="AY5" s="87">
        <f t="shared" ca="1" si="5"/>
        <v>0</v>
      </c>
      <c r="AZ5" s="87">
        <f t="shared" ca="1" si="5"/>
        <v>0</v>
      </c>
      <c r="BA5" s="87">
        <f t="shared" ca="1" si="5"/>
        <v>0</v>
      </c>
      <c r="BB5" s="87">
        <f t="shared" ca="1" si="5"/>
        <v>0</v>
      </c>
      <c r="BC5" s="87">
        <f t="shared" ca="1" si="5"/>
        <v>0</v>
      </c>
      <c r="BD5" s="87">
        <f t="shared" ca="1" si="5"/>
        <v>0</v>
      </c>
      <c r="BE5" s="87">
        <f t="shared" ca="1" si="5"/>
        <v>0</v>
      </c>
      <c r="BF5" s="87">
        <f t="shared" ca="1" si="5"/>
        <v>0</v>
      </c>
      <c r="BG5" s="87">
        <f t="shared" ca="1" si="5"/>
        <v>0</v>
      </c>
      <c r="BH5" s="87">
        <f t="shared" ca="1" si="5"/>
        <v>0</v>
      </c>
      <c r="BI5" s="87">
        <f t="shared" ca="1" si="5"/>
        <v>0</v>
      </c>
      <c r="BJ5" s="87">
        <f t="shared" ca="1" si="5"/>
        <v>0</v>
      </c>
      <c r="BK5" s="87">
        <f t="shared" ca="1" si="5"/>
        <v>0</v>
      </c>
      <c r="BL5" s="87">
        <f t="shared" ca="1" si="5"/>
        <v>0</v>
      </c>
    </row>
    <row r="6" spans="1:64" x14ac:dyDescent="0.25">
      <c r="A6" s="87">
        <f t="shared" ca="1" si="0"/>
        <v>0</v>
      </c>
      <c r="B6" s="87">
        <f t="shared" ca="1" si="0"/>
        <v>0</v>
      </c>
      <c r="C6" s="87">
        <f t="shared" ca="1" si="0"/>
        <v>0</v>
      </c>
      <c r="D6" s="87">
        <f t="shared" ca="1" si="0"/>
        <v>0</v>
      </c>
      <c r="E6" s="87">
        <f t="shared" ca="1" si="0"/>
        <v>0</v>
      </c>
      <c r="F6" s="87">
        <f t="shared" ca="1" si="0"/>
        <v>0</v>
      </c>
      <c r="G6" s="87">
        <f t="shared" ca="1" si="0"/>
        <v>0</v>
      </c>
      <c r="H6" s="87">
        <f t="shared" ca="1" si="0"/>
        <v>0</v>
      </c>
      <c r="I6" s="87">
        <f t="shared" ca="1" si="0"/>
        <v>0</v>
      </c>
      <c r="J6" s="87">
        <f t="shared" ca="1" si="0"/>
        <v>0</v>
      </c>
      <c r="K6" s="87">
        <f t="shared" ca="1" si="1"/>
        <v>0</v>
      </c>
      <c r="L6" s="87">
        <f t="shared" ca="1" si="1"/>
        <v>0</v>
      </c>
      <c r="M6" s="87">
        <f t="shared" ca="1" si="1"/>
        <v>0</v>
      </c>
      <c r="N6" s="87">
        <f t="shared" ca="1" si="1"/>
        <v>0</v>
      </c>
      <c r="O6" s="87">
        <f t="shared" ca="1" si="1"/>
        <v>0</v>
      </c>
      <c r="P6" s="87">
        <f t="shared" ca="1" si="1"/>
        <v>0</v>
      </c>
      <c r="Q6" s="87">
        <f t="shared" ca="1" si="1"/>
        <v>0</v>
      </c>
      <c r="R6" s="87">
        <f t="shared" ca="1" si="1"/>
        <v>0</v>
      </c>
      <c r="S6" s="87">
        <f t="shared" ca="1" si="1"/>
        <v>0</v>
      </c>
      <c r="T6" s="87">
        <f t="shared" ca="1" si="1"/>
        <v>0</v>
      </c>
      <c r="U6" s="87">
        <f t="shared" ca="1" si="2"/>
        <v>0</v>
      </c>
      <c r="V6" s="87">
        <f t="shared" ca="1" si="2"/>
        <v>0</v>
      </c>
      <c r="W6" s="87">
        <f t="shared" ca="1" si="2"/>
        <v>0</v>
      </c>
      <c r="X6" s="87">
        <f t="shared" ca="1" si="2"/>
        <v>0</v>
      </c>
      <c r="Y6" s="87">
        <f t="shared" ca="1" si="2"/>
        <v>0</v>
      </c>
      <c r="Z6" s="87">
        <f t="shared" ca="1" si="2"/>
        <v>0</v>
      </c>
      <c r="AA6" s="87">
        <f t="shared" ca="1" si="2"/>
        <v>0</v>
      </c>
      <c r="AB6" s="87">
        <f t="shared" ca="1" si="2"/>
        <v>0</v>
      </c>
      <c r="AC6" s="87">
        <f t="shared" ca="1" si="2"/>
        <v>0</v>
      </c>
      <c r="AD6" s="87">
        <f t="shared" ca="1" si="2"/>
        <v>0</v>
      </c>
      <c r="AE6" s="87">
        <f t="shared" ca="1" si="3"/>
        <v>0</v>
      </c>
      <c r="AF6" s="87">
        <f t="shared" ca="1" si="3"/>
        <v>0</v>
      </c>
      <c r="AG6" s="87">
        <f t="shared" ca="1" si="3"/>
        <v>0</v>
      </c>
      <c r="AH6" s="87">
        <f t="shared" ca="1" si="3"/>
        <v>0</v>
      </c>
      <c r="AI6" s="87">
        <f t="shared" ca="1" si="3"/>
        <v>0</v>
      </c>
      <c r="AJ6" s="87">
        <f t="shared" ca="1" si="3"/>
        <v>0</v>
      </c>
      <c r="AK6" s="87">
        <f t="shared" ca="1" si="3"/>
        <v>0</v>
      </c>
      <c r="AL6" s="87">
        <f t="shared" ca="1" si="3"/>
        <v>0</v>
      </c>
      <c r="AM6" s="87">
        <f t="shared" ca="1" si="3"/>
        <v>0</v>
      </c>
      <c r="AN6" s="87">
        <f t="shared" ca="1" si="3"/>
        <v>0</v>
      </c>
      <c r="AO6" s="87">
        <f t="shared" ca="1" si="4"/>
        <v>0</v>
      </c>
      <c r="AP6" s="87">
        <f t="shared" ca="1" si="4"/>
        <v>0</v>
      </c>
      <c r="AQ6" s="87">
        <f t="shared" ca="1" si="4"/>
        <v>0</v>
      </c>
      <c r="AR6" s="87">
        <f t="shared" ca="1" si="4"/>
        <v>0</v>
      </c>
      <c r="AS6" s="87">
        <f t="shared" ca="1" si="4"/>
        <v>0</v>
      </c>
      <c r="AT6" s="87">
        <f t="shared" ca="1" si="4"/>
        <v>0</v>
      </c>
      <c r="AU6" s="87">
        <f t="shared" ca="1" si="4"/>
        <v>0</v>
      </c>
      <c r="AV6" s="87">
        <f t="shared" ca="1" si="4"/>
        <v>0</v>
      </c>
      <c r="AW6" s="87">
        <f t="shared" ca="1" si="4"/>
        <v>0</v>
      </c>
      <c r="AX6" s="87">
        <f t="shared" ca="1" si="4"/>
        <v>0</v>
      </c>
      <c r="AY6" s="87">
        <f t="shared" ca="1" si="5"/>
        <v>0</v>
      </c>
      <c r="AZ6" s="87">
        <f t="shared" ca="1" si="5"/>
        <v>0</v>
      </c>
      <c r="BA6" s="87">
        <f t="shared" ca="1" si="5"/>
        <v>0</v>
      </c>
      <c r="BB6" s="87">
        <f t="shared" ca="1" si="5"/>
        <v>0</v>
      </c>
      <c r="BC6" s="87">
        <f t="shared" ca="1" si="5"/>
        <v>0</v>
      </c>
      <c r="BD6" s="87">
        <f t="shared" ca="1" si="5"/>
        <v>0</v>
      </c>
      <c r="BE6" s="87">
        <f t="shared" ca="1" si="5"/>
        <v>0</v>
      </c>
      <c r="BF6" s="87">
        <f t="shared" ca="1" si="5"/>
        <v>0</v>
      </c>
      <c r="BG6" s="87">
        <f t="shared" ca="1" si="5"/>
        <v>0</v>
      </c>
      <c r="BH6" s="87">
        <f t="shared" ca="1" si="5"/>
        <v>0</v>
      </c>
      <c r="BI6" s="87">
        <f t="shared" ca="1" si="5"/>
        <v>0</v>
      </c>
      <c r="BJ6" s="87">
        <f t="shared" ca="1" si="5"/>
        <v>0</v>
      </c>
      <c r="BK6" s="87">
        <f t="shared" ca="1" si="5"/>
        <v>0</v>
      </c>
      <c r="BL6" s="87">
        <f t="shared" ca="1" si="5"/>
        <v>0</v>
      </c>
    </row>
    <row r="7" spans="1:64" x14ac:dyDescent="0.25">
      <c r="A7" s="87">
        <f t="shared" ca="1" si="0"/>
        <v>0</v>
      </c>
      <c r="B7" s="87">
        <f t="shared" ca="1" si="0"/>
        <v>0</v>
      </c>
      <c r="C7" s="87">
        <f t="shared" ca="1" si="0"/>
        <v>0</v>
      </c>
      <c r="D7" s="87">
        <f t="shared" ca="1" si="0"/>
        <v>0</v>
      </c>
      <c r="E7" s="87">
        <f t="shared" ca="1" si="0"/>
        <v>0</v>
      </c>
      <c r="F7" s="87">
        <f t="shared" ca="1" si="0"/>
        <v>0</v>
      </c>
      <c r="G7" s="87">
        <f t="shared" ca="1" si="0"/>
        <v>0</v>
      </c>
      <c r="H7" s="87">
        <f t="shared" ca="1" si="0"/>
        <v>0</v>
      </c>
      <c r="I7" s="87">
        <f t="shared" ca="1" si="0"/>
        <v>0</v>
      </c>
      <c r="J7" s="87">
        <f t="shared" ca="1" si="0"/>
        <v>0</v>
      </c>
      <c r="K7" s="87">
        <f t="shared" ca="1" si="1"/>
        <v>0</v>
      </c>
      <c r="L7" s="87">
        <f t="shared" ca="1" si="1"/>
        <v>0</v>
      </c>
      <c r="M7" s="87">
        <f t="shared" ca="1" si="1"/>
        <v>0</v>
      </c>
      <c r="N7" s="87">
        <f t="shared" ca="1" si="1"/>
        <v>0</v>
      </c>
      <c r="O7" s="87">
        <f t="shared" ca="1" si="1"/>
        <v>0</v>
      </c>
      <c r="P7" s="87">
        <f t="shared" ca="1" si="1"/>
        <v>0</v>
      </c>
      <c r="Q7" s="87">
        <f t="shared" ca="1" si="1"/>
        <v>0</v>
      </c>
      <c r="R7" s="87">
        <f t="shared" ca="1" si="1"/>
        <v>0</v>
      </c>
      <c r="S7" s="87">
        <f t="shared" ca="1" si="1"/>
        <v>0</v>
      </c>
      <c r="T7" s="87">
        <f t="shared" ca="1" si="1"/>
        <v>0</v>
      </c>
      <c r="U7" s="87">
        <f t="shared" ca="1" si="2"/>
        <v>0</v>
      </c>
      <c r="V7" s="87">
        <f t="shared" ca="1" si="2"/>
        <v>0</v>
      </c>
      <c r="W7" s="87">
        <f t="shared" ca="1" si="2"/>
        <v>0</v>
      </c>
      <c r="X7" s="87">
        <f t="shared" ca="1" si="2"/>
        <v>0</v>
      </c>
      <c r="Y7" s="87">
        <f t="shared" ca="1" si="2"/>
        <v>0</v>
      </c>
      <c r="Z7" s="87">
        <f t="shared" ca="1" si="2"/>
        <v>0</v>
      </c>
      <c r="AA7" s="87">
        <f t="shared" ca="1" si="2"/>
        <v>0</v>
      </c>
      <c r="AB7" s="87">
        <f t="shared" ca="1" si="2"/>
        <v>0</v>
      </c>
      <c r="AC7" s="87">
        <f t="shared" ca="1" si="2"/>
        <v>0</v>
      </c>
      <c r="AD7" s="87">
        <f t="shared" ca="1" si="2"/>
        <v>0</v>
      </c>
      <c r="AE7" s="87">
        <f t="shared" ca="1" si="3"/>
        <v>0</v>
      </c>
      <c r="AF7" s="87">
        <f t="shared" ca="1" si="3"/>
        <v>0</v>
      </c>
      <c r="AG7" s="87">
        <f t="shared" ca="1" si="3"/>
        <v>0</v>
      </c>
      <c r="AH7" s="87">
        <f t="shared" ca="1" si="3"/>
        <v>0</v>
      </c>
      <c r="AI7" s="87">
        <f t="shared" ca="1" si="3"/>
        <v>0</v>
      </c>
      <c r="AJ7" s="87">
        <f t="shared" ca="1" si="3"/>
        <v>0</v>
      </c>
      <c r="AK7" s="87">
        <f t="shared" ca="1" si="3"/>
        <v>0</v>
      </c>
      <c r="AL7" s="87">
        <f t="shared" ca="1" si="3"/>
        <v>0</v>
      </c>
      <c r="AM7" s="87">
        <f t="shared" ca="1" si="3"/>
        <v>0</v>
      </c>
      <c r="AN7" s="87">
        <f t="shared" ca="1" si="3"/>
        <v>0</v>
      </c>
      <c r="AO7" s="87">
        <f t="shared" ca="1" si="4"/>
        <v>0</v>
      </c>
      <c r="AP7" s="87">
        <f t="shared" ca="1" si="4"/>
        <v>0</v>
      </c>
      <c r="AQ7" s="87">
        <f t="shared" ca="1" si="4"/>
        <v>0</v>
      </c>
      <c r="AR7" s="87">
        <f t="shared" ca="1" si="4"/>
        <v>0</v>
      </c>
      <c r="AS7" s="87">
        <f t="shared" ca="1" si="4"/>
        <v>0</v>
      </c>
      <c r="AT7" s="87">
        <f t="shared" ca="1" si="4"/>
        <v>0</v>
      </c>
      <c r="AU7" s="87">
        <f t="shared" ca="1" si="4"/>
        <v>0</v>
      </c>
      <c r="AV7" s="87">
        <f t="shared" ca="1" si="4"/>
        <v>0</v>
      </c>
      <c r="AW7" s="87">
        <f t="shared" ca="1" si="4"/>
        <v>0</v>
      </c>
      <c r="AX7" s="87">
        <f t="shared" ca="1" si="4"/>
        <v>0</v>
      </c>
      <c r="AY7" s="87">
        <f t="shared" ca="1" si="5"/>
        <v>0</v>
      </c>
      <c r="AZ7" s="87">
        <f t="shared" ca="1" si="5"/>
        <v>0</v>
      </c>
      <c r="BA7" s="87">
        <f t="shared" ca="1" si="5"/>
        <v>0</v>
      </c>
      <c r="BB7" s="87">
        <f t="shared" ca="1" si="5"/>
        <v>0</v>
      </c>
      <c r="BC7" s="87">
        <f t="shared" ca="1" si="5"/>
        <v>0</v>
      </c>
      <c r="BD7" s="87">
        <f t="shared" ca="1" si="5"/>
        <v>0</v>
      </c>
      <c r="BE7" s="87">
        <f t="shared" ca="1" si="5"/>
        <v>0</v>
      </c>
      <c r="BF7" s="87">
        <f t="shared" ca="1" si="5"/>
        <v>0</v>
      </c>
      <c r="BG7" s="87">
        <f t="shared" ca="1" si="5"/>
        <v>0</v>
      </c>
      <c r="BH7" s="87">
        <f t="shared" ca="1" si="5"/>
        <v>0</v>
      </c>
      <c r="BI7" s="87">
        <f t="shared" ca="1" si="5"/>
        <v>0</v>
      </c>
      <c r="BJ7" s="87">
        <f t="shared" ca="1" si="5"/>
        <v>0</v>
      </c>
      <c r="BK7" s="87">
        <f t="shared" ca="1" si="5"/>
        <v>0</v>
      </c>
      <c r="BL7" s="87">
        <f t="shared" ca="1" si="5"/>
        <v>0</v>
      </c>
    </row>
    <row r="8" spans="1:64" x14ac:dyDescent="0.25">
      <c r="A8" s="87">
        <f t="shared" ca="1" si="0"/>
        <v>0</v>
      </c>
      <c r="B8" s="87">
        <f t="shared" ca="1" si="0"/>
        <v>0</v>
      </c>
      <c r="C8" s="87">
        <f t="shared" ca="1" si="0"/>
        <v>0</v>
      </c>
      <c r="D8" s="87">
        <f t="shared" ca="1" si="0"/>
        <v>0</v>
      </c>
      <c r="E8" s="87">
        <f t="shared" ca="1" si="0"/>
        <v>0</v>
      </c>
      <c r="F8" s="87">
        <f t="shared" ca="1" si="0"/>
        <v>0</v>
      </c>
      <c r="G8" s="87">
        <f t="shared" ca="1" si="0"/>
        <v>0</v>
      </c>
      <c r="H8" s="87">
        <f t="shared" ca="1" si="0"/>
        <v>0</v>
      </c>
      <c r="I8" s="87">
        <f t="shared" ca="1" si="0"/>
        <v>0</v>
      </c>
      <c r="J8" s="87">
        <f t="shared" ca="1" si="0"/>
        <v>0</v>
      </c>
      <c r="K8" s="87">
        <f t="shared" ca="1" si="1"/>
        <v>0</v>
      </c>
      <c r="L8" s="87">
        <f t="shared" ca="1" si="1"/>
        <v>0</v>
      </c>
      <c r="M8" s="87">
        <f t="shared" ca="1" si="1"/>
        <v>0</v>
      </c>
      <c r="N8" s="87">
        <f t="shared" ca="1" si="1"/>
        <v>0</v>
      </c>
      <c r="O8" s="87">
        <f t="shared" ca="1" si="1"/>
        <v>0</v>
      </c>
      <c r="P8" s="87">
        <f t="shared" ca="1" si="1"/>
        <v>0</v>
      </c>
      <c r="Q8" s="87">
        <f t="shared" ca="1" si="1"/>
        <v>0</v>
      </c>
      <c r="R8" s="87">
        <f t="shared" ca="1" si="1"/>
        <v>0</v>
      </c>
      <c r="S8" s="87">
        <f t="shared" ca="1" si="1"/>
        <v>0</v>
      </c>
      <c r="T8" s="87">
        <f t="shared" ca="1" si="1"/>
        <v>0</v>
      </c>
      <c r="U8" s="87">
        <f t="shared" ca="1" si="2"/>
        <v>0</v>
      </c>
      <c r="V8" s="87">
        <f t="shared" ca="1" si="2"/>
        <v>0</v>
      </c>
      <c r="W8" s="87">
        <f t="shared" ca="1" si="2"/>
        <v>0</v>
      </c>
      <c r="X8" s="87">
        <f t="shared" ca="1" si="2"/>
        <v>0</v>
      </c>
      <c r="Y8" s="87">
        <f t="shared" ca="1" si="2"/>
        <v>0</v>
      </c>
      <c r="Z8" s="87">
        <f t="shared" ca="1" si="2"/>
        <v>0</v>
      </c>
      <c r="AA8" s="87">
        <f t="shared" ca="1" si="2"/>
        <v>0</v>
      </c>
      <c r="AB8" s="87">
        <f t="shared" ca="1" si="2"/>
        <v>0</v>
      </c>
      <c r="AC8" s="87">
        <f t="shared" ca="1" si="2"/>
        <v>0</v>
      </c>
      <c r="AD8" s="87">
        <f t="shared" ca="1" si="2"/>
        <v>0</v>
      </c>
      <c r="AE8" s="87">
        <f t="shared" ca="1" si="3"/>
        <v>0</v>
      </c>
      <c r="AF8" s="87">
        <f t="shared" ca="1" si="3"/>
        <v>0</v>
      </c>
      <c r="AG8" s="87">
        <f t="shared" ca="1" si="3"/>
        <v>0</v>
      </c>
      <c r="AH8" s="87">
        <f t="shared" ca="1" si="3"/>
        <v>0</v>
      </c>
      <c r="AI8" s="87">
        <f t="shared" ca="1" si="3"/>
        <v>0</v>
      </c>
      <c r="AJ8" s="87">
        <f t="shared" ca="1" si="3"/>
        <v>0</v>
      </c>
      <c r="AK8" s="87">
        <f t="shared" ca="1" si="3"/>
        <v>0</v>
      </c>
      <c r="AL8" s="87">
        <f t="shared" ca="1" si="3"/>
        <v>0</v>
      </c>
      <c r="AM8" s="87">
        <f t="shared" ca="1" si="3"/>
        <v>0</v>
      </c>
      <c r="AN8" s="87">
        <f t="shared" ca="1" si="3"/>
        <v>0</v>
      </c>
      <c r="AO8" s="87">
        <f t="shared" ca="1" si="4"/>
        <v>0</v>
      </c>
      <c r="AP8" s="87">
        <f t="shared" ca="1" si="4"/>
        <v>0</v>
      </c>
      <c r="AQ8" s="87">
        <f t="shared" ca="1" si="4"/>
        <v>0</v>
      </c>
      <c r="AR8" s="87">
        <f t="shared" ca="1" si="4"/>
        <v>0</v>
      </c>
      <c r="AS8" s="87">
        <f t="shared" ca="1" si="4"/>
        <v>0</v>
      </c>
      <c r="AT8" s="87">
        <f t="shared" ca="1" si="4"/>
        <v>0</v>
      </c>
      <c r="AU8" s="87">
        <f t="shared" ca="1" si="4"/>
        <v>0</v>
      </c>
      <c r="AV8" s="87">
        <f t="shared" ca="1" si="4"/>
        <v>0</v>
      </c>
      <c r="AW8" s="87">
        <f t="shared" ca="1" si="4"/>
        <v>0</v>
      </c>
      <c r="AX8" s="87">
        <f t="shared" ca="1" si="4"/>
        <v>0</v>
      </c>
      <c r="AY8" s="87">
        <f t="shared" ca="1" si="5"/>
        <v>0</v>
      </c>
      <c r="AZ8" s="87">
        <f t="shared" ca="1" si="5"/>
        <v>0</v>
      </c>
      <c r="BA8" s="87">
        <f t="shared" ca="1" si="5"/>
        <v>0</v>
      </c>
      <c r="BB8" s="87">
        <f t="shared" ca="1" si="5"/>
        <v>0</v>
      </c>
      <c r="BC8" s="87">
        <f t="shared" ca="1" si="5"/>
        <v>0</v>
      </c>
      <c r="BD8" s="87">
        <f t="shared" ca="1" si="5"/>
        <v>0</v>
      </c>
      <c r="BE8" s="87">
        <f t="shared" ca="1" si="5"/>
        <v>0</v>
      </c>
      <c r="BF8" s="87">
        <f t="shared" ca="1" si="5"/>
        <v>0</v>
      </c>
      <c r="BG8" s="87">
        <f t="shared" ca="1" si="5"/>
        <v>0</v>
      </c>
      <c r="BH8" s="87">
        <f t="shared" ca="1" si="5"/>
        <v>0</v>
      </c>
      <c r="BI8" s="87">
        <f t="shared" ca="1" si="5"/>
        <v>0</v>
      </c>
      <c r="BJ8" s="87">
        <f t="shared" ca="1" si="5"/>
        <v>0</v>
      </c>
      <c r="BK8" s="87">
        <f t="shared" ca="1" si="5"/>
        <v>0</v>
      </c>
      <c r="BL8" s="87">
        <f t="shared" ca="1" si="5"/>
        <v>0</v>
      </c>
    </row>
    <row r="9" spans="1:64" x14ac:dyDescent="0.25">
      <c r="A9" s="87">
        <f t="shared" ca="1" si="0"/>
        <v>0</v>
      </c>
      <c r="B9" s="87">
        <f t="shared" ca="1" si="0"/>
        <v>0</v>
      </c>
      <c r="C9" s="87">
        <f t="shared" ca="1" si="0"/>
        <v>0</v>
      </c>
      <c r="D9" s="87">
        <f t="shared" ca="1" si="0"/>
        <v>0</v>
      </c>
      <c r="E9" s="87">
        <f t="shared" ca="1" si="0"/>
        <v>0</v>
      </c>
      <c r="F9" s="87">
        <f t="shared" ca="1" si="0"/>
        <v>0</v>
      </c>
      <c r="G9" s="87">
        <f t="shared" ca="1" si="0"/>
        <v>0</v>
      </c>
      <c r="H9" s="87">
        <f t="shared" ca="1" si="0"/>
        <v>0</v>
      </c>
      <c r="I9" s="87">
        <f t="shared" ca="1" si="0"/>
        <v>0</v>
      </c>
      <c r="J9" s="87">
        <f t="shared" ca="1" si="0"/>
        <v>0</v>
      </c>
      <c r="K9" s="87">
        <f t="shared" ca="1" si="1"/>
        <v>0</v>
      </c>
      <c r="L9" s="87">
        <f t="shared" ca="1" si="1"/>
        <v>0</v>
      </c>
      <c r="M9" s="87">
        <f t="shared" ca="1" si="1"/>
        <v>0</v>
      </c>
      <c r="N9" s="87">
        <f t="shared" ca="1" si="1"/>
        <v>0</v>
      </c>
      <c r="O9" s="87">
        <f t="shared" ca="1" si="1"/>
        <v>0</v>
      </c>
      <c r="P9" s="87">
        <f t="shared" ca="1" si="1"/>
        <v>0</v>
      </c>
      <c r="Q9" s="87">
        <f t="shared" ca="1" si="1"/>
        <v>0</v>
      </c>
      <c r="R9" s="87">
        <f t="shared" ca="1" si="1"/>
        <v>0</v>
      </c>
      <c r="S9" s="87">
        <f t="shared" ca="1" si="1"/>
        <v>0</v>
      </c>
      <c r="T9" s="87">
        <f t="shared" ca="1" si="1"/>
        <v>0</v>
      </c>
      <c r="U9" s="87">
        <f t="shared" ca="1" si="2"/>
        <v>0</v>
      </c>
      <c r="V9" s="87">
        <f t="shared" ca="1" si="2"/>
        <v>0</v>
      </c>
      <c r="W9" s="87">
        <f t="shared" ca="1" si="2"/>
        <v>0</v>
      </c>
      <c r="X9" s="87">
        <f t="shared" ca="1" si="2"/>
        <v>0</v>
      </c>
      <c r="Y9" s="87">
        <f t="shared" ca="1" si="2"/>
        <v>0</v>
      </c>
      <c r="Z9" s="87">
        <f t="shared" ca="1" si="2"/>
        <v>0</v>
      </c>
      <c r="AA9" s="87">
        <f t="shared" ca="1" si="2"/>
        <v>0</v>
      </c>
      <c r="AB9" s="87">
        <f t="shared" ca="1" si="2"/>
        <v>0</v>
      </c>
      <c r="AC9" s="87">
        <f t="shared" ca="1" si="2"/>
        <v>0</v>
      </c>
      <c r="AD9" s="87">
        <f t="shared" ca="1" si="2"/>
        <v>0</v>
      </c>
      <c r="AE9" s="87">
        <f t="shared" ca="1" si="3"/>
        <v>0</v>
      </c>
      <c r="AF9" s="87">
        <f t="shared" ca="1" si="3"/>
        <v>0</v>
      </c>
      <c r="AG9" s="87">
        <f t="shared" ca="1" si="3"/>
        <v>0</v>
      </c>
      <c r="AH9" s="87">
        <f t="shared" ca="1" si="3"/>
        <v>0</v>
      </c>
      <c r="AI9" s="87">
        <f t="shared" ca="1" si="3"/>
        <v>0</v>
      </c>
      <c r="AJ9" s="87">
        <f t="shared" ca="1" si="3"/>
        <v>0</v>
      </c>
      <c r="AK9" s="87">
        <f t="shared" ca="1" si="3"/>
        <v>0</v>
      </c>
      <c r="AL9" s="87">
        <f t="shared" ca="1" si="3"/>
        <v>0</v>
      </c>
      <c r="AM9" s="87">
        <f t="shared" ca="1" si="3"/>
        <v>0</v>
      </c>
      <c r="AN9" s="87">
        <f t="shared" ca="1" si="3"/>
        <v>0</v>
      </c>
      <c r="AO9" s="87">
        <f t="shared" ca="1" si="4"/>
        <v>0</v>
      </c>
      <c r="AP9" s="87">
        <f t="shared" ca="1" si="4"/>
        <v>0</v>
      </c>
      <c r="AQ9" s="87">
        <f t="shared" ca="1" si="4"/>
        <v>0</v>
      </c>
      <c r="AR9" s="87">
        <f t="shared" ca="1" si="4"/>
        <v>0</v>
      </c>
      <c r="AS9" s="87">
        <f t="shared" ca="1" si="4"/>
        <v>0</v>
      </c>
      <c r="AT9" s="87">
        <f t="shared" ca="1" si="4"/>
        <v>0</v>
      </c>
      <c r="AU9" s="87">
        <f t="shared" ca="1" si="4"/>
        <v>0</v>
      </c>
      <c r="AV9" s="87">
        <f t="shared" ca="1" si="4"/>
        <v>0</v>
      </c>
      <c r="AW9" s="87">
        <f t="shared" ca="1" si="4"/>
        <v>0</v>
      </c>
      <c r="AX9" s="87">
        <f t="shared" ca="1" si="4"/>
        <v>0</v>
      </c>
      <c r="AY9" s="87">
        <f t="shared" ca="1" si="5"/>
        <v>0</v>
      </c>
      <c r="AZ9" s="87">
        <f t="shared" ca="1" si="5"/>
        <v>0</v>
      </c>
      <c r="BA9" s="87">
        <f t="shared" ca="1" si="5"/>
        <v>0</v>
      </c>
      <c r="BB9" s="87">
        <f t="shared" ca="1" si="5"/>
        <v>0</v>
      </c>
      <c r="BC9" s="87">
        <f t="shared" ca="1" si="5"/>
        <v>0</v>
      </c>
      <c r="BD9" s="87">
        <f t="shared" ca="1" si="5"/>
        <v>0</v>
      </c>
      <c r="BE9" s="87">
        <f t="shared" ca="1" si="5"/>
        <v>0</v>
      </c>
      <c r="BF9" s="87">
        <f t="shared" ca="1" si="5"/>
        <v>0</v>
      </c>
      <c r="BG9" s="87">
        <f t="shared" ca="1" si="5"/>
        <v>0</v>
      </c>
      <c r="BH9" s="87">
        <f t="shared" ca="1" si="5"/>
        <v>0</v>
      </c>
      <c r="BI9" s="87">
        <f t="shared" ca="1" si="5"/>
        <v>0</v>
      </c>
      <c r="BJ9" s="87">
        <f t="shared" ca="1" si="5"/>
        <v>0</v>
      </c>
      <c r="BK9" s="87">
        <f t="shared" ca="1" si="5"/>
        <v>0</v>
      </c>
      <c r="BL9" s="87">
        <f t="shared" ca="1" si="5"/>
        <v>0</v>
      </c>
    </row>
    <row r="10" spans="1:64" x14ac:dyDescent="0.25">
      <c r="A10" s="87">
        <f t="shared" ca="1" si="0"/>
        <v>0</v>
      </c>
      <c r="B10" s="87">
        <f t="shared" ca="1" si="0"/>
        <v>0</v>
      </c>
      <c r="C10" s="87">
        <f t="shared" ca="1" si="0"/>
        <v>0</v>
      </c>
      <c r="D10" s="87">
        <f t="shared" ca="1" si="0"/>
        <v>0</v>
      </c>
      <c r="E10" s="87">
        <f t="shared" ca="1" si="0"/>
        <v>0</v>
      </c>
      <c r="F10" s="87">
        <f t="shared" ca="1" si="0"/>
        <v>0</v>
      </c>
      <c r="G10" s="87">
        <f t="shared" ca="1" si="0"/>
        <v>0</v>
      </c>
      <c r="H10" s="87">
        <f t="shared" ca="1" si="0"/>
        <v>0</v>
      </c>
      <c r="I10" s="87">
        <f t="shared" ca="1" si="0"/>
        <v>0</v>
      </c>
      <c r="J10" s="87">
        <f t="shared" ca="1" si="0"/>
        <v>0</v>
      </c>
      <c r="K10" s="87">
        <f t="shared" ca="1" si="1"/>
        <v>0</v>
      </c>
      <c r="L10" s="87">
        <f t="shared" ca="1" si="1"/>
        <v>0</v>
      </c>
      <c r="M10" s="87">
        <f t="shared" ca="1" si="1"/>
        <v>0</v>
      </c>
      <c r="N10" s="87">
        <f t="shared" ca="1" si="1"/>
        <v>0</v>
      </c>
      <c r="O10" s="87">
        <f t="shared" ca="1" si="1"/>
        <v>0</v>
      </c>
      <c r="P10" s="87">
        <f t="shared" ca="1" si="1"/>
        <v>0</v>
      </c>
      <c r="Q10" s="87">
        <f t="shared" ca="1" si="1"/>
        <v>0</v>
      </c>
      <c r="R10" s="87">
        <f t="shared" ca="1" si="1"/>
        <v>0</v>
      </c>
      <c r="S10" s="87">
        <f t="shared" ca="1" si="1"/>
        <v>0</v>
      </c>
      <c r="T10" s="87">
        <f t="shared" ca="1" si="1"/>
        <v>0</v>
      </c>
      <c r="U10" s="87">
        <f t="shared" ca="1" si="2"/>
        <v>0</v>
      </c>
      <c r="V10" s="87">
        <f t="shared" ca="1" si="2"/>
        <v>0</v>
      </c>
      <c r="W10" s="87">
        <f t="shared" ca="1" si="2"/>
        <v>0</v>
      </c>
      <c r="X10" s="87">
        <f t="shared" ca="1" si="2"/>
        <v>0</v>
      </c>
      <c r="Y10" s="87">
        <f t="shared" ca="1" si="2"/>
        <v>0</v>
      </c>
      <c r="Z10" s="87">
        <f t="shared" ca="1" si="2"/>
        <v>0</v>
      </c>
      <c r="AA10" s="87">
        <f t="shared" ca="1" si="2"/>
        <v>0</v>
      </c>
      <c r="AB10" s="87">
        <f t="shared" ca="1" si="2"/>
        <v>0</v>
      </c>
      <c r="AC10" s="87">
        <f t="shared" ca="1" si="2"/>
        <v>0</v>
      </c>
      <c r="AD10" s="87">
        <f t="shared" ca="1" si="2"/>
        <v>0</v>
      </c>
      <c r="AE10" s="87">
        <f t="shared" ca="1" si="3"/>
        <v>0</v>
      </c>
      <c r="AF10" s="87">
        <f t="shared" ca="1" si="3"/>
        <v>0</v>
      </c>
      <c r="AG10" s="87">
        <f t="shared" ca="1" si="3"/>
        <v>0</v>
      </c>
      <c r="AH10" s="87">
        <f t="shared" ca="1" si="3"/>
        <v>0</v>
      </c>
      <c r="AI10" s="87">
        <f t="shared" ca="1" si="3"/>
        <v>0</v>
      </c>
      <c r="AJ10" s="87">
        <f t="shared" ca="1" si="3"/>
        <v>0</v>
      </c>
      <c r="AK10" s="87">
        <f t="shared" ca="1" si="3"/>
        <v>0</v>
      </c>
      <c r="AL10" s="87">
        <f t="shared" ca="1" si="3"/>
        <v>0</v>
      </c>
      <c r="AM10" s="87">
        <f t="shared" ca="1" si="3"/>
        <v>0</v>
      </c>
      <c r="AN10" s="87">
        <f t="shared" ca="1" si="3"/>
        <v>0</v>
      </c>
      <c r="AO10" s="87">
        <f t="shared" ca="1" si="4"/>
        <v>0</v>
      </c>
      <c r="AP10" s="87">
        <f t="shared" ca="1" si="4"/>
        <v>0</v>
      </c>
      <c r="AQ10" s="87">
        <f t="shared" ca="1" si="4"/>
        <v>0</v>
      </c>
      <c r="AR10" s="87">
        <f t="shared" ca="1" si="4"/>
        <v>0</v>
      </c>
      <c r="AS10" s="87">
        <f t="shared" ca="1" si="4"/>
        <v>0</v>
      </c>
      <c r="AT10" s="87">
        <f t="shared" ca="1" si="4"/>
        <v>0</v>
      </c>
      <c r="AU10" s="87">
        <f t="shared" ca="1" si="4"/>
        <v>0</v>
      </c>
      <c r="AV10" s="87">
        <f t="shared" ca="1" si="4"/>
        <v>0</v>
      </c>
      <c r="AW10" s="87">
        <f t="shared" ca="1" si="4"/>
        <v>0</v>
      </c>
      <c r="AX10" s="87">
        <f t="shared" ca="1" si="4"/>
        <v>0</v>
      </c>
      <c r="AY10" s="87">
        <f t="shared" ca="1" si="5"/>
        <v>0</v>
      </c>
      <c r="AZ10" s="87">
        <f t="shared" ca="1" si="5"/>
        <v>0</v>
      </c>
      <c r="BA10" s="87">
        <f t="shared" ca="1" si="5"/>
        <v>0</v>
      </c>
      <c r="BB10" s="87">
        <f t="shared" ca="1" si="5"/>
        <v>0</v>
      </c>
      <c r="BC10" s="87">
        <f t="shared" ca="1" si="5"/>
        <v>0</v>
      </c>
      <c r="BD10" s="87">
        <f t="shared" ca="1" si="5"/>
        <v>0</v>
      </c>
      <c r="BE10" s="87">
        <f t="shared" ca="1" si="5"/>
        <v>0</v>
      </c>
      <c r="BF10" s="87">
        <f t="shared" ca="1" si="5"/>
        <v>0</v>
      </c>
      <c r="BG10" s="87">
        <f t="shared" ca="1" si="5"/>
        <v>0</v>
      </c>
      <c r="BH10" s="87">
        <f t="shared" ca="1" si="5"/>
        <v>0</v>
      </c>
      <c r="BI10" s="87">
        <f t="shared" ca="1" si="5"/>
        <v>0</v>
      </c>
      <c r="BJ10" s="87">
        <f t="shared" ca="1" si="5"/>
        <v>0</v>
      </c>
      <c r="BK10" s="87">
        <f t="shared" ca="1" si="5"/>
        <v>0</v>
      </c>
      <c r="BL10" s="87">
        <f t="shared" ca="1" si="5"/>
        <v>0</v>
      </c>
    </row>
    <row r="11" spans="1:64" x14ac:dyDescent="0.25">
      <c r="A11" s="87">
        <f t="shared" ref="A11:J20" ca="1" si="6">IF(AND(OP="11",RAMX=DEC2BIN(COLUMN(A11)-1,8),RAMY=DEC2BIN(ROW(A11)-1,8)),DATA,A11)</f>
        <v>0</v>
      </c>
      <c r="B11" s="87">
        <f t="shared" ca="1" si="6"/>
        <v>0</v>
      </c>
      <c r="C11" s="87">
        <f t="shared" ca="1" si="6"/>
        <v>0</v>
      </c>
      <c r="D11" s="87">
        <f t="shared" ca="1" si="6"/>
        <v>0</v>
      </c>
      <c r="E11" s="87">
        <f t="shared" ca="1" si="6"/>
        <v>0</v>
      </c>
      <c r="F11" s="87">
        <f t="shared" ca="1" si="6"/>
        <v>0</v>
      </c>
      <c r="G11" s="87">
        <f t="shared" ca="1" si="6"/>
        <v>0</v>
      </c>
      <c r="H11" s="87">
        <f t="shared" ca="1" si="6"/>
        <v>0</v>
      </c>
      <c r="I11" s="87">
        <f t="shared" ca="1" si="6"/>
        <v>0</v>
      </c>
      <c r="J11" s="87">
        <f t="shared" ca="1" si="6"/>
        <v>0</v>
      </c>
      <c r="K11" s="87">
        <f t="shared" ref="K11:T20" ca="1" si="7">IF(AND(OP="11",RAMX=DEC2BIN(COLUMN(K11)-1,8),RAMY=DEC2BIN(ROW(K11)-1,8)),DATA,K11)</f>
        <v>0</v>
      </c>
      <c r="L11" s="87">
        <f t="shared" ca="1" si="7"/>
        <v>0</v>
      </c>
      <c r="M11" s="87">
        <f t="shared" ca="1" si="7"/>
        <v>0</v>
      </c>
      <c r="N11" s="87">
        <f t="shared" ca="1" si="7"/>
        <v>0</v>
      </c>
      <c r="O11" s="87">
        <f t="shared" ca="1" si="7"/>
        <v>0</v>
      </c>
      <c r="P11" s="87">
        <f t="shared" ca="1" si="7"/>
        <v>0</v>
      </c>
      <c r="Q11" s="87">
        <f t="shared" ca="1" si="7"/>
        <v>0</v>
      </c>
      <c r="R11" s="87">
        <f t="shared" ca="1" si="7"/>
        <v>0</v>
      </c>
      <c r="S11" s="87">
        <f t="shared" ca="1" si="7"/>
        <v>0</v>
      </c>
      <c r="T11" s="87">
        <f t="shared" ca="1" si="7"/>
        <v>0</v>
      </c>
      <c r="U11" s="87">
        <f t="shared" ref="U11:AD20" ca="1" si="8">IF(AND(OP="11",RAMX=DEC2BIN(COLUMN(U11)-1,8),RAMY=DEC2BIN(ROW(U11)-1,8)),DATA,U11)</f>
        <v>0</v>
      </c>
      <c r="V11" s="87">
        <f t="shared" ca="1" si="8"/>
        <v>0</v>
      </c>
      <c r="W11" s="87">
        <f t="shared" ca="1" si="8"/>
        <v>0</v>
      </c>
      <c r="X11" s="87">
        <f t="shared" ca="1" si="8"/>
        <v>0</v>
      </c>
      <c r="Y11" s="87">
        <f t="shared" ca="1" si="8"/>
        <v>0</v>
      </c>
      <c r="Z11" s="87">
        <f t="shared" ca="1" si="8"/>
        <v>0</v>
      </c>
      <c r="AA11" s="87">
        <f t="shared" ca="1" si="8"/>
        <v>0</v>
      </c>
      <c r="AB11" s="87">
        <f t="shared" ca="1" si="8"/>
        <v>0</v>
      </c>
      <c r="AC11" s="87">
        <f t="shared" ca="1" si="8"/>
        <v>0</v>
      </c>
      <c r="AD11" s="87">
        <f t="shared" ca="1" si="8"/>
        <v>0</v>
      </c>
      <c r="AE11" s="87">
        <f t="shared" ref="AE11:AN20" ca="1" si="9">IF(AND(OP="11",RAMX=DEC2BIN(COLUMN(AE11)-1,8),RAMY=DEC2BIN(ROW(AE11)-1,8)),DATA,AE11)</f>
        <v>0</v>
      </c>
      <c r="AF11" s="87">
        <f t="shared" ca="1" si="9"/>
        <v>0</v>
      </c>
      <c r="AG11" s="87">
        <f t="shared" ca="1" si="9"/>
        <v>0</v>
      </c>
      <c r="AH11" s="87">
        <f t="shared" ca="1" si="9"/>
        <v>0</v>
      </c>
      <c r="AI11" s="87">
        <f t="shared" ca="1" si="9"/>
        <v>0</v>
      </c>
      <c r="AJ11" s="87">
        <f t="shared" ca="1" si="9"/>
        <v>0</v>
      </c>
      <c r="AK11" s="87">
        <f t="shared" ca="1" si="9"/>
        <v>0</v>
      </c>
      <c r="AL11" s="87">
        <f t="shared" ca="1" si="9"/>
        <v>0</v>
      </c>
      <c r="AM11" s="87">
        <f t="shared" ca="1" si="9"/>
        <v>0</v>
      </c>
      <c r="AN11" s="87">
        <f t="shared" ca="1" si="9"/>
        <v>0</v>
      </c>
      <c r="AO11" s="87">
        <f t="shared" ref="AO11:AX20" ca="1" si="10">IF(AND(OP="11",RAMX=DEC2BIN(COLUMN(AO11)-1,8),RAMY=DEC2BIN(ROW(AO11)-1,8)),DATA,AO11)</f>
        <v>0</v>
      </c>
      <c r="AP11" s="87">
        <f t="shared" ca="1" si="10"/>
        <v>0</v>
      </c>
      <c r="AQ11" s="87">
        <f t="shared" ca="1" si="10"/>
        <v>0</v>
      </c>
      <c r="AR11" s="87">
        <f t="shared" ca="1" si="10"/>
        <v>0</v>
      </c>
      <c r="AS11" s="87">
        <f t="shared" ca="1" si="10"/>
        <v>0</v>
      </c>
      <c r="AT11" s="87">
        <f t="shared" ca="1" si="10"/>
        <v>0</v>
      </c>
      <c r="AU11" s="87">
        <f t="shared" ca="1" si="10"/>
        <v>0</v>
      </c>
      <c r="AV11" s="87">
        <f t="shared" ca="1" si="10"/>
        <v>0</v>
      </c>
      <c r="AW11" s="87">
        <f t="shared" ca="1" si="10"/>
        <v>0</v>
      </c>
      <c r="AX11" s="87">
        <f t="shared" ca="1" si="10"/>
        <v>0</v>
      </c>
      <c r="AY11" s="87">
        <f t="shared" ref="AY11:BL20" ca="1" si="11">IF(AND(OP="11",RAMX=DEC2BIN(COLUMN(AY11)-1,8),RAMY=DEC2BIN(ROW(AY11)-1,8)),DATA,AY11)</f>
        <v>0</v>
      </c>
      <c r="AZ11" s="87">
        <f t="shared" ca="1" si="11"/>
        <v>0</v>
      </c>
      <c r="BA11" s="87">
        <f t="shared" ca="1" si="11"/>
        <v>0</v>
      </c>
      <c r="BB11" s="87">
        <f t="shared" ca="1" si="11"/>
        <v>0</v>
      </c>
      <c r="BC11" s="87">
        <f t="shared" ca="1" si="11"/>
        <v>0</v>
      </c>
      <c r="BD11" s="87">
        <f t="shared" ca="1" si="11"/>
        <v>0</v>
      </c>
      <c r="BE11" s="87">
        <f t="shared" ca="1" si="11"/>
        <v>0</v>
      </c>
      <c r="BF11" s="87">
        <f t="shared" ca="1" si="11"/>
        <v>0</v>
      </c>
      <c r="BG11" s="87">
        <f t="shared" ca="1" si="11"/>
        <v>0</v>
      </c>
      <c r="BH11" s="87">
        <f t="shared" ca="1" si="11"/>
        <v>0</v>
      </c>
      <c r="BI11" s="87">
        <f t="shared" ca="1" si="11"/>
        <v>0</v>
      </c>
      <c r="BJ11" s="87">
        <f t="shared" ca="1" si="11"/>
        <v>0</v>
      </c>
      <c r="BK11" s="87">
        <f t="shared" ca="1" si="11"/>
        <v>0</v>
      </c>
      <c r="BL11" s="87">
        <f t="shared" ca="1" si="11"/>
        <v>0</v>
      </c>
    </row>
    <row r="12" spans="1:64" x14ac:dyDescent="0.25">
      <c r="A12" s="87">
        <f t="shared" ca="1" si="6"/>
        <v>0</v>
      </c>
      <c r="B12" s="87">
        <f t="shared" ca="1" si="6"/>
        <v>0</v>
      </c>
      <c r="C12" s="87">
        <f t="shared" ca="1" si="6"/>
        <v>0</v>
      </c>
      <c r="D12" s="87">
        <f t="shared" ca="1" si="6"/>
        <v>0</v>
      </c>
      <c r="E12" s="87">
        <f t="shared" ca="1" si="6"/>
        <v>0</v>
      </c>
      <c r="F12" s="87">
        <f t="shared" ca="1" si="6"/>
        <v>0</v>
      </c>
      <c r="G12" s="87">
        <f t="shared" ca="1" si="6"/>
        <v>0</v>
      </c>
      <c r="H12" s="87">
        <f t="shared" ca="1" si="6"/>
        <v>0</v>
      </c>
      <c r="I12" s="87">
        <f t="shared" ca="1" si="6"/>
        <v>0</v>
      </c>
      <c r="J12" s="87">
        <f t="shared" ca="1" si="6"/>
        <v>0</v>
      </c>
      <c r="K12" s="87">
        <f t="shared" ca="1" si="7"/>
        <v>0</v>
      </c>
      <c r="L12" s="87">
        <f t="shared" ca="1" si="7"/>
        <v>0</v>
      </c>
      <c r="M12" s="87">
        <f t="shared" ca="1" si="7"/>
        <v>0</v>
      </c>
      <c r="N12" s="87">
        <f t="shared" ca="1" si="7"/>
        <v>0</v>
      </c>
      <c r="O12" s="87">
        <f t="shared" ca="1" si="7"/>
        <v>0</v>
      </c>
      <c r="P12" s="87">
        <f t="shared" ca="1" si="7"/>
        <v>0</v>
      </c>
      <c r="Q12" s="87">
        <f t="shared" ca="1" si="7"/>
        <v>0</v>
      </c>
      <c r="R12" s="87">
        <f t="shared" ca="1" si="7"/>
        <v>0</v>
      </c>
      <c r="S12" s="87">
        <f t="shared" ca="1" si="7"/>
        <v>0</v>
      </c>
      <c r="T12" s="87">
        <f t="shared" ca="1" si="7"/>
        <v>0</v>
      </c>
      <c r="U12" s="87">
        <f t="shared" ca="1" si="8"/>
        <v>0</v>
      </c>
      <c r="V12" s="87">
        <f t="shared" ca="1" si="8"/>
        <v>0</v>
      </c>
      <c r="W12" s="87">
        <f t="shared" ca="1" si="8"/>
        <v>0</v>
      </c>
      <c r="X12" s="87">
        <f t="shared" ca="1" si="8"/>
        <v>0</v>
      </c>
      <c r="Y12" s="87">
        <f t="shared" ca="1" si="8"/>
        <v>0</v>
      </c>
      <c r="Z12" s="87">
        <f t="shared" ca="1" si="8"/>
        <v>0</v>
      </c>
      <c r="AA12" s="87">
        <f t="shared" ca="1" si="8"/>
        <v>0</v>
      </c>
      <c r="AB12" s="87">
        <f t="shared" ca="1" si="8"/>
        <v>0</v>
      </c>
      <c r="AC12" s="87">
        <f t="shared" ca="1" si="8"/>
        <v>0</v>
      </c>
      <c r="AD12" s="87">
        <f t="shared" ca="1" si="8"/>
        <v>0</v>
      </c>
      <c r="AE12" s="87">
        <f t="shared" ca="1" si="9"/>
        <v>0</v>
      </c>
      <c r="AF12" s="87">
        <f t="shared" ca="1" si="9"/>
        <v>0</v>
      </c>
      <c r="AG12" s="87">
        <f t="shared" ca="1" si="9"/>
        <v>0</v>
      </c>
      <c r="AH12" s="87">
        <f t="shared" ca="1" si="9"/>
        <v>0</v>
      </c>
      <c r="AI12" s="87">
        <f t="shared" ca="1" si="9"/>
        <v>0</v>
      </c>
      <c r="AJ12" s="87">
        <f t="shared" ca="1" si="9"/>
        <v>0</v>
      </c>
      <c r="AK12" s="87">
        <f t="shared" ca="1" si="9"/>
        <v>0</v>
      </c>
      <c r="AL12" s="87">
        <f t="shared" ca="1" si="9"/>
        <v>0</v>
      </c>
      <c r="AM12" s="87">
        <f t="shared" ca="1" si="9"/>
        <v>0</v>
      </c>
      <c r="AN12" s="87">
        <f t="shared" ca="1" si="9"/>
        <v>0</v>
      </c>
      <c r="AO12" s="87">
        <f t="shared" ca="1" si="10"/>
        <v>0</v>
      </c>
      <c r="AP12" s="87">
        <f t="shared" ca="1" si="10"/>
        <v>0</v>
      </c>
      <c r="AQ12" s="87">
        <f t="shared" ca="1" si="10"/>
        <v>0</v>
      </c>
      <c r="AR12" s="87">
        <f t="shared" ca="1" si="10"/>
        <v>0</v>
      </c>
      <c r="AS12" s="87">
        <f t="shared" ca="1" si="10"/>
        <v>0</v>
      </c>
      <c r="AT12" s="87">
        <f t="shared" ca="1" si="10"/>
        <v>0</v>
      </c>
      <c r="AU12" s="87">
        <f t="shared" ca="1" si="10"/>
        <v>0</v>
      </c>
      <c r="AV12" s="87">
        <f t="shared" ca="1" si="10"/>
        <v>0</v>
      </c>
      <c r="AW12" s="87">
        <f t="shared" ca="1" si="10"/>
        <v>0</v>
      </c>
      <c r="AX12" s="87">
        <f t="shared" ca="1" si="10"/>
        <v>0</v>
      </c>
      <c r="AY12" s="87">
        <f t="shared" ca="1" si="11"/>
        <v>0</v>
      </c>
      <c r="AZ12" s="87">
        <f t="shared" ca="1" si="11"/>
        <v>0</v>
      </c>
      <c r="BA12" s="87">
        <f t="shared" ca="1" si="11"/>
        <v>0</v>
      </c>
      <c r="BB12" s="87">
        <f t="shared" ca="1" si="11"/>
        <v>0</v>
      </c>
      <c r="BC12" s="87">
        <f t="shared" ca="1" si="11"/>
        <v>0</v>
      </c>
      <c r="BD12" s="87">
        <f t="shared" ca="1" si="11"/>
        <v>0</v>
      </c>
      <c r="BE12" s="87">
        <f t="shared" ca="1" si="11"/>
        <v>0</v>
      </c>
      <c r="BF12" s="87">
        <f t="shared" ca="1" si="11"/>
        <v>0</v>
      </c>
      <c r="BG12" s="87">
        <f t="shared" ca="1" si="11"/>
        <v>0</v>
      </c>
      <c r="BH12" s="87">
        <f t="shared" ca="1" si="11"/>
        <v>0</v>
      </c>
      <c r="BI12" s="87">
        <f t="shared" ca="1" si="11"/>
        <v>0</v>
      </c>
      <c r="BJ12" s="87">
        <f t="shared" ca="1" si="11"/>
        <v>0</v>
      </c>
      <c r="BK12" s="87">
        <f t="shared" ca="1" si="11"/>
        <v>0</v>
      </c>
      <c r="BL12" s="87">
        <f t="shared" ca="1" si="11"/>
        <v>0</v>
      </c>
    </row>
    <row r="13" spans="1:64" x14ac:dyDescent="0.25">
      <c r="A13" s="87">
        <f t="shared" ca="1" si="6"/>
        <v>0</v>
      </c>
      <c r="B13" s="87">
        <f t="shared" ca="1" si="6"/>
        <v>0</v>
      </c>
      <c r="C13" s="87">
        <f t="shared" ca="1" si="6"/>
        <v>0</v>
      </c>
      <c r="D13" s="87">
        <f t="shared" ca="1" si="6"/>
        <v>0</v>
      </c>
      <c r="E13" s="87">
        <f t="shared" ca="1" si="6"/>
        <v>0</v>
      </c>
      <c r="F13" s="87">
        <f t="shared" ca="1" si="6"/>
        <v>0</v>
      </c>
      <c r="G13" s="87">
        <f t="shared" ca="1" si="6"/>
        <v>0</v>
      </c>
      <c r="H13" s="87">
        <f t="shared" ca="1" si="6"/>
        <v>0</v>
      </c>
      <c r="I13" s="87">
        <f t="shared" ca="1" si="6"/>
        <v>0</v>
      </c>
      <c r="J13" s="87">
        <f t="shared" ca="1" si="6"/>
        <v>0</v>
      </c>
      <c r="K13" s="87">
        <f t="shared" ca="1" si="7"/>
        <v>0</v>
      </c>
      <c r="L13" s="87">
        <f t="shared" ca="1" si="7"/>
        <v>0</v>
      </c>
      <c r="M13" s="87">
        <f t="shared" ca="1" si="7"/>
        <v>0</v>
      </c>
      <c r="N13" s="87">
        <f t="shared" ca="1" si="7"/>
        <v>0</v>
      </c>
      <c r="O13" s="87">
        <f t="shared" ca="1" si="7"/>
        <v>0</v>
      </c>
      <c r="P13" s="87">
        <f t="shared" ca="1" si="7"/>
        <v>0</v>
      </c>
      <c r="Q13" s="87">
        <f t="shared" ca="1" si="7"/>
        <v>0</v>
      </c>
      <c r="R13" s="87">
        <f t="shared" ca="1" si="7"/>
        <v>0</v>
      </c>
      <c r="S13" s="87">
        <f t="shared" ca="1" si="7"/>
        <v>0</v>
      </c>
      <c r="T13" s="87">
        <f t="shared" ca="1" si="7"/>
        <v>0</v>
      </c>
      <c r="U13" s="87">
        <f t="shared" ca="1" si="8"/>
        <v>0</v>
      </c>
      <c r="V13" s="87">
        <f t="shared" ca="1" si="8"/>
        <v>0</v>
      </c>
      <c r="W13" s="87">
        <f t="shared" ca="1" si="8"/>
        <v>0</v>
      </c>
      <c r="X13" s="87">
        <f t="shared" ca="1" si="8"/>
        <v>0</v>
      </c>
      <c r="Y13" s="87">
        <f t="shared" ca="1" si="8"/>
        <v>0</v>
      </c>
      <c r="Z13" s="87">
        <f t="shared" ca="1" si="8"/>
        <v>0</v>
      </c>
      <c r="AA13" s="87">
        <f t="shared" ca="1" si="8"/>
        <v>0</v>
      </c>
      <c r="AB13" s="87">
        <f t="shared" ca="1" si="8"/>
        <v>0</v>
      </c>
      <c r="AC13" s="87">
        <f t="shared" ca="1" si="8"/>
        <v>0</v>
      </c>
      <c r="AD13" s="87">
        <f t="shared" ca="1" si="8"/>
        <v>0</v>
      </c>
      <c r="AE13" s="87">
        <f t="shared" ca="1" si="9"/>
        <v>0</v>
      </c>
      <c r="AF13" s="87">
        <f t="shared" ca="1" si="9"/>
        <v>0</v>
      </c>
      <c r="AG13" s="87">
        <f t="shared" ca="1" si="9"/>
        <v>0</v>
      </c>
      <c r="AH13" s="87">
        <f t="shared" ca="1" si="9"/>
        <v>0</v>
      </c>
      <c r="AI13" s="87">
        <f t="shared" ca="1" si="9"/>
        <v>0</v>
      </c>
      <c r="AJ13" s="87">
        <f t="shared" ca="1" si="9"/>
        <v>0</v>
      </c>
      <c r="AK13" s="87">
        <f t="shared" ca="1" si="9"/>
        <v>0</v>
      </c>
      <c r="AL13" s="87">
        <f t="shared" ca="1" si="9"/>
        <v>0</v>
      </c>
      <c r="AM13" s="87">
        <f t="shared" ca="1" si="9"/>
        <v>0</v>
      </c>
      <c r="AN13" s="87">
        <f t="shared" ca="1" si="9"/>
        <v>0</v>
      </c>
      <c r="AO13" s="87">
        <f t="shared" ca="1" si="10"/>
        <v>0</v>
      </c>
      <c r="AP13" s="87">
        <f t="shared" ca="1" si="10"/>
        <v>0</v>
      </c>
      <c r="AQ13" s="87">
        <f t="shared" ca="1" si="10"/>
        <v>0</v>
      </c>
      <c r="AR13" s="87">
        <f t="shared" ca="1" si="10"/>
        <v>0</v>
      </c>
      <c r="AS13" s="87">
        <f t="shared" ca="1" si="10"/>
        <v>0</v>
      </c>
      <c r="AT13" s="87">
        <f t="shared" ca="1" si="10"/>
        <v>0</v>
      </c>
      <c r="AU13" s="87">
        <f t="shared" ca="1" si="10"/>
        <v>0</v>
      </c>
      <c r="AV13" s="87">
        <f t="shared" ca="1" si="10"/>
        <v>0</v>
      </c>
      <c r="AW13" s="87">
        <f t="shared" ca="1" si="10"/>
        <v>0</v>
      </c>
      <c r="AX13" s="87">
        <f t="shared" ca="1" si="10"/>
        <v>0</v>
      </c>
      <c r="AY13" s="87">
        <f t="shared" ca="1" si="11"/>
        <v>0</v>
      </c>
      <c r="AZ13" s="87">
        <f t="shared" ca="1" si="11"/>
        <v>0</v>
      </c>
      <c r="BA13" s="87">
        <f t="shared" ca="1" si="11"/>
        <v>0</v>
      </c>
      <c r="BB13" s="87">
        <f t="shared" ca="1" si="11"/>
        <v>0</v>
      </c>
      <c r="BC13" s="87">
        <f t="shared" ca="1" si="11"/>
        <v>0</v>
      </c>
      <c r="BD13" s="87">
        <f t="shared" ca="1" si="11"/>
        <v>0</v>
      </c>
      <c r="BE13" s="87">
        <f t="shared" ca="1" si="11"/>
        <v>0</v>
      </c>
      <c r="BF13" s="87">
        <f t="shared" ca="1" si="11"/>
        <v>0</v>
      </c>
      <c r="BG13" s="87">
        <f t="shared" ca="1" si="11"/>
        <v>0</v>
      </c>
      <c r="BH13" s="87">
        <f t="shared" ca="1" si="11"/>
        <v>0</v>
      </c>
      <c r="BI13" s="87">
        <f t="shared" ca="1" si="11"/>
        <v>0</v>
      </c>
      <c r="BJ13" s="87">
        <f t="shared" ca="1" si="11"/>
        <v>0</v>
      </c>
      <c r="BK13" s="87">
        <f t="shared" ca="1" si="11"/>
        <v>0</v>
      </c>
      <c r="BL13" s="87">
        <f t="shared" ca="1" si="11"/>
        <v>0</v>
      </c>
    </row>
    <row r="14" spans="1:64" x14ac:dyDescent="0.25">
      <c r="A14" s="87">
        <f t="shared" ca="1" si="6"/>
        <v>0</v>
      </c>
      <c r="B14" s="87">
        <f t="shared" ca="1" si="6"/>
        <v>0</v>
      </c>
      <c r="C14" s="87">
        <f t="shared" ca="1" si="6"/>
        <v>0</v>
      </c>
      <c r="D14" s="87">
        <f t="shared" ca="1" si="6"/>
        <v>0</v>
      </c>
      <c r="E14" s="87">
        <f t="shared" ca="1" si="6"/>
        <v>0</v>
      </c>
      <c r="F14" s="87">
        <f t="shared" ca="1" si="6"/>
        <v>0</v>
      </c>
      <c r="G14" s="87">
        <f t="shared" ca="1" si="6"/>
        <v>0</v>
      </c>
      <c r="H14" s="87">
        <f t="shared" ca="1" si="6"/>
        <v>0</v>
      </c>
      <c r="I14" s="87">
        <f t="shared" ca="1" si="6"/>
        <v>0</v>
      </c>
      <c r="J14" s="87">
        <f t="shared" ca="1" si="6"/>
        <v>0</v>
      </c>
      <c r="K14" s="87">
        <f t="shared" ca="1" si="7"/>
        <v>0</v>
      </c>
      <c r="L14" s="87">
        <f t="shared" ca="1" si="7"/>
        <v>0</v>
      </c>
      <c r="M14" s="87">
        <f t="shared" ca="1" si="7"/>
        <v>0</v>
      </c>
      <c r="N14" s="87">
        <f t="shared" ca="1" si="7"/>
        <v>0</v>
      </c>
      <c r="O14" s="87">
        <f t="shared" ca="1" si="7"/>
        <v>0</v>
      </c>
      <c r="P14" s="87">
        <f t="shared" ca="1" si="7"/>
        <v>0</v>
      </c>
      <c r="Q14" s="87">
        <f t="shared" ca="1" si="7"/>
        <v>0</v>
      </c>
      <c r="R14" s="87">
        <f t="shared" ca="1" si="7"/>
        <v>0</v>
      </c>
      <c r="S14" s="87">
        <f t="shared" ca="1" si="7"/>
        <v>0</v>
      </c>
      <c r="T14" s="87">
        <f t="shared" ca="1" si="7"/>
        <v>0</v>
      </c>
      <c r="U14" s="87">
        <f t="shared" ca="1" si="8"/>
        <v>0</v>
      </c>
      <c r="V14" s="87">
        <f t="shared" ca="1" si="8"/>
        <v>0</v>
      </c>
      <c r="W14" s="87">
        <f t="shared" ca="1" si="8"/>
        <v>0</v>
      </c>
      <c r="X14" s="87">
        <f t="shared" ca="1" si="8"/>
        <v>0</v>
      </c>
      <c r="Y14" s="87">
        <f t="shared" ca="1" si="8"/>
        <v>0</v>
      </c>
      <c r="Z14" s="87">
        <f t="shared" ca="1" si="8"/>
        <v>0</v>
      </c>
      <c r="AA14" s="87">
        <f t="shared" ca="1" si="8"/>
        <v>0</v>
      </c>
      <c r="AB14" s="87">
        <f t="shared" ca="1" si="8"/>
        <v>0</v>
      </c>
      <c r="AC14" s="87">
        <f t="shared" ca="1" si="8"/>
        <v>0</v>
      </c>
      <c r="AD14" s="87">
        <f t="shared" ca="1" si="8"/>
        <v>0</v>
      </c>
      <c r="AE14" s="87">
        <f t="shared" ca="1" si="9"/>
        <v>0</v>
      </c>
      <c r="AF14" s="87">
        <f t="shared" ca="1" si="9"/>
        <v>0</v>
      </c>
      <c r="AG14" s="87">
        <f t="shared" ca="1" si="9"/>
        <v>0</v>
      </c>
      <c r="AH14" s="87">
        <f t="shared" ca="1" si="9"/>
        <v>0</v>
      </c>
      <c r="AI14" s="87">
        <f t="shared" ca="1" si="9"/>
        <v>0</v>
      </c>
      <c r="AJ14" s="87">
        <f t="shared" ca="1" si="9"/>
        <v>0</v>
      </c>
      <c r="AK14" s="87">
        <f t="shared" ca="1" si="9"/>
        <v>0</v>
      </c>
      <c r="AL14" s="87">
        <f t="shared" ca="1" si="9"/>
        <v>0</v>
      </c>
      <c r="AM14" s="87">
        <f t="shared" ca="1" si="9"/>
        <v>0</v>
      </c>
      <c r="AN14" s="87">
        <f t="shared" ca="1" si="9"/>
        <v>0</v>
      </c>
      <c r="AO14" s="87">
        <f t="shared" ca="1" si="10"/>
        <v>0</v>
      </c>
      <c r="AP14" s="87">
        <f t="shared" ca="1" si="10"/>
        <v>0</v>
      </c>
      <c r="AQ14" s="87">
        <f t="shared" ca="1" si="10"/>
        <v>0</v>
      </c>
      <c r="AR14" s="87">
        <f t="shared" ca="1" si="10"/>
        <v>0</v>
      </c>
      <c r="AS14" s="87">
        <f t="shared" ca="1" si="10"/>
        <v>0</v>
      </c>
      <c r="AT14" s="87">
        <f t="shared" ca="1" si="10"/>
        <v>0</v>
      </c>
      <c r="AU14" s="87">
        <f t="shared" ca="1" si="10"/>
        <v>0</v>
      </c>
      <c r="AV14" s="87">
        <f t="shared" ca="1" si="10"/>
        <v>0</v>
      </c>
      <c r="AW14" s="87">
        <f t="shared" ca="1" si="10"/>
        <v>0</v>
      </c>
      <c r="AX14" s="87">
        <f t="shared" ca="1" si="10"/>
        <v>0</v>
      </c>
      <c r="AY14" s="87">
        <f t="shared" ca="1" si="11"/>
        <v>0</v>
      </c>
      <c r="AZ14" s="87">
        <f t="shared" ca="1" si="11"/>
        <v>0</v>
      </c>
      <c r="BA14" s="87">
        <f t="shared" ca="1" si="11"/>
        <v>0</v>
      </c>
      <c r="BB14" s="87">
        <f t="shared" ca="1" si="11"/>
        <v>0</v>
      </c>
      <c r="BC14" s="87">
        <f t="shared" ca="1" si="11"/>
        <v>0</v>
      </c>
      <c r="BD14" s="87">
        <f t="shared" ca="1" si="11"/>
        <v>0</v>
      </c>
      <c r="BE14" s="87">
        <f t="shared" ca="1" si="11"/>
        <v>0</v>
      </c>
      <c r="BF14" s="87">
        <f t="shared" ca="1" si="11"/>
        <v>0</v>
      </c>
      <c r="BG14" s="87">
        <f t="shared" ca="1" si="11"/>
        <v>0</v>
      </c>
      <c r="BH14" s="87">
        <f t="shared" ca="1" si="11"/>
        <v>0</v>
      </c>
      <c r="BI14" s="87">
        <f t="shared" ca="1" si="11"/>
        <v>0</v>
      </c>
      <c r="BJ14" s="87">
        <f t="shared" ca="1" si="11"/>
        <v>0</v>
      </c>
      <c r="BK14" s="87">
        <f t="shared" ca="1" si="11"/>
        <v>0</v>
      </c>
      <c r="BL14" s="87">
        <f t="shared" ca="1" si="11"/>
        <v>0</v>
      </c>
    </row>
    <row r="15" spans="1:64" x14ac:dyDescent="0.25">
      <c r="A15" s="87">
        <f t="shared" ca="1" si="6"/>
        <v>0</v>
      </c>
      <c r="B15" s="87">
        <f t="shared" ca="1" si="6"/>
        <v>0</v>
      </c>
      <c r="C15" s="87">
        <f t="shared" ca="1" si="6"/>
        <v>0</v>
      </c>
      <c r="D15" s="87">
        <f t="shared" ca="1" si="6"/>
        <v>0</v>
      </c>
      <c r="E15" s="87">
        <f t="shared" ca="1" si="6"/>
        <v>0</v>
      </c>
      <c r="F15" s="87">
        <f t="shared" ca="1" si="6"/>
        <v>0</v>
      </c>
      <c r="G15" s="87">
        <f t="shared" ca="1" si="6"/>
        <v>0</v>
      </c>
      <c r="H15" s="87">
        <f t="shared" ca="1" si="6"/>
        <v>0</v>
      </c>
      <c r="I15" s="87">
        <f t="shared" ca="1" si="6"/>
        <v>0</v>
      </c>
      <c r="J15" s="87">
        <f t="shared" ca="1" si="6"/>
        <v>0</v>
      </c>
      <c r="K15" s="87">
        <f t="shared" ca="1" si="7"/>
        <v>0</v>
      </c>
      <c r="L15" s="87">
        <f t="shared" ca="1" si="7"/>
        <v>0</v>
      </c>
      <c r="M15" s="87">
        <f t="shared" ca="1" si="7"/>
        <v>0</v>
      </c>
      <c r="N15" s="87">
        <f t="shared" ca="1" si="7"/>
        <v>0</v>
      </c>
      <c r="O15" s="87">
        <f t="shared" ca="1" si="7"/>
        <v>0</v>
      </c>
      <c r="P15" s="87">
        <f t="shared" ca="1" si="7"/>
        <v>0</v>
      </c>
      <c r="Q15" s="87">
        <f t="shared" ca="1" si="7"/>
        <v>0</v>
      </c>
      <c r="R15" s="87">
        <f t="shared" ca="1" si="7"/>
        <v>0</v>
      </c>
      <c r="S15" s="87">
        <f t="shared" ca="1" si="7"/>
        <v>0</v>
      </c>
      <c r="T15" s="87">
        <f t="shared" ca="1" si="7"/>
        <v>0</v>
      </c>
      <c r="U15" s="87">
        <f t="shared" ca="1" si="8"/>
        <v>0</v>
      </c>
      <c r="V15" s="87">
        <f t="shared" ca="1" si="8"/>
        <v>0</v>
      </c>
      <c r="W15" s="87">
        <f t="shared" ca="1" si="8"/>
        <v>0</v>
      </c>
      <c r="X15" s="87">
        <f t="shared" ca="1" si="8"/>
        <v>0</v>
      </c>
      <c r="Y15" s="87">
        <f t="shared" ca="1" si="8"/>
        <v>0</v>
      </c>
      <c r="Z15" s="87">
        <f t="shared" ca="1" si="8"/>
        <v>0</v>
      </c>
      <c r="AA15" s="87">
        <f t="shared" ca="1" si="8"/>
        <v>0</v>
      </c>
      <c r="AB15" s="87">
        <f t="shared" ca="1" si="8"/>
        <v>0</v>
      </c>
      <c r="AC15" s="87">
        <f t="shared" ca="1" si="8"/>
        <v>0</v>
      </c>
      <c r="AD15" s="87">
        <f t="shared" ca="1" si="8"/>
        <v>0</v>
      </c>
      <c r="AE15" s="87">
        <f t="shared" ca="1" si="9"/>
        <v>0</v>
      </c>
      <c r="AF15" s="87">
        <f t="shared" ca="1" si="9"/>
        <v>0</v>
      </c>
      <c r="AG15" s="87">
        <f t="shared" ca="1" si="9"/>
        <v>0</v>
      </c>
      <c r="AH15" s="87">
        <f t="shared" ca="1" si="9"/>
        <v>0</v>
      </c>
      <c r="AI15" s="87">
        <f t="shared" ca="1" si="9"/>
        <v>0</v>
      </c>
      <c r="AJ15" s="87">
        <f t="shared" ca="1" si="9"/>
        <v>0</v>
      </c>
      <c r="AK15" s="87">
        <f t="shared" ca="1" si="9"/>
        <v>0</v>
      </c>
      <c r="AL15" s="87">
        <f t="shared" ca="1" si="9"/>
        <v>0</v>
      </c>
      <c r="AM15" s="87">
        <f t="shared" ca="1" si="9"/>
        <v>0</v>
      </c>
      <c r="AN15" s="87">
        <f t="shared" ca="1" si="9"/>
        <v>0</v>
      </c>
      <c r="AO15" s="87">
        <f t="shared" ca="1" si="10"/>
        <v>0</v>
      </c>
      <c r="AP15" s="87">
        <f t="shared" ca="1" si="10"/>
        <v>0</v>
      </c>
      <c r="AQ15" s="87">
        <f t="shared" ca="1" si="10"/>
        <v>0</v>
      </c>
      <c r="AR15" s="87">
        <f t="shared" ca="1" si="10"/>
        <v>0</v>
      </c>
      <c r="AS15" s="87">
        <f t="shared" ca="1" si="10"/>
        <v>0</v>
      </c>
      <c r="AT15" s="87">
        <f t="shared" ca="1" si="10"/>
        <v>0</v>
      </c>
      <c r="AU15" s="87">
        <f t="shared" ca="1" si="10"/>
        <v>0</v>
      </c>
      <c r="AV15" s="87">
        <f t="shared" ca="1" si="10"/>
        <v>0</v>
      </c>
      <c r="AW15" s="87">
        <f t="shared" ca="1" si="10"/>
        <v>0</v>
      </c>
      <c r="AX15" s="87">
        <f t="shared" ca="1" si="10"/>
        <v>0</v>
      </c>
      <c r="AY15" s="87">
        <f t="shared" ca="1" si="11"/>
        <v>0</v>
      </c>
      <c r="AZ15" s="87">
        <f t="shared" ca="1" si="11"/>
        <v>0</v>
      </c>
      <c r="BA15" s="87">
        <f t="shared" ca="1" si="11"/>
        <v>0</v>
      </c>
      <c r="BB15" s="87">
        <f t="shared" ca="1" si="11"/>
        <v>0</v>
      </c>
      <c r="BC15" s="87">
        <f t="shared" ca="1" si="11"/>
        <v>0</v>
      </c>
      <c r="BD15" s="87">
        <f t="shared" ca="1" si="11"/>
        <v>0</v>
      </c>
      <c r="BE15" s="87">
        <f t="shared" ca="1" si="11"/>
        <v>0</v>
      </c>
      <c r="BF15" s="87">
        <f t="shared" ca="1" si="11"/>
        <v>0</v>
      </c>
      <c r="BG15" s="87">
        <f t="shared" ca="1" si="11"/>
        <v>0</v>
      </c>
      <c r="BH15" s="87">
        <f t="shared" ca="1" si="11"/>
        <v>0</v>
      </c>
      <c r="BI15" s="87">
        <f t="shared" ca="1" si="11"/>
        <v>0</v>
      </c>
      <c r="BJ15" s="87">
        <f t="shared" ca="1" si="11"/>
        <v>0</v>
      </c>
      <c r="BK15" s="87">
        <f t="shared" ca="1" si="11"/>
        <v>0</v>
      </c>
      <c r="BL15" s="87">
        <f t="shared" ca="1" si="11"/>
        <v>0</v>
      </c>
    </row>
    <row r="16" spans="1:64" x14ac:dyDescent="0.25">
      <c r="A16" s="87">
        <f t="shared" ca="1" si="6"/>
        <v>0</v>
      </c>
      <c r="B16" s="87">
        <f t="shared" ca="1" si="6"/>
        <v>0</v>
      </c>
      <c r="C16" s="87">
        <f t="shared" ca="1" si="6"/>
        <v>0</v>
      </c>
      <c r="D16" s="87">
        <f t="shared" ca="1" si="6"/>
        <v>0</v>
      </c>
      <c r="E16" s="87">
        <f t="shared" ca="1" si="6"/>
        <v>0</v>
      </c>
      <c r="F16" s="87">
        <f t="shared" ca="1" si="6"/>
        <v>0</v>
      </c>
      <c r="G16" s="87">
        <f t="shared" ca="1" si="6"/>
        <v>0</v>
      </c>
      <c r="H16" s="87">
        <f t="shared" ca="1" si="6"/>
        <v>0</v>
      </c>
      <c r="I16" s="87">
        <f t="shared" ca="1" si="6"/>
        <v>0</v>
      </c>
      <c r="J16" s="87">
        <f t="shared" ca="1" si="6"/>
        <v>0</v>
      </c>
      <c r="K16" s="87">
        <f t="shared" ca="1" si="7"/>
        <v>0</v>
      </c>
      <c r="L16" s="87">
        <f t="shared" ca="1" si="7"/>
        <v>0</v>
      </c>
      <c r="M16" s="87">
        <f t="shared" ca="1" si="7"/>
        <v>0</v>
      </c>
      <c r="N16" s="87">
        <f t="shared" ca="1" si="7"/>
        <v>0</v>
      </c>
      <c r="O16" s="87">
        <f t="shared" ca="1" si="7"/>
        <v>0</v>
      </c>
      <c r="P16" s="87">
        <f t="shared" ca="1" si="7"/>
        <v>0</v>
      </c>
      <c r="Q16" s="87">
        <f t="shared" ca="1" si="7"/>
        <v>0</v>
      </c>
      <c r="R16" s="87">
        <f t="shared" ca="1" si="7"/>
        <v>0</v>
      </c>
      <c r="S16" s="87">
        <f t="shared" ca="1" si="7"/>
        <v>0</v>
      </c>
      <c r="T16" s="87">
        <f t="shared" ca="1" si="7"/>
        <v>0</v>
      </c>
      <c r="U16" s="87">
        <f t="shared" ca="1" si="8"/>
        <v>0</v>
      </c>
      <c r="V16" s="87">
        <f t="shared" ca="1" si="8"/>
        <v>0</v>
      </c>
      <c r="W16" s="87">
        <f t="shared" ca="1" si="8"/>
        <v>0</v>
      </c>
      <c r="X16" s="87">
        <f t="shared" ca="1" si="8"/>
        <v>0</v>
      </c>
      <c r="Y16" s="87">
        <f t="shared" ca="1" si="8"/>
        <v>0</v>
      </c>
      <c r="Z16" s="87">
        <f t="shared" ca="1" si="8"/>
        <v>0</v>
      </c>
      <c r="AA16" s="87">
        <f t="shared" ca="1" si="8"/>
        <v>0</v>
      </c>
      <c r="AB16" s="87">
        <f t="shared" ca="1" si="8"/>
        <v>0</v>
      </c>
      <c r="AC16" s="87">
        <f t="shared" ca="1" si="8"/>
        <v>0</v>
      </c>
      <c r="AD16" s="87">
        <f t="shared" ca="1" si="8"/>
        <v>0</v>
      </c>
      <c r="AE16" s="87">
        <f t="shared" ca="1" si="9"/>
        <v>0</v>
      </c>
      <c r="AF16" s="87">
        <f t="shared" ca="1" si="9"/>
        <v>0</v>
      </c>
      <c r="AG16" s="87">
        <f t="shared" ca="1" si="9"/>
        <v>0</v>
      </c>
      <c r="AH16" s="87">
        <f t="shared" ca="1" si="9"/>
        <v>0</v>
      </c>
      <c r="AI16" s="87">
        <f t="shared" ca="1" si="9"/>
        <v>0</v>
      </c>
      <c r="AJ16" s="87">
        <f t="shared" ca="1" si="9"/>
        <v>0</v>
      </c>
      <c r="AK16" s="87">
        <f t="shared" ca="1" si="9"/>
        <v>0</v>
      </c>
      <c r="AL16" s="87">
        <f t="shared" ca="1" si="9"/>
        <v>0</v>
      </c>
      <c r="AM16" s="87">
        <f t="shared" ca="1" si="9"/>
        <v>0</v>
      </c>
      <c r="AN16" s="87">
        <f t="shared" ca="1" si="9"/>
        <v>0</v>
      </c>
      <c r="AO16" s="87">
        <f t="shared" ca="1" si="10"/>
        <v>0</v>
      </c>
      <c r="AP16" s="87">
        <f t="shared" ca="1" si="10"/>
        <v>0</v>
      </c>
      <c r="AQ16" s="87">
        <f t="shared" ca="1" si="10"/>
        <v>0</v>
      </c>
      <c r="AR16" s="87">
        <f t="shared" ca="1" si="10"/>
        <v>0</v>
      </c>
      <c r="AS16" s="87">
        <f t="shared" ca="1" si="10"/>
        <v>0</v>
      </c>
      <c r="AT16" s="87">
        <f t="shared" ca="1" si="10"/>
        <v>0</v>
      </c>
      <c r="AU16" s="87">
        <f t="shared" ca="1" si="10"/>
        <v>0</v>
      </c>
      <c r="AV16" s="87">
        <f t="shared" ca="1" si="10"/>
        <v>0</v>
      </c>
      <c r="AW16" s="87">
        <f t="shared" ca="1" si="10"/>
        <v>0</v>
      </c>
      <c r="AX16" s="87">
        <f t="shared" ca="1" si="10"/>
        <v>0</v>
      </c>
      <c r="AY16" s="87">
        <f t="shared" ca="1" si="11"/>
        <v>0</v>
      </c>
      <c r="AZ16" s="87">
        <f t="shared" ca="1" si="11"/>
        <v>0</v>
      </c>
      <c r="BA16" s="87">
        <f t="shared" ca="1" si="11"/>
        <v>0</v>
      </c>
      <c r="BB16" s="87">
        <f t="shared" ca="1" si="11"/>
        <v>0</v>
      </c>
      <c r="BC16" s="87">
        <f t="shared" ca="1" si="11"/>
        <v>0</v>
      </c>
      <c r="BD16" s="87">
        <f t="shared" ca="1" si="11"/>
        <v>0</v>
      </c>
      <c r="BE16" s="87">
        <f t="shared" ca="1" si="11"/>
        <v>0</v>
      </c>
      <c r="BF16" s="87">
        <f t="shared" ca="1" si="11"/>
        <v>0</v>
      </c>
      <c r="BG16" s="87">
        <f t="shared" ca="1" si="11"/>
        <v>0</v>
      </c>
      <c r="BH16" s="87">
        <f t="shared" ca="1" si="11"/>
        <v>0</v>
      </c>
      <c r="BI16" s="87">
        <f t="shared" ca="1" si="11"/>
        <v>0</v>
      </c>
      <c r="BJ16" s="87">
        <f t="shared" ca="1" si="11"/>
        <v>0</v>
      </c>
      <c r="BK16" s="87">
        <f t="shared" ca="1" si="11"/>
        <v>0</v>
      </c>
      <c r="BL16" s="87">
        <f t="shared" ca="1" si="11"/>
        <v>0</v>
      </c>
    </row>
    <row r="17" spans="1:64" x14ac:dyDescent="0.25">
      <c r="A17" s="87">
        <f t="shared" ca="1" si="6"/>
        <v>0</v>
      </c>
      <c r="B17" s="87">
        <f t="shared" ca="1" si="6"/>
        <v>0</v>
      </c>
      <c r="C17" s="87">
        <f t="shared" ca="1" si="6"/>
        <v>0</v>
      </c>
      <c r="D17" s="87">
        <f t="shared" ca="1" si="6"/>
        <v>0</v>
      </c>
      <c r="E17" s="87">
        <f t="shared" ca="1" si="6"/>
        <v>0</v>
      </c>
      <c r="F17" s="87">
        <f t="shared" ca="1" si="6"/>
        <v>0</v>
      </c>
      <c r="G17" s="87">
        <f t="shared" ca="1" si="6"/>
        <v>0</v>
      </c>
      <c r="H17" s="87">
        <f t="shared" ca="1" si="6"/>
        <v>0</v>
      </c>
      <c r="I17" s="87">
        <f t="shared" ca="1" si="6"/>
        <v>0</v>
      </c>
      <c r="J17" s="87">
        <f t="shared" ca="1" si="6"/>
        <v>0</v>
      </c>
      <c r="K17" s="87">
        <f t="shared" ca="1" si="7"/>
        <v>0</v>
      </c>
      <c r="L17" s="87">
        <f t="shared" ca="1" si="7"/>
        <v>0</v>
      </c>
      <c r="M17" s="87">
        <f t="shared" ca="1" si="7"/>
        <v>0</v>
      </c>
      <c r="N17" s="87">
        <f t="shared" ca="1" si="7"/>
        <v>0</v>
      </c>
      <c r="O17" s="87">
        <f t="shared" ca="1" si="7"/>
        <v>0</v>
      </c>
      <c r="P17" s="87">
        <f t="shared" ca="1" si="7"/>
        <v>0</v>
      </c>
      <c r="Q17" s="87">
        <f t="shared" ca="1" si="7"/>
        <v>0</v>
      </c>
      <c r="R17" s="87">
        <f t="shared" ca="1" si="7"/>
        <v>0</v>
      </c>
      <c r="S17" s="87">
        <f t="shared" ca="1" si="7"/>
        <v>0</v>
      </c>
      <c r="T17" s="87">
        <f t="shared" ca="1" si="7"/>
        <v>0</v>
      </c>
      <c r="U17" s="87">
        <f t="shared" ca="1" si="8"/>
        <v>0</v>
      </c>
      <c r="V17" s="87">
        <f t="shared" ca="1" si="8"/>
        <v>0</v>
      </c>
      <c r="W17" s="87">
        <f t="shared" ca="1" si="8"/>
        <v>0</v>
      </c>
      <c r="X17" s="87">
        <f t="shared" ca="1" si="8"/>
        <v>0</v>
      </c>
      <c r="Y17" s="87">
        <f t="shared" ca="1" si="8"/>
        <v>0</v>
      </c>
      <c r="Z17" s="87">
        <f t="shared" ca="1" si="8"/>
        <v>0</v>
      </c>
      <c r="AA17" s="87">
        <f t="shared" ca="1" si="8"/>
        <v>0</v>
      </c>
      <c r="AB17" s="87">
        <f t="shared" ca="1" si="8"/>
        <v>0</v>
      </c>
      <c r="AC17" s="87">
        <f t="shared" ca="1" si="8"/>
        <v>0</v>
      </c>
      <c r="AD17" s="87">
        <f t="shared" ca="1" si="8"/>
        <v>0</v>
      </c>
      <c r="AE17" s="87">
        <f t="shared" ca="1" si="9"/>
        <v>0</v>
      </c>
      <c r="AF17" s="87">
        <f t="shared" ca="1" si="9"/>
        <v>0</v>
      </c>
      <c r="AG17" s="87">
        <f t="shared" ca="1" si="9"/>
        <v>0</v>
      </c>
      <c r="AH17" s="87">
        <f t="shared" ca="1" si="9"/>
        <v>0</v>
      </c>
      <c r="AI17" s="87">
        <f t="shared" ca="1" si="9"/>
        <v>0</v>
      </c>
      <c r="AJ17" s="87">
        <f t="shared" ca="1" si="9"/>
        <v>0</v>
      </c>
      <c r="AK17" s="87">
        <f t="shared" ca="1" si="9"/>
        <v>0</v>
      </c>
      <c r="AL17" s="87">
        <f t="shared" ca="1" si="9"/>
        <v>0</v>
      </c>
      <c r="AM17" s="87">
        <f t="shared" ca="1" si="9"/>
        <v>0</v>
      </c>
      <c r="AN17" s="87">
        <f t="shared" ca="1" si="9"/>
        <v>0</v>
      </c>
      <c r="AO17" s="87">
        <f t="shared" ca="1" si="10"/>
        <v>0</v>
      </c>
      <c r="AP17" s="87">
        <f t="shared" ca="1" si="10"/>
        <v>0</v>
      </c>
      <c r="AQ17" s="87">
        <f t="shared" ca="1" si="10"/>
        <v>0</v>
      </c>
      <c r="AR17" s="87">
        <f t="shared" ca="1" si="10"/>
        <v>0</v>
      </c>
      <c r="AS17" s="87">
        <f t="shared" ca="1" si="10"/>
        <v>0</v>
      </c>
      <c r="AT17" s="87">
        <f t="shared" ca="1" si="10"/>
        <v>0</v>
      </c>
      <c r="AU17" s="87">
        <f t="shared" ca="1" si="10"/>
        <v>0</v>
      </c>
      <c r="AV17" s="87">
        <f t="shared" ca="1" si="10"/>
        <v>0</v>
      </c>
      <c r="AW17" s="87">
        <f t="shared" ca="1" si="10"/>
        <v>0</v>
      </c>
      <c r="AX17" s="87">
        <f t="shared" ca="1" si="10"/>
        <v>0</v>
      </c>
      <c r="AY17" s="87">
        <f t="shared" ca="1" si="11"/>
        <v>0</v>
      </c>
      <c r="AZ17" s="87">
        <f t="shared" ca="1" si="11"/>
        <v>0</v>
      </c>
      <c r="BA17" s="87">
        <f t="shared" ca="1" si="11"/>
        <v>0</v>
      </c>
      <c r="BB17" s="87">
        <f t="shared" ca="1" si="11"/>
        <v>0</v>
      </c>
      <c r="BC17" s="87">
        <f t="shared" ca="1" si="11"/>
        <v>0</v>
      </c>
      <c r="BD17" s="87">
        <f t="shared" ca="1" si="11"/>
        <v>0</v>
      </c>
      <c r="BE17" s="87">
        <f t="shared" ca="1" si="11"/>
        <v>0</v>
      </c>
      <c r="BF17" s="87">
        <f t="shared" ca="1" si="11"/>
        <v>0</v>
      </c>
      <c r="BG17" s="87">
        <f t="shared" ca="1" si="11"/>
        <v>0</v>
      </c>
      <c r="BH17" s="87">
        <f t="shared" ca="1" si="11"/>
        <v>0</v>
      </c>
      <c r="BI17" s="87">
        <f t="shared" ca="1" si="11"/>
        <v>0</v>
      </c>
      <c r="BJ17" s="87">
        <f t="shared" ca="1" si="11"/>
        <v>0</v>
      </c>
      <c r="BK17" s="87">
        <f t="shared" ca="1" si="11"/>
        <v>0</v>
      </c>
      <c r="BL17" s="87">
        <f t="shared" ca="1" si="11"/>
        <v>0</v>
      </c>
    </row>
    <row r="18" spans="1:64" x14ac:dyDescent="0.25">
      <c r="A18" s="87">
        <f t="shared" ca="1" si="6"/>
        <v>0</v>
      </c>
      <c r="B18" s="87">
        <f t="shared" ca="1" si="6"/>
        <v>0</v>
      </c>
      <c r="C18" s="87">
        <f t="shared" ca="1" si="6"/>
        <v>0</v>
      </c>
      <c r="D18" s="87">
        <f t="shared" ca="1" si="6"/>
        <v>0</v>
      </c>
      <c r="E18" s="87">
        <f t="shared" ca="1" si="6"/>
        <v>0</v>
      </c>
      <c r="F18" s="87">
        <f t="shared" ca="1" si="6"/>
        <v>0</v>
      </c>
      <c r="G18" s="87">
        <f t="shared" ca="1" si="6"/>
        <v>0</v>
      </c>
      <c r="H18" s="87">
        <f t="shared" ca="1" si="6"/>
        <v>0</v>
      </c>
      <c r="I18" s="87">
        <f t="shared" ca="1" si="6"/>
        <v>0</v>
      </c>
      <c r="J18" s="87">
        <f t="shared" ca="1" si="6"/>
        <v>0</v>
      </c>
      <c r="K18" s="87">
        <f t="shared" ca="1" si="7"/>
        <v>0</v>
      </c>
      <c r="L18" s="87">
        <f t="shared" ca="1" si="7"/>
        <v>0</v>
      </c>
      <c r="M18" s="87">
        <f t="shared" ca="1" si="7"/>
        <v>0</v>
      </c>
      <c r="N18" s="87">
        <f t="shared" ca="1" si="7"/>
        <v>0</v>
      </c>
      <c r="O18" s="87">
        <f t="shared" ca="1" si="7"/>
        <v>0</v>
      </c>
      <c r="P18" s="87">
        <f t="shared" ca="1" si="7"/>
        <v>0</v>
      </c>
      <c r="Q18" s="87">
        <f t="shared" ca="1" si="7"/>
        <v>0</v>
      </c>
      <c r="R18" s="87">
        <f t="shared" ca="1" si="7"/>
        <v>0</v>
      </c>
      <c r="S18" s="87">
        <f t="shared" ca="1" si="7"/>
        <v>0</v>
      </c>
      <c r="T18" s="87">
        <f t="shared" ca="1" si="7"/>
        <v>0</v>
      </c>
      <c r="U18" s="87">
        <f t="shared" ca="1" si="8"/>
        <v>0</v>
      </c>
      <c r="V18" s="87">
        <f t="shared" ca="1" si="8"/>
        <v>0</v>
      </c>
      <c r="W18" s="87">
        <f t="shared" ca="1" si="8"/>
        <v>0</v>
      </c>
      <c r="X18" s="87">
        <f t="shared" ca="1" si="8"/>
        <v>0</v>
      </c>
      <c r="Y18" s="87">
        <f t="shared" ca="1" si="8"/>
        <v>0</v>
      </c>
      <c r="Z18" s="87">
        <f t="shared" ca="1" si="8"/>
        <v>0</v>
      </c>
      <c r="AA18" s="87">
        <f t="shared" ca="1" si="8"/>
        <v>0</v>
      </c>
      <c r="AB18" s="87">
        <f t="shared" ca="1" si="8"/>
        <v>0</v>
      </c>
      <c r="AC18" s="87">
        <f t="shared" ca="1" si="8"/>
        <v>0</v>
      </c>
      <c r="AD18" s="87">
        <f t="shared" ca="1" si="8"/>
        <v>0</v>
      </c>
      <c r="AE18" s="87">
        <f t="shared" ca="1" si="9"/>
        <v>0</v>
      </c>
      <c r="AF18" s="87">
        <f t="shared" ca="1" si="9"/>
        <v>0</v>
      </c>
      <c r="AG18" s="87">
        <f t="shared" ca="1" si="9"/>
        <v>0</v>
      </c>
      <c r="AH18" s="87">
        <f t="shared" ca="1" si="9"/>
        <v>0</v>
      </c>
      <c r="AI18" s="87">
        <f t="shared" ca="1" si="9"/>
        <v>0</v>
      </c>
      <c r="AJ18" s="87">
        <f t="shared" ca="1" si="9"/>
        <v>0</v>
      </c>
      <c r="AK18" s="87">
        <f t="shared" ca="1" si="9"/>
        <v>0</v>
      </c>
      <c r="AL18" s="87">
        <f t="shared" ca="1" si="9"/>
        <v>0</v>
      </c>
      <c r="AM18" s="87">
        <f t="shared" ca="1" si="9"/>
        <v>0</v>
      </c>
      <c r="AN18" s="87">
        <f t="shared" ca="1" si="9"/>
        <v>0</v>
      </c>
      <c r="AO18" s="87">
        <f t="shared" ca="1" si="10"/>
        <v>0</v>
      </c>
      <c r="AP18" s="87">
        <f t="shared" ca="1" si="10"/>
        <v>0</v>
      </c>
      <c r="AQ18" s="87">
        <f t="shared" ca="1" si="10"/>
        <v>0</v>
      </c>
      <c r="AR18" s="87">
        <f t="shared" ca="1" si="10"/>
        <v>0</v>
      </c>
      <c r="AS18" s="87">
        <f t="shared" ca="1" si="10"/>
        <v>0</v>
      </c>
      <c r="AT18" s="87">
        <f t="shared" ca="1" si="10"/>
        <v>0</v>
      </c>
      <c r="AU18" s="87">
        <f t="shared" ca="1" si="10"/>
        <v>0</v>
      </c>
      <c r="AV18" s="87">
        <f t="shared" ca="1" si="10"/>
        <v>0</v>
      </c>
      <c r="AW18" s="87">
        <f t="shared" ca="1" si="10"/>
        <v>0</v>
      </c>
      <c r="AX18" s="87">
        <f t="shared" ca="1" si="10"/>
        <v>0</v>
      </c>
      <c r="AY18" s="87">
        <f t="shared" ca="1" si="11"/>
        <v>0</v>
      </c>
      <c r="AZ18" s="87">
        <f t="shared" ca="1" si="11"/>
        <v>0</v>
      </c>
      <c r="BA18" s="87">
        <f t="shared" ca="1" si="11"/>
        <v>0</v>
      </c>
      <c r="BB18" s="87">
        <f t="shared" ca="1" si="11"/>
        <v>0</v>
      </c>
      <c r="BC18" s="87">
        <f t="shared" ca="1" si="11"/>
        <v>0</v>
      </c>
      <c r="BD18" s="87">
        <f t="shared" ca="1" si="11"/>
        <v>0</v>
      </c>
      <c r="BE18" s="87">
        <f t="shared" ca="1" si="11"/>
        <v>0</v>
      </c>
      <c r="BF18" s="87">
        <f t="shared" ca="1" si="11"/>
        <v>0</v>
      </c>
      <c r="BG18" s="87">
        <f t="shared" ca="1" si="11"/>
        <v>0</v>
      </c>
      <c r="BH18" s="87">
        <f t="shared" ca="1" si="11"/>
        <v>0</v>
      </c>
      <c r="BI18" s="87">
        <f t="shared" ca="1" si="11"/>
        <v>0</v>
      </c>
      <c r="BJ18" s="87">
        <f t="shared" ca="1" si="11"/>
        <v>0</v>
      </c>
      <c r="BK18" s="87">
        <f t="shared" ca="1" si="11"/>
        <v>0</v>
      </c>
      <c r="BL18" s="87">
        <f t="shared" ca="1" si="11"/>
        <v>0</v>
      </c>
    </row>
    <row r="19" spans="1:64" x14ac:dyDescent="0.25">
      <c r="A19" s="87">
        <f t="shared" ca="1" si="6"/>
        <v>0</v>
      </c>
      <c r="B19" s="87">
        <f t="shared" ca="1" si="6"/>
        <v>0</v>
      </c>
      <c r="C19" s="87">
        <f t="shared" ca="1" si="6"/>
        <v>0</v>
      </c>
      <c r="D19" s="87">
        <f t="shared" ca="1" si="6"/>
        <v>0</v>
      </c>
      <c r="E19" s="87">
        <f t="shared" ca="1" si="6"/>
        <v>0</v>
      </c>
      <c r="F19" s="87">
        <f t="shared" ca="1" si="6"/>
        <v>0</v>
      </c>
      <c r="G19" s="87">
        <f t="shared" ca="1" si="6"/>
        <v>0</v>
      </c>
      <c r="H19" s="87">
        <f t="shared" ca="1" si="6"/>
        <v>0</v>
      </c>
      <c r="I19" s="87">
        <f t="shared" ca="1" si="6"/>
        <v>0</v>
      </c>
      <c r="J19" s="87">
        <f t="shared" ca="1" si="6"/>
        <v>0</v>
      </c>
      <c r="K19" s="87">
        <f t="shared" ca="1" si="7"/>
        <v>0</v>
      </c>
      <c r="L19" s="87">
        <f t="shared" ca="1" si="7"/>
        <v>0</v>
      </c>
      <c r="M19" s="87">
        <f t="shared" ca="1" si="7"/>
        <v>0</v>
      </c>
      <c r="N19" s="87">
        <f t="shared" ca="1" si="7"/>
        <v>0</v>
      </c>
      <c r="O19" s="87">
        <f t="shared" ca="1" si="7"/>
        <v>0</v>
      </c>
      <c r="P19" s="87">
        <f t="shared" ca="1" si="7"/>
        <v>0</v>
      </c>
      <c r="Q19" s="87">
        <f t="shared" ca="1" si="7"/>
        <v>0</v>
      </c>
      <c r="R19" s="87">
        <f t="shared" ca="1" si="7"/>
        <v>0</v>
      </c>
      <c r="S19" s="87">
        <f t="shared" ca="1" si="7"/>
        <v>0</v>
      </c>
      <c r="T19" s="87">
        <f t="shared" ca="1" si="7"/>
        <v>0</v>
      </c>
      <c r="U19" s="87">
        <f t="shared" ca="1" si="8"/>
        <v>0</v>
      </c>
      <c r="V19" s="87">
        <f t="shared" ca="1" si="8"/>
        <v>0</v>
      </c>
      <c r="W19" s="87">
        <f t="shared" ca="1" si="8"/>
        <v>0</v>
      </c>
      <c r="X19" s="87">
        <f t="shared" ca="1" si="8"/>
        <v>0</v>
      </c>
      <c r="Y19" s="87">
        <f t="shared" ca="1" si="8"/>
        <v>0</v>
      </c>
      <c r="Z19" s="87">
        <f t="shared" ca="1" si="8"/>
        <v>0</v>
      </c>
      <c r="AA19" s="87">
        <f t="shared" ca="1" si="8"/>
        <v>0</v>
      </c>
      <c r="AB19" s="87">
        <f t="shared" ca="1" si="8"/>
        <v>0</v>
      </c>
      <c r="AC19" s="87">
        <f t="shared" ca="1" si="8"/>
        <v>0</v>
      </c>
      <c r="AD19" s="87">
        <f t="shared" ca="1" si="8"/>
        <v>0</v>
      </c>
      <c r="AE19" s="87">
        <f t="shared" ca="1" si="9"/>
        <v>0</v>
      </c>
      <c r="AF19" s="87">
        <f t="shared" ca="1" si="9"/>
        <v>0</v>
      </c>
      <c r="AG19" s="87">
        <f t="shared" ca="1" si="9"/>
        <v>0</v>
      </c>
      <c r="AH19" s="87">
        <f t="shared" ca="1" si="9"/>
        <v>0</v>
      </c>
      <c r="AI19" s="87">
        <f t="shared" ca="1" si="9"/>
        <v>0</v>
      </c>
      <c r="AJ19" s="87">
        <f t="shared" ca="1" si="9"/>
        <v>0</v>
      </c>
      <c r="AK19" s="87">
        <f t="shared" ca="1" si="9"/>
        <v>0</v>
      </c>
      <c r="AL19" s="87">
        <f t="shared" ca="1" si="9"/>
        <v>0</v>
      </c>
      <c r="AM19" s="87">
        <f t="shared" ca="1" si="9"/>
        <v>0</v>
      </c>
      <c r="AN19" s="87">
        <f t="shared" ca="1" si="9"/>
        <v>0</v>
      </c>
      <c r="AO19" s="87">
        <f t="shared" ca="1" si="10"/>
        <v>0</v>
      </c>
      <c r="AP19" s="87">
        <f t="shared" ca="1" si="10"/>
        <v>0</v>
      </c>
      <c r="AQ19" s="87">
        <f t="shared" ca="1" si="10"/>
        <v>0</v>
      </c>
      <c r="AR19" s="87">
        <f t="shared" ca="1" si="10"/>
        <v>0</v>
      </c>
      <c r="AS19" s="87">
        <f t="shared" ca="1" si="10"/>
        <v>0</v>
      </c>
      <c r="AT19" s="87">
        <f t="shared" ca="1" si="10"/>
        <v>0</v>
      </c>
      <c r="AU19" s="87">
        <f t="shared" ca="1" si="10"/>
        <v>0</v>
      </c>
      <c r="AV19" s="87">
        <f t="shared" ca="1" si="10"/>
        <v>0</v>
      </c>
      <c r="AW19" s="87">
        <f t="shared" ca="1" si="10"/>
        <v>0</v>
      </c>
      <c r="AX19" s="87">
        <f t="shared" ca="1" si="10"/>
        <v>0</v>
      </c>
      <c r="AY19" s="87">
        <f t="shared" ca="1" si="11"/>
        <v>0</v>
      </c>
      <c r="AZ19" s="87">
        <f t="shared" ca="1" si="11"/>
        <v>0</v>
      </c>
      <c r="BA19" s="87">
        <f t="shared" ca="1" si="11"/>
        <v>0</v>
      </c>
      <c r="BB19" s="87">
        <f t="shared" ca="1" si="11"/>
        <v>0</v>
      </c>
      <c r="BC19" s="87">
        <f t="shared" ca="1" si="11"/>
        <v>0</v>
      </c>
      <c r="BD19" s="87">
        <f t="shared" ca="1" si="11"/>
        <v>0</v>
      </c>
      <c r="BE19" s="87">
        <f t="shared" ca="1" si="11"/>
        <v>0</v>
      </c>
      <c r="BF19" s="87">
        <f t="shared" ca="1" si="11"/>
        <v>0</v>
      </c>
      <c r="BG19" s="87">
        <f t="shared" ca="1" si="11"/>
        <v>0</v>
      </c>
      <c r="BH19" s="87">
        <f t="shared" ca="1" si="11"/>
        <v>0</v>
      </c>
      <c r="BI19" s="87">
        <f t="shared" ca="1" si="11"/>
        <v>0</v>
      </c>
      <c r="BJ19" s="87">
        <f t="shared" ca="1" si="11"/>
        <v>0</v>
      </c>
      <c r="BK19" s="87">
        <f t="shared" ca="1" si="11"/>
        <v>0</v>
      </c>
      <c r="BL19" s="87">
        <f t="shared" ca="1" si="11"/>
        <v>0</v>
      </c>
    </row>
    <row r="20" spans="1:64" x14ac:dyDescent="0.25">
      <c r="A20" s="87">
        <f t="shared" ca="1" si="6"/>
        <v>0</v>
      </c>
      <c r="B20" s="87">
        <f t="shared" ca="1" si="6"/>
        <v>0</v>
      </c>
      <c r="C20" s="87">
        <f t="shared" ca="1" si="6"/>
        <v>0</v>
      </c>
      <c r="D20" s="87">
        <f t="shared" ca="1" si="6"/>
        <v>0</v>
      </c>
      <c r="E20" s="87">
        <f t="shared" ca="1" si="6"/>
        <v>0</v>
      </c>
      <c r="F20" s="87">
        <f t="shared" ca="1" si="6"/>
        <v>0</v>
      </c>
      <c r="G20" s="87">
        <f t="shared" ca="1" si="6"/>
        <v>0</v>
      </c>
      <c r="H20" s="87">
        <f t="shared" ca="1" si="6"/>
        <v>0</v>
      </c>
      <c r="I20" s="87">
        <f t="shared" ca="1" si="6"/>
        <v>0</v>
      </c>
      <c r="J20" s="87">
        <f t="shared" ca="1" si="6"/>
        <v>0</v>
      </c>
      <c r="K20" s="87">
        <f t="shared" ca="1" si="7"/>
        <v>0</v>
      </c>
      <c r="L20" s="87">
        <f t="shared" ca="1" si="7"/>
        <v>0</v>
      </c>
      <c r="M20" s="87">
        <f t="shared" ca="1" si="7"/>
        <v>0</v>
      </c>
      <c r="N20" s="87">
        <f t="shared" ca="1" si="7"/>
        <v>0</v>
      </c>
      <c r="O20" s="87">
        <f t="shared" ca="1" si="7"/>
        <v>0</v>
      </c>
      <c r="P20" s="87">
        <f t="shared" ca="1" si="7"/>
        <v>0</v>
      </c>
      <c r="Q20" s="87">
        <f t="shared" ca="1" si="7"/>
        <v>0</v>
      </c>
      <c r="R20" s="87">
        <f t="shared" ca="1" si="7"/>
        <v>0</v>
      </c>
      <c r="S20" s="87">
        <f t="shared" ca="1" si="7"/>
        <v>0</v>
      </c>
      <c r="T20" s="87">
        <f t="shared" ca="1" si="7"/>
        <v>0</v>
      </c>
      <c r="U20" s="87">
        <f t="shared" ca="1" si="8"/>
        <v>0</v>
      </c>
      <c r="V20" s="87">
        <f t="shared" ca="1" si="8"/>
        <v>0</v>
      </c>
      <c r="W20" s="87">
        <f t="shared" ca="1" si="8"/>
        <v>0</v>
      </c>
      <c r="X20" s="87">
        <f t="shared" ca="1" si="8"/>
        <v>0</v>
      </c>
      <c r="Y20" s="87">
        <f t="shared" ca="1" si="8"/>
        <v>0</v>
      </c>
      <c r="Z20" s="87">
        <f t="shared" ca="1" si="8"/>
        <v>0</v>
      </c>
      <c r="AA20" s="87">
        <f t="shared" ca="1" si="8"/>
        <v>0</v>
      </c>
      <c r="AB20" s="87">
        <f t="shared" ca="1" si="8"/>
        <v>0</v>
      </c>
      <c r="AC20" s="87">
        <f t="shared" ca="1" si="8"/>
        <v>0</v>
      </c>
      <c r="AD20" s="87">
        <f t="shared" ca="1" si="8"/>
        <v>0</v>
      </c>
      <c r="AE20" s="87">
        <f t="shared" ca="1" si="9"/>
        <v>0</v>
      </c>
      <c r="AF20" s="87">
        <f t="shared" ca="1" si="9"/>
        <v>0</v>
      </c>
      <c r="AG20" s="87">
        <f t="shared" ca="1" si="9"/>
        <v>0</v>
      </c>
      <c r="AH20" s="87">
        <f t="shared" ca="1" si="9"/>
        <v>0</v>
      </c>
      <c r="AI20" s="87">
        <f t="shared" ca="1" si="9"/>
        <v>0</v>
      </c>
      <c r="AJ20" s="87">
        <f t="shared" ca="1" si="9"/>
        <v>0</v>
      </c>
      <c r="AK20" s="87">
        <f t="shared" ca="1" si="9"/>
        <v>0</v>
      </c>
      <c r="AL20" s="87">
        <f t="shared" ca="1" si="9"/>
        <v>0</v>
      </c>
      <c r="AM20" s="87">
        <f t="shared" ca="1" si="9"/>
        <v>0</v>
      </c>
      <c r="AN20" s="87">
        <f t="shared" ca="1" si="9"/>
        <v>0</v>
      </c>
      <c r="AO20" s="87">
        <f t="shared" ca="1" si="10"/>
        <v>0</v>
      </c>
      <c r="AP20" s="87">
        <f t="shared" ca="1" si="10"/>
        <v>0</v>
      </c>
      <c r="AQ20" s="87">
        <f t="shared" ca="1" si="10"/>
        <v>0</v>
      </c>
      <c r="AR20" s="87">
        <f t="shared" ca="1" si="10"/>
        <v>0</v>
      </c>
      <c r="AS20" s="87">
        <f t="shared" ca="1" si="10"/>
        <v>0</v>
      </c>
      <c r="AT20" s="87">
        <f t="shared" ca="1" si="10"/>
        <v>0</v>
      </c>
      <c r="AU20" s="87">
        <f t="shared" ca="1" si="10"/>
        <v>0</v>
      </c>
      <c r="AV20" s="87">
        <f t="shared" ca="1" si="10"/>
        <v>0</v>
      </c>
      <c r="AW20" s="87">
        <f t="shared" ca="1" si="10"/>
        <v>0</v>
      </c>
      <c r="AX20" s="87">
        <f t="shared" ca="1" si="10"/>
        <v>0</v>
      </c>
      <c r="AY20" s="87">
        <f t="shared" ca="1" si="11"/>
        <v>0</v>
      </c>
      <c r="AZ20" s="87">
        <f t="shared" ca="1" si="11"/>
        <v>0</v>
      </c>
      <c r="BA20" s="87">
        <f t="shared" ca="1" si="11"/>
        <v>0</v>
      </c>
      <c r="BB20" s="87">
        <f t="shared" ca="1" si="11"/>
        <v>0</v>
      </c>
      <c r="BC20" s="87">
        <f t="shared" ca="1" si="11"/>
        <v>0</v>
      </c>
      <c r="BD20" s="87">
        <f t="shared" ca="1" si="11"/>
        <v>0</v>
      </c>
      <c r="BE20" s="87">
        <f t="shared" ca="1" si="11"/>
        <v>0</v>
      </c>
      <c r="BF20" s="87">
        <f t="shared" ca="1" si="11"/>
        <v>0</v>
      </c>
      <c r="BG20" s="87">
        <f t="shared" ca="1" si="11"/>
        <v>0</v>
      </c>
      <c r="BH20" s="87">
        <f t="shared" ca="1" si="11"/>
        <v>0</v>
      </c>
      <c r="BI20" s="87">
        <f t="shared" ca="1" si="11"/>
        <v>0</v>
      </c>
      <c r="BJ20" s="87">
        <f t="shared" ca="1" si="11"/>
        <v>0</v>
      </c>
      <c r="BK20" s="87">
        <f t="shared" ca="1" si="11"/>
        <v>0</v>
      </c>
      <c r="BL20" s="87">
        <f t="shared" ca="1" si="11"/>
        <v>0</v>
      </c>
    </row>
    <row r="21" spans="1:64" x14ac:dyDescent="0.25">
      <c r="A21" s="87">
        <f t="shared" ref="A21:J30" ca="1" si="12">IF(AND(OP="11",RAMX=DEC2BIN(COLUMN(A21)-1,8),RAMY=DEC2BIN(ROW(A21)-1,8)),DATA,A21)</f>
        <v>0</v>
      </c>
      <c r="B21" s="87">
        <f t="shared" ca="1" si="12"/>
        <v>0</v>
      </c>
      <c r="C21" s="87">
        <f t="shared" ca="1" si="12"/>
        <v>0</v>
      </c>
      <c r="D21" s="87">
        <f t="shared" ca="1" si="12"/>
        <v>0</v>
      </c>
      <c r="E21" s="87">
        <f t="shared" ca="1" si="12"/>
        <v>0</v>
      </c>
      <c r="F21" s="87">
        <f t="shared" ca="1" si="12"/>
        <v>0</v>
      </c>
      <c r="G21" s="87">
        <f t="shared" ca="1" si="12"/>
        <v>0</v>
      </c>
      <c r="H21" s="87">
        <f t="shared" ca="1" si="12"/>
        <v>0</v>
      </c>
      <c r="I21" s="87">
        <f t="shared" ca="1" si="12"/>
        <v>0</v>
      </c>
      <c r="J21" s="87">
        <f t="shared" ca="1" si="12"/>
        <v>0</v>
      </c>
      <c r="K21" s="87">
        <f t="shared" ref="K21:T30" ca="1" si="13">IF(AND(OP="11",RAMX=DEC2BIN(COLUMN(K21)-1,8),RAMY=DEC2BIN(ROW(K21)-1,8)),DATA,K21)</f>
        <v>0</v>
      </c>
      <c r="L21" s="87">
        <f t="shared" ca="1" si="13"/>
        <v>0</v>
      </c>
      <c r="M21" s="87">
        <f t="shared" ca="1" si="13"/>
        <v>0</v>
      </c>
      <c r="N21" s="87">
        <f t="shared" ca="1" si="13"/>
        <v>0</v>
      </c>
      <c r="O21" s="87">
        <f t="shared" ca="1" si="13"/>
        <v>0</v>
      </c>
      <c r="P21" s="87">
        <f t="shared" ca="1" si="13"/>
        <v>0</v>
      </c>
      <c r="Q21" s="87">
        <f t="shared" ca="1" si="13"/>
        <v>0</v>
      </c>
      <c r="R21" s="87">
        <f t="shared" ca="1" si="13"/>
        <v>0</v>
      </c>
      <c r="S21" s="87">
        <f t="shared" ca="1" si="13"/>
        <v>0</v>
      </c>
      <c r="T21" s="87">
        <f t="shared" ca="1" si="13"/>
        <v>0</v>
      </c>
      <c r="U21" s="87">
        <f t="shared" ref="U21:AD30" ca="1" si="14">IF(AND(OP="11",RAMX=DEC2BIN(COLUMN(U21)-1,8),RAMY=DEC2BIN(ROW(U21)-1,8)),DATA,U21)</f>
        <v>0</v>
      </c>
      <c r="V21" s="87">
        <f t="shared" ca="1" si="14"/>
        <v>0</v>
      </c>
      <c r="W21" s="87">
        <f t="shared" ca="1" si="14"/>
        <v>0</v>
      </c>
      <c r="X21" s="87">
        <f t="shared" ca="1" si="14"/>
        <v>0</v>
      </c>
      <c r="Y21" s="87">
        <f t="shared" ca="1" si="14"/>
        <v>0</v>
      </c>
      <c r="Z21" s="87">
        <f t="shared" ca="1" si="14"/>
        <v>0</v>
      </c>
      <c r="AA21" s="87">
        <f t="shared" ca="1" si="14"/>
        <v>0</v>
      </c>
      <c r="AB21" s="87">
        <f t="shared" ca="1" si="14"/>
        <v>0</v>
      </c>
      <c r="AC21" s="87">
        <f t="shared" ca="1" si="14"/>
        <v>0</v>
      </c>
      <c r="AD21" s="87">
        <f t="shared" ca="1" si="14"/>
        <v>0</v>
      </c>
      <c r="AE21" s="87">
        <f t="shared" ref="AE21:AN30" ca="1" si="15">IF(AND(OP="11",RAMX=DEC2BIN(COLUMN(AE21)-1,8),RAMY=DEC2BIN(ROW(AE21)-1,8)),DATA,AE21)</f>
        <v>0</v>
      </c>
      <c r="AF21" s="87">
        <f t="shared" ca="1" si="15"/>
        <v>0</v>
      </c>
      <c r="AG21" s="87">
        <f t="shared" ca="1" si="15"/>
        <v>0</v>
      </c>
      <c r="AH21" s="87">
        <f t="shared" ca="1" si="15"/>
        <v>0</v>
      </c>
      <c r="AI21" s="87">
        <f t="shared" ca="1" si="15"/>
        <v>0</v>
      </c>
      <c r="AJ21" s="87">
        <f t="shared" ca="1" si="15"/>
        <v>0</v>
      </c>
      <c r="AK21" s="87">
        <f t="shared" ca="1" si="15"/>
        <v>0</v>
      </c>
      <c r="AL21" s="87">
        <f t="shared" ca="1" si="15"/>
        <v>0</v>
      </c>
      <c r="AM21" s="87">
        <f t="shared" ca="1" si="15"/>
        <v>0</v>
      </c>
      <c r="AN21" s="87">
        <f t="shared" ca="1" si="15"/>
        <v>0</v>
      </c>
      <c r="AO21" s="87">
        <f t="shared" ref="AO21:AX30" ca="1" si="16">IF(AND(OP="11",RAMX=DEC2BIN(COLUMN(AO21)-1,8),RAMY=DEC2BIN(ROW(AO21)-1,8)),DATA,AO21)</f>
        <v>0</v>
      </c>
      <c r="AP21" s="87">
        <f t="shared" ca="1" si="16"/>
        <v>0</v>
      </c>
      <c r="AQ21" s="87">
        <f t="shared" ca="1" si="16"/>
        <v>0</v>
      </c>
      <c r="AR21" s="87">
        <f t="shared" ca="1" si="16"/>
        <v>0</v>
      </c>
      <c r="AS21" s="87">
        <f t="shared" ca="1" si="16"/>
        <v>0</v>
      </c>
      <c r="AT21" s="87">
        <f t="shared" ca="1" si="16"/>
        <v>0</v>
      </c>
      <c r="AU21" s="87">
        <f t="shared" ca="1" si="16"/>
        <v>0</v>
      </c>
      <c r="AV21" s="87">
        <f t="shared" ca="1" si="16"/>
        <v>0</v>
      </c>
      <c r="AW21" s="87">
        <f t="shared" ca="1" si="16"/>
        <v>0</v>
      </c>
      <c r="AX21" s="87">
        <f t="shared" ca="1" si="16"/>
        <v>0</v>
      </c>
      <c r="AY21" s="87">
        <f t="shared" ref="AY21:BL30" ca="1" si="17">IF(AND(OP="11",RAMX=DEC2BIN(COLUMN(AY21)-1,8),RAMY=DEC2BIN(ROW(AY21)-1,8)),DATA,AY21)</f>
        <v>0</v>
      </c>
      <c r="AZ21" s="87">
        <f t="shared" ca="1" si="17"/>
        <v>0</v>
      </c>
      <c r="BA21" s="87">
        <f t="shared" ca="1" si="17"/>
        <v>0</v>
      </c>
      <c r="BB21" s="87">
        <f t="shared" ca="1" si="17"/>
        <v>0</v>
      </c>
      <c r="BC21" s="87">
        <f t="shared" ca="1" si="17"/>
        <v>0</v>
      </c>
      <c r="BD21" s="87">
        <f t="shared" ca="1" si="17"/>
        <v>0</v>
      </c>
      <c r="BE21" s="87">
        <f t="shared" ca="1" si="17"/>
        <v>0</v>
      </c>
      <c r="BF21" s="87">
        <f t="shared" ca="1" si="17"/>
        <v>0</v>
      </c>
      <c r="BG21" s="87">
        <f t="shared" ca="1" si="17"/>
        <v>0</v>
      </c>
      <c r="BH21" s="87">
        <f t="shared" ca="1" si="17"/>
        <v>0</v>
      </c>
      <c r="BI21" s="87">
        <f t="shared" ca="1" si="17"/>
        <v>0</v>
      </c>
      <c r="BJ21" s="87">
        <f t="shared" ca="1" si="17"/>
        <v>0</v>
      </c>
      <c r="BK21" s="87">
        <f t="shared" ca="1" si="17"/>
        <v>0</v>
      </c>
      <c r="BL21" s="87">
        <f t="shared" ca="1" si="17"/>
        <v>0</v>
      </c>
    </row>
    <row r="22" spans="1:64" x14ac:dyDescent="0.25">
      <c r="A22" s="87">
        <f t="shared" ca="1" si="12"/>
        <v>0</v>
      </c>
      <c r="B22" s="87">
        <f t="shared" ca="1" si="12"/>
        <v>0</v>
      </c>
      <c r="C22" s="87">
        <f t="shared" ca="1" si="12"/>
        <v>0</v>
      </c>
      <c r="D22" s="87">
        <f t="shared" ca="1" si="12"/>
        <v>0</v>
      </c>
      <c r="E22" s="87">
        <f t="shared" ca="1" si="12"/>
        <v>0</v>
      </c>
      <c r="F22" s="87">
        <f t="shared" ca="1" si="12"/>
        <v>0</v>
      </c>
      <c r="G22" s="87">
        <f t="shared" ca="1" si="12"/>
        <v>0</v>
      </c>
      <c r="H22" s="87">
        <f t="shared" ca="1" si="12"/>
        <v>0</v>
      </c>
      <c r="I22" s="87">
        <f t="shared" ca="1" si="12"/>
        <v>0</v>
      </c>
      <c r="J22" s="87">
        <f t="shared" ca="1" si="12"/>
        <v>0</v>
      </c>
      <c r="K22" s="87">
        <f t="shared" ca="1" si="13"/>
        <v>0</v>
      </c>
      <c r="L22" s="87">
        <f t="shared" ca="1" si="13"/>
        <v>0</v>
      </c>
      <c r="M22" s="87">
        <f t="shared" ca="1" si="13"/>
        <v>0</v>
      </c>
      <c r="N22" s="87">
        <f t="shared" ca="1" si="13"/>
        <v>0</v>
      </c>
      <c r="O22" s="87">
        <f t="shared" ca="1" si="13"/>
        <v>0</v>
      </c>
      <c r="P22" s="87">
        <f t="shared" ca="1" si="13"/>
        <v>0</v>
      </c>
      <c r="Q22" s="87">
        <f t="shared" ca="1" si="13"/>
        <v>0</v>
      </c>
      <c r="R22" s="87">
        <f t="shared" ca="1" si="13"/>
        <v>0</v>
      </c>
      <c r="S22" s="87">
        <f t="shared" ca="1" si="13"/>
        <v>0</v>
      </c>
      <c r="T22" s="87">
        <f t="shared" ca="1" si="13"/>
        <v>0</v>
      </c>
      <c r="U22" s="87">
        <f t="shared" ca="1" si="14"/>
        <v>0</v>
      </c>
      <c r="V22" s="87">
        <f t="shared" ca="1" si="14"/>
        <v>0</v>
      </c>
      <c r="W22" s="87">
        <f t="shared" ca="1" si="14"/>
        <v>0</v>
      </c>
      <c r="X22" s="87">
        <f t="shared" ca="1" si="14"/>
        <v>0</v>
      </c>
      <c r="Y22" s="87">
        <f t="shared" ca="1" si="14"/>
        <v>0</v>
      </c>
      <c r="Z22" s="87">
        <f t="shared" ca="1" si="14"/>
        <v>0</v>
      </c>
      <c r="AA22" s="87">
        <f t="shared" ca="1" si="14"/>
        <v>0</v>
      </c>
      <c r="AB22" s="87">
        <f t="shared" ca="1" si="14"/>
        <v>0</v>
      </c>
      <c r="AC22" s="87">
        <f t="shared" ca="1" si="14"/>
        <v>0</v>
      </c>
      <c r="AD22" s="87">
        <f t="shared" ca="1" si="14"/>
        <v>0</v>
      </c>
      <c r="AE22" s="87">
        <f t="shared" ca="1" si="15"/>
        <v>0</v>
      </c>
      <c r="AF22" s="87">
        <f t="shared" ca="1" si="15"/>
        <v>0</v>
      </c>
      <c r="AG22" s="87">
        <f t="shared" ca="1" si="15"/>
        <v>0</v>
      </c>
      <c r="AH22" s="87">
        <f t="shared" ca="1" si="15"/>
        <v>0</v>
      </c>
      <c r="AI22" s="87">
        <f t="shared" ca="1" si="15"/>
        <v>0</v>
      </c>
      <c r="AJ22" s="87">
        <f t="shared" ca="1" si="15"/>
        <v>0</v>
      </c>
      <c r="AK22" s="87">
        <f t="shared" ca="1" si="15"/>
        <v>0</v>
      </c>
      <c r="AL22" s="87">
        <f t="shared" ca="1" si="15"/>
        <v>0</v>
      </c>
      <c r="AM22" s="87">
        <f t="shared" ca="1" si="15"/>
        <v>0</v>
      </c>
      <c r="AN22" s="87">
        <f t="shared" ca="1" si="15"/>
        <v>0</v>
      </c>
      <c r="AO22" s="87">
        <f t="shared" ca="1" si="16"/>
        <v>0</v>
      </c>
      <c r="AP22" s="87">
        <f t="shared" ca="1" si="16"/>
        <v>0</v>
      </c>
      <c r="AQ22" s="87">
        <f t="shared" ca="1" si="16"/>
        <v>0</v>
      </c>
      <c r="AR22" s="87">
        <f t="shared" ca="1" si="16"/>
        <v>0</v>
      </c>
      <c r="AS22" s="87">
        <f t="shared" ca="1" si="16"/>
        <v>0</v>
      </c>
      <c r="AT22" s="87">
        <f t="shared" ca="1" si="16"/>
        <v>0</v>
      </c>
      <c r="AU22" s="87">
        <f t="shared" ca="1" si="16"/>
        <v>0</v>
      </c>
      <c r="AV22" s="87">
        <f t="shared" ca="1" si="16"/>
        <v>0</v>
      </c>
      <c r="AW22" s="87">
        <f t="shared" ca="1" si="16"/>
        <v>0</v>
      </c>
      <c r="AX22" s="87">
        <f t="shared" ca="1" si="16"/>
        <v>0</v>
      </c>
      <c r="AY22" s="87">
        <f t="shared" ca="1" si="17"/>
        <v>0</v>
      </c>
      <c r="AZ22" s="87">
        <f t="shared" ca="1" si="17"/>
        <v>0</v>
      </c>
      <c r="BA22" s="87">
        <f t="shared" ca="1" si="17"/>
        <v>0</v>
      </c>
      <c r="BB22" s="87">
        <f t="shared" ca="1" si="17"/>
        <v>0</v>
      </c>
      <c r="BC22" s="87">
        <f t="shared" ca="1" si="17"/>
        <v>0</v>
      </c>
      <c r="BD22" s="87">
        <f t="shared" ca="1" si="17"/>
        <v>0</v>
      </c>
      <c r="BE22" s="87">
        <f t="shared" ca="1" si="17"/>
        <v>0</v>
      </c>
      <c r="BF22" s="87">
        <f t="shared" ca="1" si="17"/>
        <v>0</v>
      </c>
      <c r="BG22" s="87">
        <f t="shared" ca="1" si="17"/>
        <v>0</v>
      </c>
      <c r="BH22" s="87">
        <f t="shared" ca="1" si="17"/>
        <v>0</v>
      </c>
      <c r="BI22" s="87">
        <f t="shared" ca="1" si="17"/>
        <v>0</v>
      </c>
      <c r="BJ22" s="87">
        <f t="shared" ca="1" si="17"/>
        <v>0</v>
      </c>
      <c r="BK22" s="87">
        <f t="shared" ca="1" si="17"/>
        <v>0</v>
      </c>
      <c r="BL22" s="87">
        <f t="shared" ca="1" si="17"/>
        <v>0</v>
      </c>
    </row>
    <row r="23" spans="1:64" x14ac:dyDescent="0.25">
      <c r="A23" s="87">
        <f t="shared" ca="1" si="12"/>
        <v>0</v>
      </c>
      <c r="B23" s="87">
        <f t="shared" ca="1" si="12"/>
        <v>0</v>
      </c>
      <c r="C23" s="87">
        <f t="shared" ca="1" si="12"/>
        <v>0</v>
      </c>
      <c r="D23" s="87">
        <f t="shared" ca="1" si="12"/>
        <v>0</v>
      </c>
      <c r="E23" s="87">
        <f t="shared" ca="1" si="12"/>
        <v>0</v>
      </c>
      <c r="F23" s="87">
        <f t="shared" ca="1" si="12"/>
        <v>0</v>
      </c>
      <c r="G23" s="87">
        <f t="shared" ca="1" si="12"/>
        <v>0</v>
      </c>
      <c r="H23" s="87">
        <f t="shared" ca="1" si="12"/>
        <v>0</v>
      </c>
      <c r="I23" s="87">
        <f t="shared" ca="1" si="12"/>
        <v>0</v>
      </c>
      <c r="J23" s="87">
        <f t="shared" ca="1" si="12"/>
        <v>0</v>
      </c>
      <c r="K23" s="87">
        <f t="shared" ca="1" si="13"/>
        <v>0</v>
      </c>
      <c r="L23" s="87">
        <f t="shared" ca="1" si="13"/>
        <v>0</v>
      </c>
      <c r="M23" s="87">
        <f t="shared" ca="1" si="13"/>
        <v>0</v>
      </c>
      <c r="N23" s="87">
        <f t="shared" ca="1" si="13"/>
        <v>0</v>
      </c>
      <c r="O23" s="87">
        <f t="shared" ca="1" si="13"/>
        <v>0</v>
      </c>
      <c r="P23" s="87">
        <f t="shared" ca="1" si="13"/>
        <v>0</v>
      </c>
      <c r="Q23" s="87">
        <f t="shared" ca="1" si="13"/>
        <v>0</v>
      </c>
      <c r="R23" s="87">
        <f t="shared" ca="1" si="13"/>
        <v>0</v>
      </c>
      <c r="S23" s="87">
        <f t="shared" ca="1" si="13"/>
        <v>0</v>
      </c>
      <c r="T23" s="87">
        <f t="shared" ca="1" si="13"/>
        <v>0</v>
      </c>
      <c r="U23" s="87">
        <f t="shared" ca="1" si="14"/>
        <v>0</v>
      </c>
      <c r="V23" s="87">
        <f t="shared" ca="1" si="14"/>
        <v>0</v>
      </c>
      <c r="W23" s="87">
        <f t="shared" ca="1" si="14"/>
        <v>0</v>
      </c>
      <c r="X23" s="87">
        <f t="shared" ca="1" si="14"/>
        <v>0</v>
      </c>
      <c r="Y23" s="87">
        <f t="shared" ca="1" si="14"/>
        <v>0</v>
      </c>
      <c r="Z23" s="87">
        <f t="shared" ca="1" si="14"/>
        <v>0</v>
      </c>
      <c r="AA23" s="87">
        <f t="shared" ca="1" si="14"/>
        <v>0</v>
      </c>
      <c r="AB23" s="87">
        <f t="shared" ca="1" si="14"/>
        <v>0</v>
      </c>
      <c r="AC23" s="87">
        <f t="shared" ca="1" si="14"/>
        <v>0</v>
      </c>
      <c r="AD23" s="87">
        <f t="shared" ca="1" si="14"/>
        <v>0</v>
      </c>
      <c r="AE23" s="87">
        <f t="shared" ca="1" si="15"/>
        <v>0</v>
      </c>
      <c r="AF23" s="87">
        <f t="shared" ca="1" si="15"/>
        <v>0</v>
      </c>
      <c r="AG23" s="87">
        <f t="shared" ca="1" si="15"/>
        <v>0</v>
      </c>
      <c r="AH23" s="87">
        <f t="shared" ca="1" si="15"/>
        <v>0</v>
      </c>
      <c r="AI23" s="87">
        <f t="shared" ca="1" si="15"/>
        <v>0</v>
      </c>
      <c r="AJ23" s="87">
        <f t="shared" ca="1" si="15"/>
        <v>0</v>
      </c>
      <c r="AK23" s="87">
        <f t="shared" ca="1" si="15"/>
        <v>0</v>
      </c>
      <c r="AL23" s="87">
        <f t="shared" ca="1" si="15"/>
        <v>0</v>
      </c>
      <c r="AM23" s="87">
        <f t="shared" ca="1" si="15"/>
        <v>0</v>
      </c>
      <c r="AN23" s="87">
        <f t="shared" ca="1" si="15"/>
        <v>0</v>
      </c>
      <c r="AO23" s="87">
        <f t="shared" ca="1" si="16"/>
        <v>0</v>
      </c>
      <c r="AP23" s="87">
        <f t="shared" ca="1" si="16"/>
        <v>0</v>
      </c>
      <c r="AQ23" s="87">
        <f t="shared" ca="1" si="16"/>
        <v>0</v>
      </c>
      <c r="AR23" s="87">
        <f t="shared" ca="1" si="16"/>
        <v>0</v>
      </c>
      <c r="AS23" s="87">
        <f t="shared" ca="1" si="16"/>
        <v>0</v>
      </c>
      <c r="AT23" s="87">
        <f t="shared" ca="1" si="16"/>
        <v>0</v>
      </c>
      <c r="AU23" s="87">
        <f t="shared" ca="1" si="16"/>
        <v>0</v>
      </c>
      <c r="AV23" s="87">
        <f t="shared" ca="1" si="16"/>
        <v>0</v>
      </c>
      <c r="AW23" s="87">
        <f t="shared" ca="1" si="16"/>
        <v>0</v>
      </c>
      <c r="AX23" s="87">
        <f t="shared" ca="1" si="16"/>
        <v>0</v>
      </c>
      <c r="AY23" s="87">
        <f t="shared" ca="1" si="17"/>
        <v>0</v>
      </c>
      <c r="AZ23" s="87">
        <f t="shared" ca="1" si="17"/>
        <v>0</v>
      </c>
      <c r="BA23" s="87">
        <f t="shared" ca="1" si="17"/>
        <v>0</v>
      </c>
      <c r="BB23" s="87">
        <f t="shared" ca="1" si="17"/>
        <v>0</v>
      </c>
      <c r="BC23" s="87">
        <f t="shared" ca="1" si="17"/>
        <v>0</v>
      </c>
      <c r="BD23" s="87">
        <f t="shared" ca="1" si="17"/>
        <v>0</v>
      </c>
      <c r="BE23" s="87">
        <f t="shared" ca="1" si="17"/>
        <v>0</v>
      </c>
      <c r="BF23" s="87">
        <f t="shared" ca="1" si="17"/>
        <v>0</v>
      </c>
      <c r="BG23" s="87">
        <f t="shared" ca="1" si="17"/>
        <v>0</v>
      </c>
      <c r="BH23" s="87">
        <f t="shared" ca="1" si="17"/>
        <v>0</v>
      </c>
      <c r="BI23" s="87">
        <f t="shared" ca="1" si="17"/>
        <v>0</v>
      </c>
      <c r="BJ23" s="87">
        <f t="shared" ca="1" si="17"/>
        <v>0</v>
      </c>
      <c r="BK23" s="87">
        <f t="shared" ca="1" si="17"/>
        <v>0</v>
      </c>
      <c r="BL23" s="87">
        <f t="shared" ca="1" si="17"/>
        <v>0</v>
      </c>
    </row>
    <row r="24" spans="1:64" x14ac:dyDescent="0.25">
      <c r="A24" s="87">
        <f t="shared" ca="1" si="12"/>
        <v>0</v>
      </c>
      <c r="B24" s="87">
        <f t="shared" ca="1" si="12"/>
        <v>0</v>
      </c>
      <c r="C24" s="87">
        <f t="shared" ca="1" si="12"/>
        <v>0</v>
      </c>
      <c r="D24" s="87">
        <f t="shared" ca="1" si="12"/>
        <v>0</v>
      </c>
      <c r="E24" s="87">
        <f t="shared" ca="1" si="12"/>
        <v>0</v>
      </c>
      <c r="F24" s="87">
        <f t="shared" ca="1" si="12"/>
        <v>0</v>
      </c>
      <c r="G24" s="87">
        <f t="shared" ca="1" si="12"/>
        <v>0</v>
      </c>
      <c r="H24" s="87">
        <f t="shared" ca="1" si="12"/>
        <v>0</v>
      </c>
      <c r="I24" s="87">
        <f t="shared" ca="1" si="12"/>
        <v>0</v>
      </c>
      <c r="J24" s="87">
        <f t="shared" ca="1" si="12"/>
        <v>0</v>
      </c>
      <c r="K24" s="87">
        <f t="shared" ca="1" si="13"/>
        <v>0</v>
      </c>
      <c r="L24" s="87">
        <f t="shared" ca="1" si="13"/>
        <v>0</v>
      </c>
      <c r="M24" s="87">
        <f t="shared" ca="1" si="13"/>
        <v>0</v>
      </c>
      <c r="N24" s="87">
        <f t="shared" ca="1" si="13"/>
        <v>0</v>
      </c>
      <c r="O24" s="87">
        <f t="shared" ca="1" si="13"/>
        <v>0</v>
      </c>
      <c r="P24" s="87">
        <f t="shared" ca="1" si="13"/>
        <v>0</v>
      </c>
      <c r="Q24" s="87">
        <f t="shared" ca="1" si="13"/>
        <v>0</v>
      </c>
      <c r="R24" s="87">
        <f t="shared" ca="1" si="13"/>
        <v>0</v>
      </c>
      <c r="S24" s="87">
        <f t="shared" ca="1" si="13"/>
        <v>0</v>
      </c>
      <c r="T24" s="87">
        <f t="shared" ca="1" si="13"/>
        <v>0</v>
      </c>
      <c r="U24" s="87">
        <f t="shared" ca="1" si="14"/>
        <v>0</v>
      </c>
      <c r="V24" s="87">
        <f t="shared" ca="1" si="14"/>
        <v>0</v>
      </c>
      <c r="W24" s="87">
        <f t="shared" ca="1" si="14"/>
        <v>0</v>
      </c>
      <c r="X24" s="87">
        <f t="shared" ca="1" si="14"/>
        <v>0</v>
      </c>
      <c r="Y24" s="87">
        <f t="shared" ca="1" si="14"/>
        <v>0</v>
      </c>
      <c r="Z24" s="87">
        <f t="shared" ca="1" si="14"/>
        <v>0</v>
      </c>
      <c r="AA24" s="87">
        <f t="shared" ca="1" si="14"/>
        <v>0</v>
      </c>
      <c r="AB24" s="87">
        <f t="shared" ca="1" si="14"/>
        <v>0</v>
      </c>
      <c r="AC24" s="87">
        <f t="shared" ca="1" si="14"/>
        <v>0</v>
      </c>
      <c r="AD24" s="87">
        <f t="shared" ca="1" si="14"/>
        <v>0</v>
      </c>
      <c r="AE24" s="87">
        <f t="shared" ca="1" si="15"/>
        <v>0</v>
      </c>
      <c r="AF24" s="87">
        <f t="shared" ca="1" si="15"/>
        <v>0</v>
      </c>
      <c r="AG24" s="87">
        <f t="shared" ca="1" si="15"/>
        <v>0</v>
      </c>
      <c r="AH24" s="87">
        <f t="shared" ca="1" si="15"/>
        <v>0</v>
      </c>
      <c r="AI24" s="87">
        <f t="shared" ca="1" si="15"/>
        <v>0</v>
      </c>
      <c r="AJ24" s="87">
        <f t="shared" ca="1" si="15"/>
        <v>0</v>
      </c>
      <c r="AK24" s="87">
        <f t="shared" ca="1" si="15"/>
        <v>0</v>
      </c>
      <c r="AL24" s="87">
        <f t="shared" ca="1" si="15"/>
        <v>0</v>
      </c>
      <c r="AM24" s="87">
        <f t="shared" ca="1" si="15"/>
        <v>0</v>
      </c>
      <c r="AN24" s="87">
        <f t="shared" ca="1" si="15"/>
        <v>0</v>
      </c>
      <c r="AO24" s="87">
        <f t="shared" ca="1" si="16"/>
        <v>0</v>
      </c>
      <c r="AP24" s="87">
        <f t="shared" ca="1" si="16"/>
        <v>0</v>
      </c>
      <c r="AQ24" s="87">
        <f t="shared" ca="1" si="16"/>
        <v>0</v>
      </c>
      <c r="AR24" s="87">
        <f t="shared" ca="1" si="16"/>
        <v>0</v>
      </c>
      <c r="AS24" s="87">
        <f t="shared" ca="1" si="16"/>
        <v>0</v>
      </c>
      <c r="AT24" s="87">
        <f t="shared" ca="1" si="16"/>
        <v>0</v>
      </c>
      <c r="AU24" s="87">
        <f t="shared" ca="1" si="16"/>
        <v>0</v>
      </c>
      <c r="AV24" s="87">
        <f t="shared" ca="1" si="16"/>
        <v>0</v>
      </c>
      <c r="AW24" s="87">
        <f t="shared" ca="1" si="16"/>
        <v>0</v>
      </c>
      <c r="AX24" s="87">
        <f t="shared" ca="1" si="16"/>
        <v>0</v>
      </c>
      <c r="AY24" s="87">
        <f t="shared" ca="1" si="17"/>
        <v>0</v>
      </c>
      <c r="AZ24" s="87">
        <f t="shared" ca="1" si="17"/>
        <v>0</v>
      </c>
      <c r="BA24" s="87">
        <f t="shared" ca="1" si="17"/>
        <v>0</v>
      </c>
      <c r="BB24" s="87">
        <f t="shared" ca="1" si="17"/>
        <v>0</v>
      </c>
      <c r="BC24" s="87">
        <f t="shared" ca="1" si="17"/>
        <v>0</v>
      </c>
      <c r="BD24" s="87">
        <f t="shared" ca="1" si="17"/>
        <v>0</v>
      </c>
      <c r="BE24" s="87">
        <f t="shared" ca="1" si="17"/>
        <v>0</v>
      </c>
      <c r="BF24" s="87">
        <f t="shared" ca="1" si="17"/>
        <v>0</v>
      </c>
      <c r="BG24" s="87">
        <f t="shared" ca="1" si="17"/>
        <v>0</v>
      </c>
      <c r="BH24" s="87">
        <f t="shared" ca="1" si="17"/>
        <v>0</v>
      </c>
      <c r="BI24" s="87">
        <f t="shared" ca="1" si="17"/>
        <v>0</v>
      </c>
      <c r="BJ24" s="87">
        <f t="shared" ca="1" si="17"/>
        <v>0</v>
      </c>
      <c r="BK24" s="87">
        <f t="shared" ca="1" si="17"/>
        <v>0</v>
      </c>
      <c r="BL24" s="87">
        <f t="shared" ca="1" si="17"/>
        <v>0</v>
      </c>
    </row>
    <row r="25" spans="1:64" x14ac:dyDescent="0.25">
      <c r="A25" s="87">
        <f t="shared" ca="1" si="12"/>
        <v>0</v>
      </c>
      <c r="B25" s="87">
        <f t="shared" ca="1" si="12"/>
        <v>0</v>
      </c>
      <c r="C25" s="87">
        <f t="shared" ca="1" si="12"/>
        <v>0</v>
      </c>
      <c r="D25" s="87">
        <f t="shared" ca="1" si="12"/>
        <v>0</v>
      </c>
      <c r="E25" s="87">
        <f t="shared" ca="1" si="12"/>
        <v>0</v>
      </c>
      <c r="F25" s="87">
        <f t="shared" ca="1" si="12"/>
        <v>0</v>
      </c>
      <c r="G25" s="87">
        <f t="shared" ca="1" si="12"/>
        <v>0</v>
      </c>
      <c r="H25" s="87">
        <f t="shared" ca="1" si="12"/>
        <v>0</v>
      </c>
      <c r="I25" s="87">
        <f t="shared" ca="1" si="12"/>
        <v>0</v>
      </c>
      <c r="J25" s="87">
        <f t="shared" ca="1" si="12"/>
        <v>0</v>
      </c>
      <c r="K25" s="87">
        <f t="shared" ca="1" si="13"/>
        <v>0</v>
      </c>
      <c r="L25" s="87">
        <f t="shared" ca="1" si="13"/>
        <v>0</v>
      </c>
      <c r="M25" s="87">
        <f t="shared" ca="1" si="13"/>
        <v>0</v>
      </c>
      <c r="N25" s="87">
        <f t="shared" ca="1" si="13"/>
        <v>0</v>
      </c>
      <c r="O25" s="87">
        <f t="shared" ca="1" si="13"/>
        <v>0</v>
      </c>
      <c r="P25" s="87">
        <f t="shared" ca="1" si="13"/>
        <v>0</v>
      </c>
      <c r="Q25" s="87">
        <f t="shared" ca="1" si="13"/>
        <v>0</v>
      </c>
      <c r="R25" s="87">
        <f t="shared" ca="1" si="13"/>
        <v>0</v>
      </c>
      <c r="S25" s="87">
        <f t="shared" ca="1" si="13"/>
        <v>0</v>
      </c>
      <c r="T25" s="87">
        <f t="shared" ca="1" si="13"/>
        <v>0</v>
      </c>
      <c r="U25" s="87">
        <f t="shared" ca="1" si="14"/>
        <v>0</v>
      </c>
      <c r="V25" s="87">
        <f t="shared" ca="1" si="14"/>
        <v>0</v>
      </c>
      <c r="W25" s="87">
        <f t="shared" ca="1" si="14"/>
        <v>0</v>
      </c>
      <c r="X25" s="87">
        <f t="shared" ca="1" si="14"/>
        <v>0</v>
      </c>
      <c r="Y25" s="87">
        <f t="shared" ca="1" si="14"/>
        <v>0</v>
      </c>
      <c r="Z25" s="87">
        <f t="shared" ca="1" si="14"/>
        <v>0</v>
      </c>
      <c r="AA25" s="87">
        <f t="shared" ca="1" si="14"/>
        <v>0</v>
      </c>
      <c r="AB25" s="87">
        <f t="shared" ca="1" si="14"/>
        <v>0</v>
      </c>
      <c r="AC25" s="87">
        <f t="shared" ca="1" si="14"/>
        <v>0</v>
      </c>
      <c r="AD25" s="87">
        <f t="shared" ca="1" si="14"/>
        <v>0</v>
      </c>
      <c r="AE25" s="87">
        <f t="shared" ca="1" si="15"/>
        <v>0</v>
      </c>
      <c r="AF25" s="87">
        <f t="shared" ca="1" si="15"/>
        <v>0</v>
      </c>
      <c r="AG25" s="87">
        <f t="shared" ca="1" si="15"/>
        <v>0</v>
      </c>
      <c r="AH25" s="87">
        <f t="shared" ca="1" si="15"/>
        <v>0</v>
      </c>
      <c r="AI25" s="87">
        <f t="shared" ca="1" si="15"/>
        <v>0</v>
      </c>
      <c r="AJ25" s="87">
        <f t="shared" ca="1" si="15"/>
        <v>0</v>
      </c>
      <c r="AK25" s="87">
        <f t="shared" ca="1" si="15"/>
        <v>0</v>
      </c>
      <c r="AL25" s="87">
        <f t="shared" ca="1" si="15"/>
        <v>0</v>
      </c>
      <c r="AM25" s="87">
        <f t="shared" ca="1" si="15"/>
        <v>0</v>
      </c>
      <c r="AN25" s="87">
        <f t="shared" ca="1" si="15"/>
        <v>0</v>
      </c>
      <c r="AO25" s="87">
        <f t="shared" ca="1" si="16"/>
        <v>0</v>
      </c>
      <c r="AP25" s="87">
        <f t="shared" ca="1" si="16"/>
        <v>0</v>
      </c>
      <c r="AQ25" s="87">
        <f t="shared" ca="1" si="16"/>
        <v>0</v>
      </c>
      <c r="AR25" s="87">
        <f t="shared" ca="1" si="16"/>
        <v>0</v>
      </c>
      <c r="AS25" s="87">
        <f t="shared" ca="1" si="16"/>
        <v>0</v>
      </c>
      <c r="AT25" s="87">
        <f t="shared" ca="1" si="16"/>
        <v>0</v>
      </c>
      <c r="AU25" s="87">
        <f t="shared" ca="1" si="16"/>
        <v>0</v>
      </c>
      <c r="AV25" s="87">
        <f t="shared" ca="1" si="16"/>
        <v>0</v>
      </c>
      <c r="AW25" s="87">
        <f t="shared" ca="1" si="16"/>
        <v>0</v>
      </c>
      <c r="AX25" s="87">
        <f t="shared" ca="1" si="16"/>
        <v>0</v>
      </c>
      <c r="AY25" s="87">
        <f t="shared" ca="1" si="17"/>
        <v>0</v>
      </c>
      <c r="AZ25" s="87">
        <f t="shared" ca="1" si="17"/>
        <v>0</v>
      </c>
      <c r="BA25" s="87">
        <f t="shared" ca="1" si="17"/>
        <v>0</v>
      </c>
      <c r="BB25" s="87">
        <f t="shared" ca="1" si="17"/>
        <v>0</v>
      </c>
      <c r="BC25" s="87">
        <f t="shared" ca="1" si="17"/>
        <v>0</v>
      </c>
      <c r="BD25" s="87">
        <f t="shared" ca="1" si="17"/>
        <v>0</v>
      </c>
      <c r="BE25" s="87">
        <f t="shared" ca="1" si="17"/>
        <v>0</v>
      </c>
      <c r="BF25" s="87">
        <f t="shared" ca="1" si="17"/>
        <v>0</v>
      </c>
      <c r="BG25" s="87">
        <f t="shared" ca="1" si="17"/>
        <v>0</v>
      </c>
      <c r="BH25" s="87">
        <f t="shared" ca="1" si="17"/>
        <v>0</v>
      </c>
      <c r="BI25" s="87">
        <f t="shared" ca="1" si="17"/>
        <v>0</v>
      </c>
      <c r="BJ25" s="87">
        <f t="shared" ca="1" si="17"/>
        <v>0</v>
      </c>
      <c r="BK25" s="87">
        <f t="shared" ca="1" si="17"/>
        <v>0</v>
      </c>
      <c r="BL25" s="87">
        <f t="shared" ca="1" si="17"/>
        <v>0</v>
      </c>
    </row>
    <row r="26" spans="1:64" x14ac:dyDescent="0.25">
      <c r="A26" s="87">
        <f t="shared" ca="1" si="12"/>
        <v>0</v>
      </c>
      <c r="B26" s="87">
        <f t="shared" ca="1" si="12"/>
        <v>0</v>
      </c>
      <c r="C26" s="87">
        <f t="shared" ca="1" si="12"/>
        <v>0</v>
      </c>
      <c r="D26" s="87">
        <f t="shared" ca="1" si="12"/>
        <v>0</v>
      </c>
      <c r="E26" s="87">
        <f t="shared" ca="1" si="12"/>
        <v>0</v>
      </c>
      <c r="F26" s="87">
        <f t="shared" ca="1" si="12"/>
        <v>0</v>
      </c>
      <c r="G26" s="87">
        <f t="shared" ca="1" si="12"/>
        <v>0</v>
      </c>
      <c r="H26" s="87">
        <f t="shared" ca="1" si="12"/>
        <v>0</v>
      </c>
      <c r="I26" s="87">
        <f t="shared" ca="1" si="12"/>
        <v>0</v>
      </c>
      <c r="J26" s="87">
        <f t="shared" ca="1" si="12"/>
        <v>0</v>
      </c>
      <c r="K26" s="87">
        <f t="shared" ca="1" si="13"/>
        <v>0</v>
      </c>
      <c r="L26" s="87">
        <f t="shared" ca="1" si="13"/>
        <v>0</v>
      </c>
      <c r="M26" s="87">
        <f t="shared" ca="1" si="13"/>
        <v>0</v>
      </c>
      <c r="N26" s="87">
        <f t="shared" ca="1" si="13"/>
        <v>0</v>
      </c>
      <c r="O26" s="87">
        <f t="shared" ca="1" si="13"/>
        <v>0</v>
      </c>
      <c r="P26" s="87">
        <f t="shared" ca="1" si="13"/>
        <v>0</v>
      </c>
      <c r="Q26" s="87">
        <f t="shared" ca="1" si="13"/>
        <v>0</v>
      </c>
      <c r="R26" s="87">
        <f t="shared" ca="1" si="13"/>
        <v>0</v>
      </c>
      <c r="S26" s="87">
        <f t="shared" ca="1" si="13"/>
        <v>0</v>
      </c>
      <c r="T26" s="87">
        <f t="shared" ca="1" si="13"/>
        <v>0</v>
      </c>
      <c r="U26" s="87">
        <f t="shared" ca="1" si="14"/>
        <v>0</v>
      </c>
      <c r="V26" s="87">
        <f t="shared" ca="1" si="14"/>
        <v>0</v>
      </c>
      <c r="W26" s="87">
        <f t="shared" ca="1" si="14"/>
        <v>0</v>
      </c>
      <c r="X26" s="87">
        <f t="shared" ca="1" si="14"/>
        <v>0</v>
      </c>
      <c r="Y26" s="87">
        <f t="shared" ca="1" si="14"/>
        <v>0</v>
      </c>
      <c r="Z26" s="87">
        <f t="shared" ca="1" si="14"/>
        <v>0</v>
      </c>
      <c r="AA26" s="87">
        <f t="shared" ca="1" si="14"/>
        <v>0</v>
      </c>
      <c r="AB26" s="87">
        <f t="shared" ca="1" si="14"/>
        <v>0</v>
      </c>
      <c r="AC26" s="87">
        <f t="shared" ca="1" si="14"/>
        <v>0</v>
      </c>
      <c r="AD26" s="87">
        <f t="shared" ca="1" si="14"/>
        <v>0</v>
      </c>
      <c r="AE26" s="87">
        <f t="shared" ca="1" si="15"/>
        <v>0</v>
      </c>
      <c r="AF26" s="87">
        <f t="shared" ca="1" si="15"/>
        <v>0</v>
      </c>
      <c r="AG26" s="87">
        <f t="shared" ca="1" si="15"/>
        <v>0</v>
      </c>
      <c r="AH26" s="87">
        <f t="shared" ca="1" si="15"/>
        <v>0</v>
      </c>
      <c r="AI26" s="87">
        <f t="shared" ca="1" si="15"/>
        <v>0</v>
      </c>
      <c r="AJ26" s="87">
        <f t="shared" ca="1" si="15"/>
        <v>0</v>
      </c>
      <c r="AK26" s="87">
        <f t="shared" ca="1" si="15"/>
        <v>0</v>
      </c>
      <c r="AL26" s="87">
        <f t="shared" ca="1" si="15"/>
        <v>0</v>
      </c>
      <c r="AM26" s="87">
        <f t="shared" ca="1" si="15"/>
        <v>0</v>
      </c>
      <c r="AN26" s="87">
        <f t="shared" ca="1" si="15"/>
        <v>0</v>
      </c>
      <c r="AO26" s="87">
        <f t="shared" ca="1" si="16"/>
        <v>0</v>
      </c>
      <c r="AP26" s="87">
        <f t="shared" ca="1" si="16"/>
        <v>0</v>
      </c>
      <c r="AQ26" s="87">
        <f t="shared" ca="1" si="16"/>
        <v>0</v>
      </c>
      <c r="AR26" s="87">
        <f t="shared" ca="1" si="16"/>
        <v>0</v>
      </c>
      <c r="AS26" s="87">
        <f t="shared" ca="1" si="16"/>
        <v>0</v>
      </c>
      <c r="AT26" s="87">
        <f t="shared" ca="1" si="16"/>
        <v>0</v>
      </c>
      <c r="AU26" s="87">
        <f t="shared" ca="1" si="16"/>
        <v>0</v>
      </c>
      <c r="AV26" s="87">
        <f t="shared" ca="1" si="16"/>
        <v>0</v>
      </c>
      <c r="AW26" s="87">
        <f t="shared" ca="1" si="16"/>
        <v>0</v>
      </c>
      <c r="AX26" s="87">
        <f t="shared" ca="1" si="16"/>
        <v>0</v>
      </c>
      <c r="AY26" s="87">
        <f t="shared" ca="1" si="17"/>
        <v>0</v>
      </c>
      <c r="AZ26" s="87">
        <f t="shared" ca="1" si="17"/>
        <v>0</v>
      </c>
      <c r="BA26" s="87">
        <f t="shared" ca="1" si="17"/>
        <v>0</v>
      </c>
      <c r="BB26" s="87">
        <f t="shared" ca="1" si="17"/>
        <v>0</v>
      </c>
      <c r="BC26" s="87">
        <f t="shared" ca="1" si="17"/>
        <v>0</v>
      </c>
      <c r="BD26" s="87">
        <f t="shared" ca="1" si="17"/>
        <v>0</v>
      </c>
      <c r="BE26" s="87">
        <f t="shared" ca="1" si="17"/>
        <v>0</v>
      </c>
      <c r="BF26" s="87">
        <f t="shared" ca="1" si="17"/>
        <v>0</v>
      </c>
      <c r="BG26" s="87">
        <f t="shared" ca="1" si="17"/>
        <v>0</v>
      </c>
      <c r="BH26" s="87">
        <f t="shared" ca="1" si="17"/>
        <v>0</v>
      </c>
      <c r="BI26" s="87">
        <f t="shared" ca="1" si="17"/>
        <v>0</v>
      </c>
      <c r="BJ26" s="87">
        <f t="shared" ca="1" si="17"/>
        <v>0</v>
      </c>
      <c r="BK26" s="87">
        <f t="shared" ca="1" si="17"/>
        <v>0</v>
      </c>
      <c r="BL26" s="87">
        <f t="shared" ca="1" si="17"/>
        <v>0</v>
      </c>
    </row>
    <row r="27" spans="1:64" x14ac:dyDescent="0.25">
      <c r="A27" s="87">
        <f t="shared" ca="1" si="12"/>
        <v>0</v>
      </c>
      <c r="B27" s="87">
        <f t="shared" ca="1" si="12"/>
        <v>0</v>
      </c>
      <c r="C27" s="87">
        <f t="shared" ca="1" si="12"/>
        <v>0</v>
      </c>
      <c r="D27" s="87">
        <f t="shared" ca="1" si="12"/>
        <v>0</v>
      </c>
      <c r="E27" s="87">
        <f t="shared" ca="1" si="12"/>
        <v>0</v>
      </c>
      <c r="F27" s="87">
        <f t="shared" ca="1" si="12"/>
        <v>0</v>
      </c>
      <c r="G27" s="87">
        <f t="shared" ca="1" si="12"/>
        <v>0</v>
      </c>
      <c r="H27" s="87">
        <f t="shared" ca="1" si="12"/>
        <v>0</v>
      </c>
      <c r="I27" s="87">
        <f t="shared" ca="1" si="12"/>
        <v>0</v>
      </c>
      <c r="J27" s="87">
        <f t="shared" ca="1" si="12"/>
        <v>0</v>
      </c>
      <c r="K27" s="87">
        <f t="shared" ca="1" si="13"/>
        <v>0</v>
      </c>
      <c r="L27" s="87">
        <f t="shared" ca="1" si="13"/>
        <v>0</v>
      </c>
      <c r="M27" s="87">
        <f t="shared" ca="1" si="13"/>
        <v>0</v>
      </c>
      <c r="N27" s="87">
        <f t="shared" ca="1" si="13"/>
        <v>0</v>
      </c>
      <c r="O27" s="87">
        <f t="shared" ca="1" si="13"/>
        <v>0</v>
      </c>
      <c r="P27" s="87">
        <f t="shared" ca="1" si="13"/>
        <v>0</v>
      </c>
      <c r="Q27" s="87">
        <f t="shared" ca="1" si="13"/>
        <v>0</v>
      </c>
      <c r="R27" s="87">
        <f t="shared" ca="1" si="13"/>
        <v>0</v>
      </c>
      <c r="S27" s="87">
        <f t="shared" ca="1" si="13"/>
        <v>0</v>
      </c>
      <c r="T27" s="87">
        <f t="shared" ca="1" si="13"/>
        <v>0</v>
      </c>
      <c r="U27" s="87">
        <f t="shared" ca="1" si="14"/>
        <v>0</v>
      </c>
      <c r="V27" s="87">
        <f t="shared" ca="1" si="14"/>
        <v>0</v>
      </c>
      <c r="W27" s="87">
        <f t="shared" ca="1" si="14"/>
        <v>0</v>
      </c>
      <c r="X27" s="87">
        <f t="shared" ca="1" si="14"/>
        <v>0</v>
      </c>
      <c r="Y27" s="87">
        <f t="shared" ca="1" si="14"/>
        <v>0</v>
      </c>
      <c r="Z27" s="87">
        <f t="shared" ca="1" si="14"/>
        <v>0</v>
      </c>
      <c r="AA27" s="87">
        <f t="shared" ca="1" si="14"/>
        <v>0</v>
      </c>
      <c r="AB27" s="87">
        <f t="shared" ca="1" si="14"/>
        <v>0</v>
      </c>
      <c r="AC27" s="87">
        <f t="shared" ca="1" si="14"/>
        <v>0</v>
      </c>
      <c r="AD27" s="87">
        <f t="shared" ca="1" si="14"/>
        <v>0</v>
      </c>
      <c r="AE27" s="87">
        <f t="shared" ca="1" si="15"/>
        <v>0</v>
      </c>
      <c r="AF27" s="87">
        <f t="shared" ca="1" si="15"/>
        <v>0</v>
      </c>
      <c r="AG27" s="87">
        <f t="shared" ca="1" si="15"/>
        <v>0</v>
      </c>
      <c r="AH27" s="87">
        <f t="shared" ca="1" si="15"/>
        <v>0</v>
      </c>
      <c r="AI27" s="87">
        <f t="shared" ca="1" si="15"/>
        <v>0</v>
      </c>
      <c r="AJ27" s="87">
        <f t="shared" ca="1" si="15"/>
        <v>0</v>
      </c>
      <c r="AK27" s="87">
        <f t="shared" ca="1" si="15"/>
        <v>0</v>
      </c>
      <c r="AL27" s="87">
        <f t="shared" ca="1" si="15"/>
        <v>0</v>
      </c>
      <c r="AM27" s="87">
        <f t="shared" ca="1" si="15"/>
        <v>0</v>
      </c>
      <c r="AN27" s="87">
        <f t="shared" ca="1" si="15"/>
        <v>0</v>
      </c>
      <c r="AO27" s="87">
        <f t="shared" ca="1" si="16"/>
        <v>0</v>
      </c>
      <c r="AP27" s="87">
        <f t="shared" ca="1" si="16"/>
        <v>0</v>
      </c>
      <c r="AQ27" s="87">
        <f t="shared" ca="1" si="16"/>
        <v>0</v>
      </c>
      <c r="AR27" s="87">
        <f t="shared" ca="1" si="16"/>
        <v>0</v>
      </c>
      <c r="AS27" s="87">
        <f t="shared" ca="1" si="16"/>
        <v>0</v>
      </c>
      <c r="AT27" s="87">
        <f t="shared" ca="1" si="16"/>
        <v>0</v>
      </c>
      <c r="AU27" s="87">
        <f t="shared" ca="1" si="16"/>
        <v>0</v>
      </c>
      <c r="AV27" s="87">
        <f t="shared" ca="1" si="16"/>
        <v>0</v>
      </c>
      <c r="AW27" s="87">
        <f t="shared" ca="1" si="16"/>
        <v>0</v>
      </c>
      <c r="AX27" s="87">
        <f t="shared" ca="1" si="16"/>
        <v>0</v>
      </c>
      <c r="AY27" s="87">
        <f t="shared" ca="1" si="17"/>
        <v>0</v>
      </c>
      <c r="AZ27" s="87">
        <f t="shared" ca="1" si="17"/>
        <v>0</v>
      </c>
      <c r="BA27" s="87">
        <f t="shared" ca="1" si="17"/>
        <v>0</v>
      </c>
      <c r="BB27" s="87">
        <f t="shared" ca="1" si="17"/>
        <v>0</v>
      </c>
      <c r="BC27" s="87">
        <f t="shared" ca="1" si="17"/>
        <v>0</v>
      </c>
      <c r="BD27" s="87">
        <f t="shared" ca="1" si="17"/>
        <v>0</v>
      </c>
      <c r="BE27" s="87">
        <f t="shared" ca="1" si="17"/>
        <v>0</v>
      </c>
      <c r="BF27" s="87">
        <f t="shared" ca="1" si="17"/>
        <v>0</v>
      </c>
      <c r="BG27" s="87">
        <f t="shared" ca="1" si="17"/>
        <v>0</v>
      </c>
      <c r="BH27" s="87">
        <f t="shared" ca="1" si="17"/>
        <v>0</v>
      </c>
      <c r="BI27" s="87">
        <f t="shared" ca="1" si="17"/>
        <v>0</v>
      </c>
      <c r="BJ27" s="87">
        <f t="shared" ca="1" si="17"/>
        <v>0</v>
      </c>
      <c r="BK27" s="87">
        <f t="shared" ca="1" si="17"/>
        <v>0</v>
      </c>
      <c r="BL27" s="87">
        <f t="shared" ca="1" si="17"/>
        <v>0</v>
      </c>
    </row>
    <row r="28" spans="1:64" x14ac:dyDescent="0.25">
      <c r="A28" s="87">
        <f t="shared" ca="1" si="12"/>
        <v>0</v>
      </c>
      <c r="B28" s="87">
        <f t="shared" ca="1" si="12"/>
        <v>0</v>
      </c>
      <c r="C28" s="87">
        <f t="shared" ca="1" si="12"/>
        <v>0</v>
      </c>
      <c r="D28" s="87">
        <f t="shared" ca="1" si="12"/>
        <v>0</v>
      </c>
      <c r="E28" s="87">
        <f t="shared" ca="1" si="12"/>
        <v>0</v>
      </c>
      <c r="F28" s="87">
        <f t="shared" ca="1" si="12"/>
        <v>0</v>
      </c>
      <c r="G28" s="87">
        <f t="shared" ca="1" si="12"/>
        <v>0</v>
      </c>
      <c r="H28" s="87">
        <f t="shared" ca="1" si="12"/>
        <v>0</v>
      </c>
      <c r="I28" s="87">
        <f t="shared" ca="1" si="12"/>
        <v>0</v>
      </c>
      <c r="J28" s="87">
        <f t="shared" ca="1" si="12"/>
        <v>0</v>
      </c>
      <c r="K28" s="87">
        <f t="shared" ca="1" si="13"/>
        <v>0</v>
      </c>
      <c r="L28" s="87">
        <f t="shared" ca="1" si="13"/>
        <v>0</v>
      </c>
      <c r="M28" s="87">
        <f t="shared" ca="1" si="13"/>
        <v>0</v>
      </c>
      <c r="N28" s="87">
        <f t="shared" ca="1" si="13"/>
        <v>0</v>
      </c>
      <c r="O28" s="87">
        <f t="shared" ca="1" si="13"/>
        <v>0</v>
      </c>
      <c r="P28" s="87">
        <f t="shared" ca="1" si="13"/>
        <v>0</v>
      </c>
      <c r="Q28" s="87">
        <f t="shared" ca="1" si="13"/>
        <v>0</v>
      </c>
      <c r="R28" s="87">
        <f t="shared" ca="1" si="13"/>
        <v>0</v>
      </c>
      <c r="S28" s="87">
        <f t="shared" ca="1" si="13"/>
        <v>0</v>
      </c>
      <c r="T28" s="87">
        <f t="shared" ca="1" si="13"/>
        <v>0</v>
      </c>
      <c r="U28" s="87">
        <f t="shared" ca="1" si="14"/>
        <v>0</v>
      </c>
      <c r="V28" s="87">
        <f t="shared" ca="1" si="14"/>
        <v>0</v>
      </c>
      <c r="W28" s="87">
        <f t="shared" ca="1" si="14"/>
        <v>0</v>
      </c>
      <c r="X28" s="87">
        <f t="shared" ca="1" si="14"/>
        <v>0</v>
      </c>
      <c r="Y28" s="87">
        <f t="shared" ca="1" si="14"/>
        <v>0</v>
      </c>
      <c r="Z28" s="87">
        <f t="shared" ca="1" si="14"/>
        <v>0</v>
      </c>
      <c r="AA28" s="87">
        <f t="shared" ca="1" si="14"/>
        <v>0</v>
      </c>
      <c r="AB28" s="87">
        <f t="shared" ca="1" si="14"/>
        <v>0</v>
      </c>
      <c r="AC28" s="87">
        <f t="shared" ca="1" si="14"/>
        <v>0</v>
      </c>
      <c r="AD28" s="87">
        <f t="shared" ca="1" si="14"/>
        <v>0</v>
      </c>
      <c r="AE28" s="87">
        <f t="shared" ca="1" si="15"/>
        <v>0</v>
      </c>
      <c r="AF28" s="87">
        <f t="shared" ca="1" si="15"/>
        <v>0</v>
      </c>
      <c r="AG28" s="87">
        <f t="shared" ca="1" si="15"/>
        <v>0</v>
      </c>
      <c r="AH28" s="87">
        <f t="shared" ca="1" si="15"/>
        <v>0</v>
      </c>
      <c r="AI28" s="87">
        <f t="shared" ca="1" si="15"/>
        <v>0</v>
      </c>
      <c r="AJ28" s="87">
        <f t="shared" ca="1" si="15"/>
        <v>0</v>
      </c>
      <c r="AK28" s="87">
        <f t="shared" ca="1" si="15"/>
        <v>0</v>
      </c>
      <c r="AL28" s="87">
        <f t="shared" ca="1" si="15"/>
        <v>0</v>
      </c>
      <c r="AM28" s="87">
        <f t="shared" ca="1" si="15"/>
        <v>0</v>
      </c>
      <c r="AN28" s="87">
        <f t="shared" ca="1" si="15"/>
        <v>0</v>
      </c>
      <c r="AO28" s="87">
        <f t="shared" ca="1" si="16"/>
        <v>0</v>
      </c>
      <c r="AP28" s="87">
        <f t="shared" ca="1" si="16"/>
        <v>0</v>
      </c>
      <c r="AQ28" s="87">
        <f t="shared" ca="1" si="16"/>
        <v>0</v>
      </c>
      <c r="AR28" s="87">
        <f t="shared" ca="1" si="16"/>
        <v>0</v>
      </c>
      <c r="AS28" s="87">
        <f t="shared" ca="1" si="16"/>
        <v>0</v>
      </c>
      <c r="AT28" s="87">
        <f t="shared" ca="1" si="16"/>
        <v>0</v>
      </c>
      <c r="AU28" s="87">
        <f t="shared" ca="1" si="16"/>
        <v>0</v>
      </c>
      <c r="AV28" s="87">
        <f t="shared" ca="1" si="16"/>
        <v>0</v>
      </c>
      <c r="AW28" s="87">
        <f t="shared" ca="1" si="16"/>
        <v>0</v>
      </c>
      <c r="AX28" s="87">
        <f t="shared" ca="1" si="16"/>
        <v>0</v>
      </c>
      <c r="AY28" s="87">
        <f t="shared" ca="1" si="17"/>
        <v>0</v>
      </c>
      <c r="AZ28" s="87">
        <f t="shared" ca="1" si="17"/>
        <v>0</v>
      </c>
      <c r="BA28" s="87">
        <f t="shared" ca="1" si="17"/>
        <v>0</v>
      </c>
      <c r="BB28" s="87">
        <f t="shared" ca="1" si="17"/>
        <v>0</v>
      </c>
      <c r="BC28" s="87">
        <f t="shared" ca="1" si="17"/>
        <v>0</v>
      </c>
      <c r="BD28" s="87">
        <f t="shared" ca="1" si="17"/>
        <v>0</v>
      </c>
      <c r="BE28" s="87">
        <f t="shared" ca="1" si="17"/>
        <v>0</v>
      </c>
      <c r="BF28" s="87">
        <f t="shared" ca="1" si="17"/>
        <v>0</v>
      </c>
      <c r="BG28" s="87">
        <f t="shared" ca="1" si="17"/>
        <v>0</v>
      </c>
      <c r="BH28" s="87">
        <f t="shared" ca="1" si="17"/>
        <v>0</v>
      </c>
      <c r="BI28" s="87">
        <f t="shared" ca="1" si="17"/>
        <v>0</v>
      </c>
      <c r="BJ28" s="87">
        <f t="shared" ca="1" si="17"/>
        <v>0</v>
      </c>
      <c r="BK28" s="87">
        <f t="shared" ca="1" si="17"/>
        <v>0</v>
      </c>
      <c r="BL28" s="87">
        <f t="shared" ca="1" si="17"/>
        <v>0</v>
      </c>
    </row>
    <row r="29" spans="1:64" x14ac:dyDescent="0.25">
      <c r="A29" s="87">
        <f t="shared" ca="1" si="12"/>
        <v>0</v>
      </c>
      <c r="B29" s="87">
        <f t="shared" ca="1" si="12"/>
        <v>0</v>
      </c>
      <c r="C29" s="87">
        <f t="shared" ca="1" si="12"/>
        <v>0</v>
      </c>
      <c r="D29" s="87">
        <f t="shared" ca="1" si="12"/>
        <v>0</v>
      </c>
      <c r="E29" s="87">
        <f t="shared" ca="1" si="12"/>
        <v>0</v>
      </c>
      <c r="F29" s="87">
        <f t="shared" ca="1" si="12"/>
        <v>0</v>
      </c>
      <c r="G29" s="87">
        <f t="shared" ca="1" si="12"/>
        <v>0</v>
      </c>
      <c r="H29" s="87">
        <f t="shared" ca="1" si="12"/>
        <v>0</v>
      </c>
      <c r="I29" s="87">
        <f t="shared" ca="1" si="12"/>
        <v>0</v>
      </c>
      <c r="J29" s="87">
        <f t="shared" ca="1" si="12"/>
        <v>0</v>
      </c>
      <c r="K29" s="87">
        <f t="shared" ca="1" si="13"/>
        <v>0</v>
      </c>
      <c r="L29" s="87">
        <f t="shared" ca="1" si="13"/>
        <v>0</v>
      </c>
      <c r="M29" s="87">
        <f t="shared" ca="1" si="13"/>
        <v>0</v>
      </c>
      <c r="N29" s="87">
        <f t="shared" ca="1" si="13"/>
        <v>0</v>
      </c>
      <c r="O29" s="87">
        <f t="shared" ca="1" si="13"/>
        <v>0</v>
      </c>
      <c r="P29" s="87">
        <f t="shared" ca="1" si="13"/>
        <v>0</v>
      </c>
      <c r="Q29" s="87">
        <f t="shared" ca="1" si="13"/>
        <v>0</v>
      </c>
      <c r="R29" s="87">
        <f t="shared" ca="1" si="13"/>
        <v>0</v>
      </c>
      <c r="S29" s="87">
        <f t="shared" ca="1" si="13"/>
        <v>0</v>
      </c>
      <c r="T29" s="87">
        <f t="shared" ca="1" si="13"/>
        <v>0</v>
      </c>
      <c r="U29" s="87">
        <f t="shared" ca="1" si="14"/>
        <v>0</v>
      </c>
      <c r="V29" s="87">
        <f t="shared" ca="1" si="14"/>
        <v>0</v>
      </c>
      <c r="W29" s="87">
        <f t="shared" ca="1" si="14"/>
        <v>0</v>
      </c>
      <c r="X29" s="87">
        <f t="shared" ca="1" si="14"/>
        <v>0</v>
      </c>
      <c r="Y29" s="87">
        <f t="shared" ca="1" si="14"/>
        <v>0</v>
      </c>
      <c r="Z29" s="87">
        <f t="shared" ca="1" si="14"/>
        <v>0</v>
      </c>
      <c r="AA29" s="87">
        <f t="shared" ca="1" si="14"/>
        <v>0</v>
      </c>
      <c r="AB29" s="87">
        <f t="shared" ca="1" si="14"/>
        <v>0</v>
      </c>
      <c r="AC29" s="87">
        <f t="shared" ca="1" si="14"/>
        <v>0</v>
      </c>
      <c r="AD29" s="87">
        <f t="shared" ca="1" si="14"/>
        <v>0</v>
      </c>
      <c r="AE29" s="87">
        <f t="shared" ca="1" si="15"/>
        <v>0</v>
      </c>
      <c r="AF29" s="87">
        <f t="shared" ca="1" si="15"/>
        <v>0</v>
      </c>
      <c r="AG29" s="87">
        <f t="shared" ca="1" si="15"/>
        <v>0</v>
      </c>
      <c r="AH29" s="87">
        <f t="shared" ca="1" si="15"/>
        <v>0</v>
      </c>
      <c r="AI29" s="87">
        <f t="shared" ca="1" si="15"/>
        <v>0</v>
      </c>
      <c r="AJ29" s="87">
        <f t="shared" ca="1" si="15"/>
        <v>0</v>
      </c>
      <c r="AK29" s="87">
        <f t="shared" ca="1" si="15"/>
        <v>0</v>
      </c>
      <c r="AL29" s="87">
        <f t="shared" ca="1" si="15"/>
        <v>0</v>
      </c>
      <c r="AM29" s="87">
        <f t="shared" ca="1" si="15"/>
        <v>0</v>
      </c>
      <c r="AN29" s="87">
        <f t="shared" ca="1" si="15"/>
        <v>0</v>
      </c>
      <c r="AO29" s="87">
        <f t="shared" ca="1" si="16"/>
        <v>0</v>
      </c>
      <c r="AP29" s="87">
        <f t="shared" ca="1" si="16"/>
        <v>0</v>
      </c>
      <c r="AQ29" s="87">
        <f t="shared" ca="1" si="16"/>
        <v>0</v>
      </c>
      <c r="AR29" s="87">
        <f t="shared" ca="1" si="16"/>
        <v>0</v>
      </c>
      <c r="AS29" s="87">
        <f t="shared" ca="1" si="16"/>
        <v>0</v>
      </c>
      <c r="AT29" s="87">
        <f t="shared" ca="1" si="16"/>
        <v>0</v>
      </c>
      <c r="AU29" s="87">
        <f t="shared" ca="1" si="16"/>
        <v>0</v>
      </c>
      <c r="AV29" s="87">
        <f t="shared" ca="1" si="16"/>
        <v>0</v>
      </c>
      <c r="AW29" s="87">
        <f t="shared" ca="1" si="16"/>
        <v>0</v>
      </c>
      <c r="AX29" s="87">
        <f t="shared" ca="1" si="16"/>
        <v>0</v>
      </c>
      <c r="AY29" s="87">
        <f t="shared" ca="1" si="17"/>
        <v>0</v>
      </c>
      <c r="AZ29" s="87">
        <f t="shared" ca="1" si="17"/>
        <v>0</v>
      </c>
      <c r="BA29" s="87">
        <f t="shared" ca="1" si="17"/>
        <v>0</v>
      </c>
      <c r="BB29" s="87">
        <f t="shared" ca="1" si="17"/>
        <v>0</v>
      </c>
      <c r="BC29" s="87">
        <f t="shared" ca="1" si="17"/>
        <v>0</v>
      </c>
      <c r="BD29" s="87">
        <f t="shared" ca="1" si="17"/>
        <v>0</v>
      </c>
      <c r="BE29" s="87">
        <f t="shared" ca="1" si="17"/>
        <v>0</v>
      </c>
      <c r="BF29" s="87">
        <f t="shared" ca="1" si="17"/>
        <v>0</v>
      </c>
      <c r="BG29" s="87">
        <f t="shared" ca="1" si="17"/>
        <v>0</v>
      </c>
      <c r="BH29" s="87">
        <f t="shared" ca="1" si="17"/>
        <v>0</v>
      </c>
      <c r="BI29" s="87">
        <f t="shared" ca="1" si="17"/>
        <v>0</v>
      </c>
      <c r="BJ29" s="87">
        <f t="shared" ca="1" si="17"/>
        <v>0</v>
      </c>
      <c r="BK29" s="87">
        <f t="shared" ca="1" si="17"/>
        <v>0</v>
      </c>
      <c r="BL29" s="87">
        <f t="shared" ca="1" si="17"/>
        <v>0</v>
      </c>
    </row>
    <row r="30" spans="1:64" x14ac:dyDescent="0.25">
      <c r="A30" s="87">
        <f t="shared" ca="1" si="12"/>
        <v>0</v>
      </c>
      <c r="B30" s="87">
        <f t="shared" ca="1" si="12"/>
        <v>0</v>
      </c>
      <c r="C30" s="87">
        <f t="shared" ca="1" si="12"/>
        <v>0</v>
      </c>
      <c r="D30" s="87">
        <f t="shared" ca="1" si="12"/>
        <v>0</v>
      </c>
      <c r="E30" s="87">
        <f t="shared" ca="1" si="12"/>
        <v>0</v>
      </c>
      <c r="F30" s="87">
        <f t="shared" ca="1" si="12"/>
        <v>0</v>
      </c>
      <c r="G30" s="87">
        <f t="shared" ca="1" si="12"/>
        <v>0</v>
      </c>
      <c r="H30" s="87">
        <f t="shared" ca="1" si="12"/>
        <v>0</v>
      </c>
      <c r="I30" s="87">
        <f t="shared" ca="1" si="12"/>
        <v>0</v>
      </c>
      <c r="J30" s="87">
        <f t="shared" ca="1" si="12"/>
        <v>0</v>
      </c>
      <c r="K30" s="87">
        <f t="shared" ca="1" si="13"/>
        <v>0</v>
      </c>
      <c r="L30" s="87">
        <f t="shared" ca="1" si="13"/>
        <v>0</v>
      </c>
      <c r="M30" s="87">
        <f t="shared" ca="1" si="13"/>
        <v>0</v>
      </c>
      <c r="N30" s="87">
        <f t="shared" ca="1" si="13"/>
        <v>0</v>
      </c>
      <c r="O30" s="87">
        <f t="shared" ca="1" si="13"/>
        <v>0</v>
      </c>
      <c r="P30" s="87">
        <f t="shared" ca="1" si="13"/>
        <v>0</v>
      </c>
      <c r="Q30" s="87">
        <f t="shared" ca="1" si="13"/>
        <v>0</v>
      </c>
      <c r="R30" s="87">
        <f t="shared" ca="1" si="13"/>
        <v>0</v>
      </c>
      <c r="S30" s="87">
        <f t="shared" ca="1" si="13"/>
        <v>0</v>
      </c>
      <c r="T30" s="87">
        <f t="shared" ca="1" si="13"/>
        <v>0</v>
      </c>
      <c r="U30" s="87">
        <f t="shared" ca="1" si="14"/>
        <v>0</v>
      </c>
      <c r="V30" s="87">
        <f t="shared" ca="1" si="14"/>
        <v>0</v>
      </c>
      <c r="W30" s="87">
        <f t="shared" ca="1" si="14"/>
        <v>0</v>
      </c>
      <c r="X30" s="87">
        <f t="shared" ca="1" si="14"/>
        <v>0</v>
      </c>
      <c r="Y30" s="87">
        <f t="shared" ca="1" si="14"/>
        <v>0</v>
      </c>
      <c r="Z30" s="87">
        <f t="shared" ca="1" si="14"/>
        <v>0</v>
      </c>
      <c r="AA30" s="87">
        <f t="shared" ca="1" si="14"/>
        <v>0</v>
      </c>
      <c r="AB30" s="87">
        <f t="shared" ca="1" si="14"/>
        <v>0</v>
      </c>
      <c r="AC30" s="87">
        <f t="shared" ca="1" si="14"/>
        <v>0</v>
      </c>
      <c r="AD30" s="87">
        <f t="shared" ca="1" si="14"/>
        <v>0</v>
      </c>
      <c r="AE30" s="87">
        <f t="shared" ca="1" si="15"/>
        <v>0</v>
      </c>
      <c r="AF30" s="87">
        <f t="shared" ca="1" si="15"/>
        <v>0</v>
      </c>
      <c r="AG30" s="87">
        <f t="shared" ca="1" si="15"/>
        <v>0</v>
      </c>
      <c r="AH30" s="87">
        <f t="shared" ca="1" si="15"/>
        <v>0</v>
      </c>
      <c r="AI30" s="87">
        <f t="shared" ca="1" si="15"/>
        <v>0</v>
      </c>
      <c r="AJ30" s="87">
        <f t="shared" ca="1" si="15"/>
        <v>0</v>
      </c>
      <c r="AK30" s="87">
        <f t="shared" ca="1" si="15"/>
        <v>0</v>
      </c>
      <c r="AL30" s="87">
        <f t="shared" ca="1" si="15"/>
        <v>0</v>
      </c>
      <c r="AM30" s="87">
        <f t="shared" ca="1" si="15"/>
        <v>0</v>
      </c>
      <c r="AN30" s="87">
        <f t="shared" ca="1" si="15"/>
        <v>0</v>
      </c>
      <c r="AO30" s="87">
        <f t="shared" ca="1" si="16"/>
        <v>0</v>
      </c>
      <c r="AP30" s="87">
        <f t="shared" ca="1" si="16"/>
        <v>0</v>
      </c>
      <c r="AQ30" s="87">
        <f t="shared" ca="1" si="16"/>
        <v>0</v>
      </c>
      <c r="AR30" s="87">
        <f t="shared" ca="1" si="16"/>
        <v>0</v>
      </c>
      <c r="AS30" s="87">
        <f t="shared" ca="1" si="16"/>
        <v>0</v>
      </c>
      <c r="AT30" s="87">
        <f t="shared" ca="1" si="16"/>
        <v>0</v>
      </c>
      <c r="AU30" s="87">
        <f t="shared" ca="1" si="16"/>
        <v>0</v>
      </c>
      <c r="AV30" s="87">
        <f t="shared" ca="1" si="16"/>
        <v>0</v>
      </c>
      <c r="AW30" s="87">
        <f t="shared" ca="1" si="16"/>
        <v>0</v>
      </c>
      <c r="AX30" s="87">
        <f t="shared" ca="1" si="16"/>
        <v>0</v>
      </c>
      <c r="AY30" s="87">
        <f t="shared" ca="1" si="17"/>
        <v>0</v>
      </c>
      <c r="AZ30" s="87">
        <f t="shared" ca="1" si="17"/>
        <v>0</v>
      </c>
      <c r="BA30" s="87">
        <f t="shared" ca="1" si="17"/>
        <v>0</v>
      </c>
      <c r="BB30" s="87">
        <f t="shared" ca="1" si="17"/>
        <v>0</v>
      </c>
      <c r="BC30" s="87">
        <f t="shared" ca="1" si="17"/>
        <v>0</v>
      </c>
      <c r="BD30" s="87">
        <f t="shared" ca="1" si="17"/>
        <v>0</v>
      </c>
      <c r="BE30" s="87">
        <f t="shared" ca="1" si="17"/>
        <v>0</v>
      </c>
      <c r="BF30" s="87">
        <f t="shared" ca="1" si="17"/>
        <v>0</v>
      </c>
      <c r="BG30" s="87">
        <f t="shared" ca="1" si="17"/>
        <v>0</v>
      </c>
      <c r="BH30" s="87">
        <f t="shared" ca="1" si="17"/>
        <v>0</v>
      </c>
      <c r="BI30" s="87">
        <f t="shared" ca="1" si="17"/>
        <v>0</v>
      </c>
      <c r="BJ30" s="87">
        <f t="shared" ca="1" si="17"/>
        <v>0</v>
      </c>
      <c r="BK30" s="87">
        <f t="shared" ca="1" si="17"/>
        <v>0</v>
      </c>
      <c r="BL30" s="87">
        <f t="shared" ca="1" si="17"/>
        <v>0</v>
      </c>
    </row>
    <row r="31" spans="1:64" x14ac:dyDescent="0.25">
      <c r="A31" s="87">
        <f t="shared" ref="A31:J40" ca="1" si="18">IF(AND(OP="11",RAMX=DEC2BIN(COLUMN(A31)-1,8),RAMY=DEC2BIN(ROW(A31)-1,8)),DATA,A31)</f>
        <v>0</v>
      </c>
      <c r="B31" s="87">
        <f t="shared" ca="1" si="18"/>
        <v>0</v>
      </c>
      <c r="C31" s="87">
        <f t="shared" ca="1" si="18"/>
        <v>0</v>
      </c>
      <c r="D31" s="87">
        <f t="shared" ca="1" si="18"/>
        <v>0</v>
      </c>
      <c r="E31" s="87">
        <f t="shared" ca="1" si="18"/>
        <v>0</v>
      </c>
      <c r="F31" s="87">
        <f t="shared" ca="1" si="18"/>
        <v>0</v>
      </c>
      <c r="G31" s="87">
        <f t="shared" ca="1" si="18"/>
        <v>0</v>
      </c>
      <c r="H31" s="87">
        <f t="shared" ca="1" si="18"/>
        <v>0</v>
      </c>
      <c r="I31" s="87">
        <f t="shared" ca="1" si="18"/>
        <v>0</v>
      </c>
      <c r="J31" s="87">
        <f t="shared" ca="1" si="18"/>
        <v>0</v>
      </c>
      <c r="K31" s="87">
        <f t="shared" ref="K31:T40" ca="1" si="19">IF(AND(OP="11",RAMX=DEC2BIN(COLUMN(K31)-1,8),RAMY=DEC2BIN(ROW(K31)-1,8)),DATA,K31)</f>
        <v>0</v>
      </c>
      <c r="L31" s="87">
        <f t="shared" ca="1" si="19"/>
        <v>0</v>
      </c>
      <c r="M31" s="87">
        <f t="shared" ca="1" si="19"/>
        <v>0</v>
      </c>
      <c r="N31" s="87">
        <f t="shared" ca="1" si="19"/>
        <v>0</v>
      </c>
      <c r="O31" s="87">
        <f t="shared" ca="1" si="19"/>
        <v>0</v>
      </c>
      <c r="P31" s="87">
        <f t="shared" ca="1" si="19"/>
        <v>0</v>
      </c>
      <c r="Q31" s="87">
        <f t="shared" ca="1" si="19"/>
        <v>0</v>
      </c>
      <c r="R31" s="87">
        <f t="shared" ca="1" si="19"/>
        <v>0</v>
      </c>
      <c r="S31" s="87">
        <f t="shared" ca="1" si="19"/>
        <v>0</v>
      </c>
      <c r="T31" s="87">
        <f t="shared" ca="1" si="19"/>
        <v>0</v>
      </c>
      <c r="U31" s="87">
        <f t="shared" ref="U31:AD40" ca="1" si="20">IF(AND(OP="11",RAMX=DEC2BIN(COLUMN(U31)-1,8),RAMY=DEC2BIN(ROW(U31)-1,8)),DATA,U31)</f>
        <v>0</v>
      </c>
      <c r="V31" s="87">
        <f t="shared" ca="1" si="20"/>
        <v>0</v>
      </c>
      <c r="W31" s="87">
        <f t="shared" ca="1" si="20"/>
        <v>0</v>
      </c>
      <c r="X31" s="87">
        <f t="shared" ca="1" si="20"/>
        <v>0</v>
      </c>
      <c r="Y31" s="87">
        <f t="shared" ca="1" si="20"/>
        <v>0</v>
      </c>
      <c r="Z31" s="87">
        <f t="shared" ca="1" si="20"/>
        <v>0</v>
      </c>
      <c r="AA31" s="87">
        <f t="shared" ca="1" si="20"/>
        <v>0</v>
      </c>
      <c r="AB31" s="87">
        <f t="shared" ca="1" si="20"/>
        <v>0</v>
      </c>
      <c r="AC31" s="87">
        <f t="shared" ca="1" si="20"/>
        <v>0</v>
      </c>
      <c r="AD31" s="87">
        <f t="shared" ca="1" si="20"/>
        <v>0</v>
      </c>
      <c r="AE31" s="87">
        <f t="shared" ref="AE31:AN40" ca="1" si="21">IF(AND(OP="11",RAMX=DEC2BIN(COLUMN(AE31)-1,8),RAMY=DEC2BIN(ROW(AE31)-1,8)),DATA,AE31)</f>
        <v>0</v>
      </c>
      <c r="AF31" s="87">
        <f t="shared" ca="1" si="21"/>
        <v>0</v>
      </c>
      <c r="AG31" s="87">
        <f t="shared" ca="1" si="21"/>
        <v>0</v>
      </c>
      <c r="AH31" s="87">
        <f t="shared" ca="1" si="21"/>
        <v>0</v>
      </c>
      <c r="AI31" s="87">
        <f t="shared" ca="1" si="21"/>
        <v>0</v>
      </c>
      <c r="AJ31" s="87">
        <f t="shared" ca="1" si="21"/>
        <v>0</v>
      </c>
      <c r="AK31" s="87">
        <f t="shared" ca="1" si="21"/>
        <v>0</v>
      </c>
      <c r="AL31" s="87">
        <f t="shared" ca="1" si="21"/>
        <v>0</v>
      </c>
      <c r="AM31" s="87">
        <f t="shared" ca="1" si="21"/>
        <v>0</v>
      </c>
      <c r="AN31" s="87">
        <f t="shared" ca="1" si="21"/>
        <v>0</v>
      </c>
      <c r="AO31" s="87">
        <f t="shared" ref="AO31:AX40" ca="1" si="22">IF(AND(OP="11",RAMX=DEC2BIN(COLUMN(AO31)-1,8),RAMY=DEC2BIN(ROW(AO31)-1,8)),DATA,AO31)</f>
        <v>0</v>
      </c>
      <c r="AP31" s="87">
        <f t="shared" ca="1" si="22"/>
        <v>0</v>
      </c>
      <c r="AQ31" s="87">
        <f t="shared" ca="1" si="22"/>
        <v>0</v>
      </c>
      <c r="AR31" s="87">
        <f t="shared" ca="1" si="22"/>
        <v>0</v>
      </c>
      <c r="AS31" s="87">
        <f t="shared" ca="1" si="22"/>
        <v>0</v>
      </c>
      <c r="AT31" s="87">
        <f t="shared" ca="1" si="22"/>
        <v>0</v>
      </c>
      <c r="AU31" s="87">
        <f t="shared" ca="1" si="22"/>
        <v>0</v>
      </c>
      <c r="AV31" s="87">
        <f t="shared" ca="1" si="22"/>
        <v>0</v>
      </c>
      <c r="AW31" s="87">
        <f t="shared" ca="1" si="22"/>
        <v>0</v>
      </c>
      <c r="AX31" s="87">
        <f t="shared" ca="1" si="22"/>
        <v>0</v>
      </c>
      <c r="AY31" s="87">
        <f t="shared" ref="AY31:BL40" ca="1" si="23">IF(AND(OP="11",RAMX=DEC2BIN(COLUMN(AY31)-1,8),RAMY=DEC2BIN(ROW(AY31)-1,8)),DATA,AY31)</f>
        <v>0</v>
      </c>
      <c r="AZ31" s="87">
        <f t="shared" ca="1" si="23"/>
        <v>0</v>
      </c>
      <c r="BA31" s="87">
        <f t="shared" ca="1" si="23"/>
        <v>0</v>
      </c>
      <c r="BB31" s="87">
        <f t="shared" ca="1" si="23"/>
        <v>0</v>
      </c>
      <c r="BC31" s="87">
        <f t="shared" ca="1" si="23"/>
        <v>0</v>
      </c>
      <c r="BD31" s="87">
        <f t="shared" ca="1" si="23"/>
        <v>0</v>
      </c>
      <c r="BE31" s="87">
        <f t="shared" ca="1" si="23"/>
        <v>0</v>
      </c>
      <c r="BF31" s="87">
        <f t="shared" ca="1" si="23"/>
        <v>0</v>
      </c>
      <c r="BG31" s="87">
        <f t="shared" ca="1" si="23"/>
        <v>0</v>
      </c>
      <c r="BH31" s="87">
        <f t="shared" ca="1" si="23"/>
        <v>0</v>
      </c>
      <c r="BI31" s="87">
        <f t="shared" ca="1" si="23"/>
        <v>0</v>
      </c>
      <c r="BJ31" s="87">
        <f t="shared" ca="1" si="23"/>
        <v>0</v>
      </c>
      <c r="BK31" s="87">
        <f t="shared" ca="1" si="23"/>
        <v>0</v>
      </c>
      <c r="BL31" s="87">
        <f t="shared" ca="1" si="23"/>
        <v>0</v>
      </c>
    </row>
    <row r="32" spans="1:64" x14ac:dyDescent="0.25">
      <c r="A32" s="87">
        <f t="shared" ca="1" si="18"/>
        <v>0</v>
      </c>
      <c r="B32" s="87">
        <f t="shared" ca="1" si="18"/>
        <v>0</v>
      </c>
      <c r="C32" s="87">
        <f t="shared" ca="1" si="18"/>
        <v>0</v>
      </c>
      <c r="D32" s="87">
        <f t="shared" ca="1" si="18"/>
        <v>0</v>
      </c>
      <c r="E32" s="87">
        <f t="shared" ca="1" si="18"/>
        <v>0</v>
      </c>
      <c r="F32" s="87">
        <f t="shared" ca="1" si="18"/>
        <v>0</v>
      </c>
      <c r="G32" s="87">
        <f t="shared" ca="1" si="18"/>
        <v>0</v>
      </c>
      <c r="H32" s="87">
        <f t="shared" ca="1" si="18"/>
        <v>0</v>
      </c>
      <c r="I32" s="87">
        <f t="shared" ca="1" si="18"/>
        <v>0</v>
      </c>
      <c r="J32" s="87">
        <f t="shared" ca="1" si="18"/>
        <v>0</v>
      </c>
      <c r="K32" s="87">
        <f t="shared" ca="1" si="19"/>
        <v>0</v>
      </c>
      <c r="L32" s="87">
        <f t="shared" ca="1" si="19"/>
        <v>0</v>
      </c>
      <c r="M32" s="87">
        <f t="shared" ca="1" si="19"/>
        <v>0</v>
      </c>
      <c r="N32" s="87">
        <f t="shared" ca="1" si="19"/>
        <v>0</v>
      </c>
      <c r="O32" s="87">
        <f t="shared" ca="1" si="19"/>
        <v>0</v>
      </c>
      <c r="P32" s="87">
        <f t="shared" ca="1" si="19"/>
        <v>0</v>
      </c>
      <c r="Q32" s="87">
        <f t="shared" ca="1" si="19"/>
        <v>0</v>
      </c>
      <c r="R32" s="87">
        <f t="shared" ca="1" si="19"/>
        <v>0</v>
      </c>
      <c r="S32" s="87">
        <f t="shared" ca="1" si="19"/>
        <v>0</v>
      </c>
      <c r="T32" s="87">
        <f t="shared" ca="1" si="19"/>
        <v>0</v>
      </c>
      <c r="U32" s="87">
        <f t="shared" ca="1" si="20"/>
        <v>0</v>
      </c>
      <c r="V32" s="87">
        <f t="shared" ca="1" si="20"/>
        <v>0</v>
      </c>
      <c r="W32" s="87">
        <f t="shared" ca="1" si="20"/>
        <v>0</v>
      </c>
      <c r="X32" s="87">
        <f t="shared" ca="1" si="20"/>
        <v>0</v>
      </c>
      <c r="Y32" s="87">
        <f t="shared" ca="1" si="20"/>
        <v>0</v>
      </c>
      <c r="Z32" s="87">
        <f t="shared" ca="1" si="20"/>
        <v>0</v>
      </c>
      <c r="AA32" s="87">
        <f t="shared" ca="1" si="20"/>
        <v>0</v>
      </c>
      <c r="AB32" s="87">
        <f t="shared" ca="1" si="20"/>
        <v>0</v>
      </c>
      <c r="AC32" s="87">
        <f t="shared" ca="1" si="20"/>
        <v>0</v>
      </c>
      <c r="AD32" s="87">
        <f t="shared" ca="1" si="20"/>
        <v>0</v>
      </c>
      <c r="AE32" s="87">
        <f t="shared" ca="1" si="21"/>
        <v>0</v>
      </c>
      <c r="AF32" s="87">
        <f t="shared" ca="1" si="21"/>
        <v>0</v>
      </c>
      <c r="AG32" s="87">
        <f t="shared" ca="1" si="21"/>
        <v>0</v>
      </c>
      <c r="AH32" s="87">
        <f t="shared" ca="1" si="21"/>
        <v>0</v>
      </c>
      <c r="AI32" s="87">
        <f t="shared" ca="1" si="21"/>
        <v>0</v>
      </c>
      <c r="AJ32" s="87">
        <f t="shared" ca="1" si="21"/>
        <v>0</v>
      </c>
      <c r="AK32" s="87">
        <f t="shared" ca="1" si="21"/>
        <v>0</v>
      </c>
      <c r="AL32" s="87">
        <f t="shared" ca="1" si="21"/>
        <v>0</v>
      </c>
      <c r="AM32" s="87">
        <f t="shared" ca="1" si="21"/>
        <v>0</v>
      </c>
      <c r="AN32" s="87">
        <f t="shared" ca="1" si="21"/>
        <v>0</v>
      </c>
      <c r="AO32" s="87">
        <f t="shared" ca="1" si="22"/>
        <v>0</v>
      </c>
      <c r="AP32" s="87">
        <f t="shared" ca="1" si="22"/>
        <v>0</v>
      </c>
      <c r="AQ32" s="87">
        <f t="shared" ca="1" si="22"/>
        <v>0</v>
      </c>
      <c r="AR32" s="87">
        <f t="shared" ca="1" si="22"/>
        <v>0</v>
      </c>
      <c r="AS32" s="87">
        <f t="shared" ca="1" si="22"/>
        <v>0</v>
      </c>
      <c r="AT32" s="87">
        <f t="shared" ca="1" si="22"/>
        <v>0</v>
      </c>
      <c r="AU32" s="87">
        <f t="shared" ca="1" si="22"/>
        <v>0</v>
      </c>
      <c r="AV32" s="87">
        <f t="shared" ca="1" si="22"/>
        <v>0</v>
      </c>
      <c r="AW32" s="87">
        <f t="shared" ca="1" si="22"/>
        <v>0</v>
      </c>
      <c r="AX32" s="87">
        <f t="shared" ca="1" si="22"/>
        <v>0</v>
      </c>
      <c r="AY32" s="87">
        <f t="shared" ca="1" si="23"/>
        <v>0</v>
      </c>
      <c r="AZ32" s="87">
        <f t="shared" ca="1" si="23"/>
        <v>0</v>
      </c>
      <c r="BA32" s="87">
        <f t="shared" ca="1" si="23"/>
        <v>0</v>
      </c>
      <c r="BB32" s="87">
        <f t="shared" ca="1" si="23"/>
        <v>0</v>
      </c>
      <c r="BC32" s="87">
        <f t="shared" ca="1" si="23"/>
        <v>0</v>
      </c>
      <c r="BD32" s="87">
        <f t="shared" ca="1" si="23"/>
        <v>0</v>
      </c>
      <c r="BE32" s="87">
        <f t="shared" ca="1" si="23"/>
        <v>0</v>
      </c>
      <c r="BF32" s="87">
        <f t="shared" ca="1" si="23"/>
        <v>0</v>
      </c>
      <c r="BG32" s="87">
        <f t="shared" ca="1" si="23"/>
        <v>0</v>
      </c>
      <c r="BH32" s="87">
        <f t="shared" ca="1" si="23"/>
        <v>0</v>
      </c>
      <c r="BI32" s="87">
        <f t="shared" ca="1" si="23"/>
        <v>0</v>
      </c>
      <c r="BJ32" s="87">
        <f t="shared" ca="1" si="23"/>
        <v>0</v>
      </c>
      <c r="BK32" s="87">
        <f t="shared" ca="1" si="23"/>
        <v>0</v>
      </c>
      <c r="BL32" s="87">
        <f t="shared" ca="1" si="23"/>
        <v>0</v>
      </c>
    </row>
    <row r="33" spans="1:64" x14ac:dyDescent="0.25">
      <c r="A33" s="87">
        <f t="shared" ca="1" si="18"/>
        <v>0</v>
      </c>
      <c r="B33" s="87">
        <f t="shared" ca="1" si="18"/>
        <v>0</v>
      </c>
      <c r="C33" s="87">
        <f t="shared" ca="1" si="18"/>
        <v>0</v>
      </c>
      <c r="D33" s="87">
        <f t="shared" ca="1" si="18"/>
        <v>0</v>
      </c>
      <c r="E33" s="87">
        <f t="shared" ca="1" si="18"/>
        <v>0</v>
      </c>
      <c r="F33" s="87">
        <f t="shared" ca="1" si="18"/>
        <v>0</v>
      </c>
      <c r="G33" s="87">
        <f t="shared" ca="1" si="18"/>
        <v>0</v>
      </c>
      <c r="H33" s="87">
        <f t="shared" ca="1" si="18"/>
        <v>0</v>
      </c>
      <c r="I33" s="87">
        <f t="shared" ca="1" si="18"/>
        <v>0</v>
      </c>
      <c r="J33" s="87">
        <f t="shared" ca="1" si="18"/>
        <v>0</v>
      </c>
      <c r="K33" s="87">
        <f t="shared" ca="1" si="19"/>
        <v>0</v>
      </c>
      <c r="L33" s="87">
        <f t="shared" ca="1" si="19"/>
        <v>0</v>
      </c>
      <c r="M33" s="87">
        <f t="shared" ca="1" si="19"/>
        <v>0</v>
      </c>
      <c r="N33" s="87">
        <f t="shared" ca="1" si="19"/>
        <v>0</v>
      </c>
      <c r="O33" s="87">
        <f t="shared" ca="1" si="19"/>
        <v>0</v>
      </c>
      <c r="P33" s="87">
        <f t="shared" ca="1" si="19"/>
        <v>0</v>
      </c>
      <c r="Q33" s="87">
        <f t="shared" ca="1" si="19"/>
        <v>0</v>
      </c>
      <c r="R33" s="87">
        <f t="shared" ca="1" si="19"/>
        <v>0</v>
      </c>
      <c r="S33" s="87">
        <f t="shared" ca="1" si="19"/>
        <v>0</v>
      </c>
      <c r="T33" s="87">
        <f t="shared" ca="1" si="19"/>
        <v>0</v>
      </c>
      <c r="U33" s="87">
        <f t="shared" ca="1" si="20"/>
        <v>0</v>
      </c>
      <c r="V33" s="87">
        <f t="shared" ca="1" si="20"/>
        <v>0</v>
      </c>
      <c r="W33" s="87">
        <f t="shared" ca="1" si="20"/>
        <v>0</v>
      </c>
      <c r="X33" s="87">
        <f t="shared" ca="1" si="20"/>
        <v>0</v>
      </c>
      <c r="Y33" s="87">
        <f t="shared" ca="1" si="20"/>
        <v>0</v>
      </c>
      <c r="Z33" s="87">
        <f t="shared" ca="1" si="20"/>
        <v>0</v>
      </c>
      <c r="AA33" s="87">
        <f t="shared" ca="1" si="20"/>
        <v>0</v>
      </c>
      <c r="AB33" s="87">
        <f t="shared" ca="1" si="20"/>
        <v>0</v>
      </c>
      <c r="AC33" s="87">
        <f t="shared" ca="1" si="20"/>
        <v>0</v>
      </c>
      <c r="AD33" s="87">
        <f t="shared" ca="1" si="20"/>
        <v>0</v>
      </c>
      <c r="AE33" s="87">
        <f t="shared" ca="1" si="21"/>
        <v>0</v>
      </c>
      <c r="AF33" s="87">
        <f t="shared" ca="1" si="21"/>
        <v>0</v>
      </c>
      <c r="AG33" s="87">
        <f t="shared" ca="1" si="21"/>
        <v>0</v>
      </c>
      <c r="AH33" s="87">
        <f t="shared" ca="1" si="21"/>
        <v>0</v>
      </c>
      <c r="AI33" s="87">
        <f t="shared" ca="1" si="21"/>
        <v>0</v>
      </c>
      <c r="AJ33" s="87">
        <f t="shared" ca="1" si="21"/>
        <v>0</v>
      </c>
      <c r="AK33" s="87">
        <f t="shared" ca="1" si="21"/>
        <v>0</v>
      </c>
      <c r="AL33" s="87">
        <f t="shared" ca="1" si="21"/>
        <v>0</v>
      </c>
      <c r="AM33" s="87">
        <f t="shared" ca="1" si="21"/>
        <v>0</v>
      </c>
      <c r="AN33" s="87">
        <f t="shared" ca="1" si="21"/>
        <v>0</v>
      </c>
      <c r="AO33" s="87">
        <f t="shared" ca="1" si="22"/>
        <v>0</v>
      </c>
      <c r="AP33" s="87">
        <f t="shared" ca="1" si="22"/>
        <v>0</v>
      </c>
      <c r="AQ33" s="87">
        <f t="shared" ca="1" si="22"/>
        <v>0</v>
      </c>
      <c r="AR33" s="87">
        <f t="shared" ca="1" si="22"/>
        <v>0</v>
      </c>
      <c r="AS33" s="87">
        <f t="shared" ca="1" si="22"/>
        <v>0</v>
      </c>
      <c r="AT33" s="87">
        <f t="shared" ca="1" si="22"/>
        <v>0</v>
      </c>
      <c r="AU33" s="87">
        <f t="shared" ca="1" si="22"/>
        <v>0</v>
      </c>
      <c r="AV33" s="87">
        <f t="shared" ca="1" si="22"/>
        <v>0</v>
      </c>
      <c r="AW33" s="87">
        <f t="shared" ca="1" si="22"/>
        <v>0</v>
      </c>
      <c r="AX33" s="87">
        <f t="shared" ca="1" si="22"/>
        <v>0</v>
      </c>
      <c r="AY33" s="87">
        <f t="shared" ca="1" si="23"/>
        <v>0</v>
      </c>
      <c r="AZ33" s="87">
        <f t="shared" ca="1" si="23"/>
        <v>0</v>
      </c>
      <c r="BA33" s="87">
        <f t="shared" ca="1" si="23"/>
        <v>0</v>
      </c>
      <c r="BB33" s="87">
        <f t="shared" ca="1" si="23"/>
        <v>0</v>
      </c>
      <c r="BC33" s="87">
        <f t="shared" ca="1" si="23"/>
        <v>0</v>
      </c>
      <c r="BD33" s="87">
        <f t="shared" ca="1" si="23"/>
        <v>0</v>
      </c>
      <c r="BE33" s="87">
        <f t="shared" ca="1" si="23"/>
        <v>0</v>
      </c>
      <c r="BF33" s="87">
        <f t="shared" ca="1" si="23"/>
        <v>0</v>
      </c>
      <c r="BG33" s="87">
        <f t="shared" ca="1" si="23"/>
        <v>0</v>
      </c>
      <c r="BH33" s="87">
        <f t="shared" ca="1" si="23"/>
        <v>0</v>
      </c>
      <c r="BI33" s="87">
        <f t="shared" ca="1" si="23"/>
        <v>0</v>
      </c>
      <c r="BJ33" s="87">
        <f t="shared" ca="1" si="23"/>
        <v>0</v>
      </c>
      <c r="BK33" s="87">
        <f t="shared" ca="1" si="23"/>
        <v>0</v>
      </c>
      <c r="BL33" s="87">
        <f t="shared" ca="1" si="23"/>
        <v>0</v>
      </c>
    </row>
    <row r="34" spans="1:64" x14ac:dyDescent="0.25">
      <c r="A34" s="87">
        <f t="shared" ca="1" si="18"/>
        <v>0</v>
      </c>
      <c r="B34" s="87">
        <f t="shared" ca="1" si="18"/>
        <v>0</v>
      </c>
      <c r="C34" s="87">
        <f t="shared" ca="1" si="18"/>
        <v>0</v>
      </c>
      <c r="D34" s="87">
        <f t="shared" ca="1" si="18"/>
        <v>0</v>
      </c>
      <c r="E34" s="87">
        <f t="shared" ca="1" si="18"/>
        <v>0</v>
      </c>
      <c r="F34" s="87">
        <f t="shared" ca="1" si="18"/>
        <v>0</v>
      </c>
      <c r="G34" s="87">
        <f t="shared" ca="1" si="18"/>
        <v>0</v>
      </c>
      <c r="H34" s="87">
        <f t="shared" ca="1" si="18"/>
        <v>0</v>
      </c>
      <c r="I34" s="87">
        <f t="shared" ca="1" si="18"/>
        <v>0</v>
      </c>
      <c r="J34" s="87">
        <f t="shared" ca="1" si="18"/>
        <v>0</v>
      </c>
      <c r="K34" s="87">
        <f t="shared" ca="1" si="19"/>
        <v>0</v>
      </c>
      <c r="L34" s="87">
        <f t="shared" ca="1" si="19"/>
        <v>0</v>
      </c>
      <c r="M34" s="87">
        <f t="shared" ca="1" si="19"/>
        <v>0</v>
      </c>
      <c r="N34" s="87">
        <f t="shared" ca="1" si="19"/>
        <v>0</v>
      </c>
      <c r="O34" s="87">
        <f t="shared" ca="1" si="19"/>
        <v>0</v>
      </c>
      <c r="P34" s="87">
        <f t="shared" ca="1" si="19"/>
        <v>0</v>
      </c>
      <c r="Q34" s="87">
        <f t="shared" ca="1" si="19"/>
        <v>0</v>
      </c>
      <c r="R34" s="87">
        <f t="shared" ca="1" si="19"/>
        <v>0</v>
      </c>
      <c r="S34" s="87">
        <f t="shared" ca="1" si="19"/>
        <v>0</v>
      </c>
      <c r="T34" s="87">
        <f t="shared" ca="1" si="19"/>
        <v>0</v>
      </c>
      <c r="U34" s="87">
        <f t="shared" ca="1" si="20"/>
        <v>0</v>
      </c>
      <c r="V34" s="87">
        <f t="shared" ca="1" si="20"/>
        <v>0</v>
      </c>
      <c r="W34" s="87">
        <f t="shared" ca="1" si="20"/>
        <v>0</v>
      </c>
      <c r="X34" s="87">
        <f t="shared" ca="1" si="20"/>
        <v>0</v>
      </c>
      <c r="Y34" s="87">
        <f t="shared" ca="1" si="20"/>
        <v>0</v>
      </c>
      <c r="Z34" s="87">
        <f t="shared" ca="1" si="20"/>
        <v>0</v>
      </c>
      <c r="AA34" s="87">
        <f t="shared" ca="1" si="20"/>
        <v>0</v>
      </c>
      <c r="AB34" s="87">
        <f t="shared" ca="1" si="20"/>
        <v>0</v>
      </c>
      <c r="AC34" s="87">
        <f t="shared" ca="1" si="20"/>
        <v>0</v>
      </c>
      <c r="AD34" s="87">
        <f t="shared" ca="1" si="20"/>
        <v>0</v>
      </c>
      <c r="AE34" s="87">
        <f t="shared" ca="1" si="21"/>
        <v>0</v>
      </c>
      <c r="AF34" s="87">
        <f t="shared" ca="1" si="21"/>
        <v>0</v>
      </c>
      <c r="AG34" s="87">
        <f t="shared" ca="1" si="21"/>
        <v>0</v>
      </c>
      <c r="AH34" s="87">
        <f t="shared" ca="1" si="21"/>
        <v>0</v>
      </c>
      <c r="AI34" s="87">
        <f t="shared" ca="1" si="21"/>
        <v>0</v>
      </c>
      <c r="AJ34" s="87">
        <f t="shared" ca="1" si="21"/>
        <v>0</v>
      </c>
      <c r="AK34" s="87">
        <f t="shared" ca="1" si="21"/>
        <v>0</v>
      </c>
      <c r="AL34" s="87">
        <f t="shared" ca="1" si="21"/>
        <v>0</v>
      </c>
      <c r="AM34" s="87">
        <f t="shared" ca="1" si="21"/>
        <v>0</v>
      </c>
      <c r="AN34" s="87">
        <f t="shared" ca="1" si="21"/>
        <v>0</v>
      </c>
      <c r="AO34" s="87">
        <f t="shared" ca="1" si="22"/>
        <v>0</v>
      </c>
      <c r="AP34" s="87">
        <f t="shared" ca="1" si="22"/>
        <v>0</v>
      </c>
      <c r="AQ34" s="87">
        <f t="shared" ca="1" si="22"/>
        <v>0</v>
      </c>
      <c r="AR34" s="87">
        <f t="shared" ca="1" si="22"/>
        <v>0</v>
      </c>
      <c r="AS34" s="87">
        <f t="shared" ca="1" si="22"/>
        <v>0</v>
      </c>
      <c r="AT34" s="87">
        <f t="shared" ca="1" si="22"/>
        <v>0</v>
      </c>
      <c r="AU34" s="87">
        <f t="shared" ca="1" si="22"/>
        <v>0</v>
      </c>
      <c r="AV34" s="87">
        <f t="shared" ca="1" si="22"/>
        <v>0</v>
      </c>
      <c r="AW34" s="87">
        <f t="shared" ca="1" si="22"/>
        <v>0</v>
      </c>
      <c r="AX34" s="87">
        <f t="shared" ca="1" si="22"/>
        <v>0</v>
      </c>
      <c r="AY34" s="87">
        <f t="shared" ca="1" si="23"/>
        <v>0</v>
      </c>
      <c r="AZ34" s="87">
        <f t="shared" ca="1" si="23"/>
        <v>0</v>
      </c>
      <c r="BA34" s="87">
        <f t="shared" ca="1" si="23"/>
        <v>0</v>
      </c>
      <c r="BB34" s="87">
        <f t="shared" ca="1" si="23"/>
        <v>0</v>
      </c>
      <c r="BC34" s="87">
        <f t="shared" ca="1" si="23"/>
        <v>0</v>
      </c>
      <c r="BD34" s="87">
        <f t="shared" ca="1" si="23"/>
        <v>0</v>
      </c>
      <c r="BE34" s="87">
        <f t="shared" ca="1" si="23"/>
        <v>0</v>
      </c>
      <c r="BF34" s="87">
        <f t="shared" ca="1" si="23"/>
        <v>0</v>
      </c>
      <c r="BG34" s="87">
        <f t="shared" ca="1" si="23"/>
        <v>0</v>
      </c>
      <c r="BH34" s="87">
        <f t="shared" ca="1" si="23"/>
        <v>0</v>
      </c>
      <c r="BI34" s="87">
        <f t="shared" ca="1" si="23"/>
        <v>0</v>
      </c>
      <c r="BJ34" s="87">
        <f t="shared" ca="1" si="23"/>
        <v>0</v>
      </c>
      <c r="BK34" s="87">
        <f t="shared" ca="1" si="23"/>
        <v>0</v>
      </c>
      <c r="BL34" s="87">
        <f t="shared" ca="1" si="23"/>
        <v>0</v>
      </c>
    </row>
    <row r="35" spans="1:64" x14ac:dyDescent="0.25">
      <c r="A35" s="87">
        <f t="shared" ca="1" si="18"/>
        <v>0</v>
      </c>
      <c r="B35" s="87">
        <f t="shared" ca="1" si="18"/>
        <v>0</v>
      </c>
      <c r="C35" s="87">
        <f t="shared" ca="1" si="18"/>
        <v>0</v>
      </c>
      <c r="D35" s="87">
        <f t="shared" ca="1" si="18"/>
        <v>0</v>
      </c>
      <c r="E35" s="87">
        <f t="shared" ca="1" si="18"/>
        <v>0</v>
      </c>
      <c r="F35" s="87">
        <f t="shared" ca="1" si="18"/>
        <v>0</v>
      </c>
      <c r="G35" s="87">
        <f t="shared" ca="1" si="18"/>
        <v>0</v>
      </c>
      <c r="H35" s="87">
        <f t="shared" ca="1" si="18"/>
        <v>0</v>
      </c>
      <c r="I35" s="87">
        <f t="shared" ca="1" si="18"/>
        <v>0</v>
      </c>
      <c r="J35" s="87">
        <f t="shared" ca="1" si="18"/>
        <v>0</v>
      </c>
      <c r="K35" s="87">
        <f t="shared" ca="1" si="19"/>
        <v>0</v>
      </c>
      <c r="L35" s="87">
        <f t="shared" ca="1" si="19"/>
        <v>0</v>
      </c>
      <c r="M35" s="87">
        <f t="shared" ca="1" si="19"/>
        <v>0</v>
      </c>
      <c r="N35" s="87">
        <f t="shared" ca="1" si="19"/>
        <v>0</v>
      </c>
      <c r="O35" s="87">
        <f t="shared" ca="1" si="19"/>
        <v>0</v>
      </c>
      <c r="P35" s="87">
        <f t="shared" ca="1" si="19"/>
        <v>0</v>
      </c>
      <c r="Q35" s="87">
        <f t="shared" ca="1" si="19"/>
        <v>0</v>
      </c>
      <c r="R35" s="87">
        <f t="shared" ca="1" si="19"/>
        <v>0</v>
      </c>
      <c r="S35" s="87">
        <f t="shared" ca="1" si="19"/>
        <v>0</v>
      </c>
      <c r="T35" s="87">
        <f t="shared" ca="1" si="19"/>
        <v>0</v>
      </c>
      <c r="U35" s="87">
        <f t="shared" ca="1" si="20"/>
        <v>0</v>
      </c>
      <c r="V35" s="87">
        <f t="shared" ca="1" si="20"/>
        <v>0</v>
      </c>
      <c r="W35" s="87">
        <f t="shared" ca="1" si="20"/>
        <v>0</v>
      </c>
      <c r="X35" s="87">
        <f t="shared" ca="1" si="20"/>
        <v>0</v>
      </c>
      <c r="Y35" s="87">
        <f t="shared" ca="1" si="20"/>
        <v>0</v>
      </c>
      <c r="Z35" s="87">
        <f t="shared" ca="1" si="20"/>
        <v>0</v>
      </c>
      <c r="AA35" s="87">
        <f t="shared" ca="1" si="20"/>
        <v>0</v>
      </c>
      <c r="AB35" s="87">
        <f t="shared" ca="1" si="20"/>
        <v>0</v>
      </c>
      <c r="AC35" s="87">
        <f t="shared" ca="1" si="20"/>
        <v>0</v>
      </c>
      <c r="AD35" s="87">
        <f t="shared" ca="1" si="20"/>
        <v>0</v>
      </c>
      <c r="AE35" s="87">
        <f t="shared" ca="1" si="21"/>
        <v>0</v>
      </c>
      <c r="AF35" s="87">
        <f t="shared" ca="1" si="21"/>
        <v>0</v>
      </c>
      <c r="AG35" s="87">
        <f t="shared" ca="1" si="21"/>
        <v>0</v>
      </c>
      <c r="AH35" s="87">
        <f t="shared" ca="1" si="21"/>
        <v>0</v>
      </c>
      <c r="AI35" s="87">
        <f t="shared" ca="1" si="21"/>
        <v>0</v>
      </c>
      <c r="AJ35" s="87">
        <f t="shared" ca="1" si="21"/>
        <v>0</v>
      </c>
      <c r="AK35" s="87">
        <f t="shared" ca="1" si="21"/>
        <v>0</v>
      </c>
      <c r="AL35" s="87">
        <f t="shared" ca="1" si="21"/>
        <v>0</v>
      </c>
      <c r="AM35" s="87">
        <f t="shared" ca="1" si="21"/>
        <v>0</v>
      </c>
      <c r="AN35" s="87">
        <f t="shared" ca="1" si="21"/>
        <v>0</v>
      </c>
      <c r="AO35" s="87">
        <f t="shared" ca="1" si="22"/>
        <v>0</v>
      </c>
      <c r="AP35" s="87">
        <f t="shared" ca="1" si="22"/>
        <v>0</v>
      </c>
      <c r="AQ35" s="87">
        <f t="shared" ca="1" si="22"/>
        <v>0</v>
      </c>
      <c r="AR35" s="87">
        <f t="shared" ca="1" si="22"/>
        <v>0</v>
      </c>
      <c r="AS35" s="87">
        <f t="shared" ca="1" si="22"/>
        <v>0</v>
      </c>
      <c r="AT35" s="87">
        <f t="shared" ca="1" si="22"/>
        <v>0</v>
      </c>
      <c r="AU35" s="87">
        <f t="shared" ca="1" si="22"/>
        <v>0</v>
      </c>
      <c r="AV35" s="87">
        <f t="shared" ca="1" si="22"/>
        <v>0</v>
      </c>
      <c r="AW35" s="87">
        <f t="shared" ca="1" si="22"/>
        <v>0</v>
      </c>
      <c r="AX35" s="87">
        <f t="shared" ca="1" si="22"/>
        <v>0</v>
      </c>
      <c r="AY35" s="87">
        <f t="shared" ca="1" si="23"/>
        <v>0</v>
      </c>
      <c r="AZ35" s="87">
        <f t="shared" ca="1" si="23"/>
        <v>0</v>
      </c>
      <c r="BA35" s="87">
        <f t="shared" ca="1" si="23"/>
        <v>0</v>
      </c>
      <c r="BB35" s="87">
        <f t="shared" ca="1" si="23"/>
        <v>0</v>
      </c>
      <c r="BC35" s="87">
        <f t="shared" ca="1" si="23"/>
        <v>0</v>
      </c>
      <c r="BD35" s="87">
        <f t="shared" ca="1" si="23"/>
        <v>0</v>
      </c>
      <c r="BE35" s="87">
        <f t="shared" ca="1" si="23"/>
        <v>0</v>
      </c>
      <c r="BF35" s="87">
        <f t="shared" ca="1" si="23"/>
        <v>0</v>
      </c>
      <c r="BG35" s="87">
        <f t="shared" ca="1" si="23"/>
        <v>0</v>
      </c>
      <c r="BH35" s="87">
        <f t="shared" ca="1" si="23"/>
        <v>0</v>
      </c>
      <c r="BI35" s="87">
        <f t="shared" ca="1" si="23"/>
        <v>0</v>
      </c>
      <c r="BJ35" s="87">
        <f t="shared" ca="1" si="23"/>
        <v>0</v>
      </c>
      <c r="BK35" s="87">
        <f t="shared" ca="1" si="23"/>
        <v>0</v>
      </c>
      <c r="BL35" s="87">
        <f t="shared" ca="1" si="23"/>
        <v>0</v>
      </c>
    </row>
    <row r="36" spans="1:64" x14ac:dyDescent="0.25">
      <c r="A36" s="87">
        <f t="shared" ca="1" si="18"/>
        <v>0</v>
      </c>
      <c r="B36" s="87">
        <f t="shared" ca="1" si="18"/>
        <v>0</v>
      </c>
      <c r="C36" s="87">
        <f t="shared" ca="1" si="18"/>
        <v>0</v>
      </c>
      <c r="D36" s="87">
        <f t="shared" ca="1" si="18"/>
        <v>0</v>
      </c>
      <c r="E36" s="87">
        <f t="shared" ca="1" si="18"/>
        <v>0</v>
      </c>
      <c r="F36" s="87">
        <f t="shared" ca="1" si="18"/>
        <v>0</v>
      </c>
      <c r="G36" s="87">
        <f t="shared" ca="1" si="18"/>
        <v>0</v>
      </c>
      <c r="H36" s="87">
        <f t="shared" ca="1" si="18"/>
        <v>0</v>
      </c>
      <c r="I36" s="87">
        <f t="shared" ca="1" si="18"/>
        <v>0</v>
      </c>
      <c r="J36" s="87">
        <f t="shared" ca="1" si="18"/>
        <v>0</v>
      </c>
      <c r="K36" s="87">
        <f t="shared" ca="1" si="19"/>
        <v>0</v>
      </c>
      <c r="L36" s="87">
        <f t="shared" ca="1" si="19"/>
        <v>0</v>
      </c>
      <c r="M36" s="87">
        <f t="shared" ca="1" si="19"/>
        <v>0</v>
      </c>
      <c r="N36" s="87">
        <f t="shared" ca="1" si="19"/>
        <v>0</v>
      </c>
      <c r="O36" s="87">
        <f t="shared" ca="1" si="19"/>
        <v>0</v>
      </c>
      <c r="P36" s="87">
        <f t="shared" ca="1" si="19"/>
        <v>0</v>
      </c>
      <c r="Q36" s="87">
        <f t="shared" ca="1" si="19"/>
        <v>0</v>
      </c>
      <c r="R36" s="87">
        <f t="shared" ca="1" si="19"/>
        <v>0</v>
      </c>
      <c r="S36" s="87">
        <f t="shared" ca="1" si="19"/>
        <v>0</v>
      </c>
      <c r="T36" s="87">
        <f t="shared" ca="1" si="19"/>
        <v>0</v>
      </c>
      <c r="U36" s="87">
        <f t="shared" ca="1" si="20"/>
        <v>0</v>
      </c>
      <c r="V36" s="87">
        <f t="shared" ca="1" si="20"/>
        <v>0</v>
      </c>
      <c r="W36" s="87">
        <f t="shared" ca="1" si="20"/>
        <v>0</v>
      </c>
      <c r="X36" s="87">
        <f t="shared" ca="1" si="20"/>
        <v>0</v>
      </c>
      <c r="Y36" s="87">
        <f t="shared" ca="1" si="20"/>
        <v>0</v>
      </c>
      <c r="Z36" s="87">
        <f t="shared" ca="1" si="20"/>
        <v>0</v>
      </c>
      <c r="AA36" s="87">
        <f t="shared" ca="1" si="20"/>
        <v>0</v>
      </c>
      <c r="AB36" s="87">
        <f t="shared" ca="1" si="20"/>
        <v>0</v>
      </c>
      <c r="AC36" s="87">
        <f t="shared" ca="1" si="20"/>
        <v>0</v>
      </c>
      <c r="AD36" s="87">
        <f t="shared" ca="1" si="20"/>
        <v>0</v>
      </c>
      <c r="AE36" s="87">
        <f t="shared" ca="1" si="21"/>
        <v>0</v>
      </c>
      <c r="AF36" s="87">
        <f t="shared" ca="1" si="21"/>
        <v>0</v>
      </c>
      <c r="AG36" s="87">
        <f t="shared" ca="1" si="21"/>
        <v>0</v>
      </c>
      <c r="AH36" s="87">
        <f t="shared" ca="1" si="21"/>
        <v>0</v>
      </c>
      <c r="AI36" s="87">
        <f t="shared" ca="1" si="21"/>
        <v>0</v>
      </c>
      <c r="AJ36" s="87">
        <f t="shared" ca="1" si="21"/>
        <v>0</v>
      </c>
      <c r="AK36" s="87">
        <f t="shared" ca="1" si="21"/>
        <v>0</v>
      </c>
      <c r="AL36" s="87">
        <f t="shared" ca="1" si="21"/>
        <v>0</v>
      </c>
      <c r="AM36" s="87">
        <f t="shared" ca="1" si="21"/>
        <v>0</v>
      </c>
      <c r="AN36" s="87">
        <f t="shared" ca="1" si="21"/>
        <v>0</v>
      </c>
      <c r="AO36" s="87">
        <f t="shared" ca="1" si="22"/>
        <v>0</v>
      </c>
      <c r="AP36" s="87">
        <f t="shared" ca="1" si="22"/>
        <v>0</v>
      </c>
      <c r="AQ36" s="87">
        <f t="shared" ca="1" si="22"/>
        <v>0</v>
      </c>
      <c r="AR36" s="87">
        <f t="shared" ca="1" si="22"/>
        <v>0</v>
      </c>
      <c r="AS36" s="87">
        <f t="shared" ca="1" si="22"/>
        <v>0</v>
      </c>
      <c r="AT36" s="87">
        <f t="shared" ca="1" si="22"/>
        <v>0</v>
      </c>
      <c r="AU36" s="87">
        <f t="shared" ca="1" si="22"/>
        <v>0</v>
      </c>
      <c r="AV36" s="87">
        <f t="shared" ca="1" si="22"/>
        <v>0</v>
      </c>
      <c r="AW36" s="87">
        <f t="shared" ca="1" si="22"/>
        <v>0</v>
      </c>
      <c r="AX36" s="87">
        <f t="shared" ca="1" si="22"/>
        <v>0</v>
      </c>
      <c r="AY36" s="87">
        <f t="shared" ca="1" si="23"/>
        <v>0</v>
      </c>
      <c r="AZ36" s="87">
        <f t="shared" ca="1" si="23"/>
        <v>0</v>
      </c>
      <c r="BA36" s="87">
        <f t="shared" ca="1" si="23"/>
        <v>0</v>
      </c>
      <c r="BB36" s="87">
        <f t="shared" ca="1" si="23"/>
        <v>0</v>
      </c>
      <c r="BC36" s="87">
        <f t="shared" ca="1" si="23"/>
        <v>0</v>
      </c>
      <c r="BD36" s="87">
        <f t="shared" ca="1" si="23"/>
        <v>0</v>
      </c>
      <c r="BE36" s="87">
        <f t="shared" ca="1" si="23"/>
        <v>0</v>
      </c>
      <c r="BF36" s="87">
        <f t="shared" ca="1" si="23"/>
        <v>0</v>
      </c>
      <c r="BG36" s="87">
        <f t="shared" ca="1" si="23"/>
        <v>0</v>
      </c>
      <c r="BH36" s="87">
        <f t="shared" ca="1" si="23"/>
        <v>0</v>
      </c>
      <c r="BI36" s="87">
        <f t="shared" ca="1" si="23"/>
        <v>0</v>
      </c>
      <c r="BJ36" s="87">
        <f t="shared" ca="1" si="23"/>
        <v>0</v>
      </c>
      <c r="BK36" s="87">
        <f t="shared" ca="1" si="23"/>
        <v>0</v>
      </c>
      <c r="BL36" s="87">
        <f t="shared" ca="1" si="23"/>
        <v>0</v>
      </c>
    </row>
    <row r="37" spans="1:64" x14ac:dyDescent="0.25">
      <c r="A37" s="87">
        <f t="shared" ca="1" si="18"/>
        <v>0</v>
      </c>
      <c r="B37" s="87">
        <f t="shared" ca="1" si="18"/>
        <v>0</v>
      </c>
      <c r="C37" s="87">
        <f t="shared" ca="1" si="18"/>
        <v>0</v>
      </c>
      <c r="D37" s="87">
        <f t="shared" ca="1" si="18"/>
        <v>0</v>
      </c>
      <c r="E37" s="87">
        <f t="shared" ca="1" si="18"/>
        <v>0</v>
      </c>
      <c r="F37" s="87">
        <f t="shared" ca="1" si="18"/>
        <v>0</v>
      </c>
      <c r="G37" s="87">
        <f t="shared" ca="1" si="18"/>
        <v>0</v>
      </c>
      <c r="H37" s="87">
        <f t="shared" ca="1" si="18"/>
        <v>0</v>
      </c>
      <c r="I37" s="87">
        <f t="shared" ca="1" si="18"/>
        <v>0</v>
      </c>
      <c r="J37" s="87">
        <f t="shared" ca="1" si="18"/>
        <v>0</v>
      </c>
      <c r="K37" s="87">
        <f t="shared" ca="1" si="19"/>
        <v>0</v>
      </c>
      <c r="L37" s="87">
        <f t="shared" ca="1" si="19"/>
        <v>0</v>
      </c>
      <c r="M37" s="87">
        <f t="shared" ca="1" si="19"/>
        <v>0</v>
      </c>
      <c r="N37" s="87">
        <f t="shared" ca="1" si="19"/>
        <v>0</v>
      </c>
      <c r="O37" s="87">
        <f t="shared" ca="1" si="19"/>
        <v>0</v>
      </c>
      <c r="P37" s="87">
        <f t="shared" ca="1" si="19"/>
        <v>0</v>
      </c>
      <c r="Q37" s="87">
        <f t="shared" ca="1" si="19"/>
        <v>0</v>
      </c>
      <c r="R37" s="87">
        <f t="shared" ca="1" si="19"/>
        <v>0</v>
      </c>
      <c r="S37" s="87">
        <f t="shared" ca="1" si="19"/>
        <v>0</v>
      </c>
      <c r="T37" s="87">
        <f t="shared" ca="1" si="19"/>
        <v>0</v>
      </c>
      <c r="U37" s="87">
        <f t="shared" ca="1" si="20"/>
        <v>0</v>
      </c>
      <c r="V37" s="87">
        <f t="shared" ca="1" si="20"/>
        <v>0</v>
      </c>
      <c r="W37" s="87">
        <f t="shared" ca="1" si="20"/>
        <v>0</v>
      </c>
      <c r="X37" s="87">
        <f t="shared" ca="1" si="20"/>
        <v>0</v>
      </c>
      <c r="Y37" s="87">
        <f t="shared" ca="1" si="20"/>
        <v>0</v>
      </c>
      <c r="Z37" s="87">
        <f t="shared" ca="1" si="20"/>
        <v>0</v>
      </c>
      <c r="AA37" s="87">
        <f t="shared" ca="1" si="20"/>
        <v>0</v>
      </c>
      <c r="AB37" s="87">
        <f t="shared" ca="1" si="20"/>
        <v>0</v>
      </c>
      <c r="AC37" s="87">
        <f t="shared" ca="1" si="20"/>
        <v>0</v>
      </c>
      <c r="AD37" s="87">
        <f t="shared" ca="1" si="20"/>
        <v>0</v>
      </c>
      <c r="AE37" s="87">
        <f t="shared" ca="1" si="21"/>
        <v>0</v>
      </c>
      <c r="AF37" s="87">
        <f t="shared" ca="1" si="21"/>
        <v>0</v>
      </c>
      <c r="AG37" s="87">
        <f t="shared" ca="1" si="21"/>
        <v>0</v>
      </c>
      <c r="AH37" s="87">
        <f t="shared" ca="1" si="21"/>
        <v>0</v>
      </c>
      <c r="AI37" s="87">
        <f t="shared" ca="1" si="21"/>
        <v>0</v>
      </c>
      <c r="AJ37" s="87">
        <f t="shared" ca="1" si="21"/>
        <v>0</v>
      </c>
      <c r="AK37" s="87">
        <f t="shared" ca="1" si="21"/>
        <v>0</v>
      </c>
      <c r="AL37" s="87">
        <f t="shared" ca="1" si="21"/>
        <v>0</v>
      </c>
      <c r="AM37" s="87">
        <f t="shared" ca="1" si="21"/>
        <v>0</v>
      </c>
      <c r="AN37" s="87">
        <f t="shared" ca="1" si="21"/>
        <v>0</v>
      </c>
      <c r="AO37" s="87">
        <f t="shared" ca="1" si="22"/>
        <v>0</v>
      </c>
      <c r="AP37" s="87">
        <f t="shared" ca="1" si="22"/>
        <v>0</v>
      </c>
      <c r="AQ37" s="87">
        <f t="shared" ca="1" si="22"/>
        <v>0</v>
      </c>
      <c r="AR37" s="87">
        <f t="shared" ca="1" si="22"/>
        <v>0</v>
      </c>
      <c r="AS37" s="87">
        <f t="shared" ca="1" si="22"/>
        <v>0</v>
      </c>
      <c r="AT37" s="87">
        <f t="shared" ca="1" si="22"/>
        <v>0</v>
      </c>
      <c r="AU37" s="87">
        <f t="shared" ca="1" si="22"/>
        <v>0</v>
      </c>
      <c r="AV37" s="87">
        <f t="shared" ca="1" si="22"/>
        <v>0</v>
      </c>
      <c r="AW37" s="87">
        <f t="shared" ca="1" si="22"/>
        <v>0</v>
      </c>
      <c r="AX37" s="87">
        <f t="shared" ca="1" si="22"/>
        <v>0</v>
      </c>
      <c r="AY37" s="87">
        <f t="shared" ca="1" si="23"/>
        <v>0</v>
      </c>
      <c r="AZ37" s="87">
        <f t="shared" ca="1" si="23"/>
        <v>0</v>
      </c>
      <c r="BA37" s="87">
        <f t="shared" ca="1" si="23"/>
        <v>0</v>
      </c>
      <c r="BB37" s="87">
        <f t="shared" ca="1" si="23"/>
        <v>0</v>
      </c>
      <c r="BC37" s="87">
        <f t="shared" ca="1" si="23"/>
        <v>0</v>
      </c>
      <c r="BD37" s="87">
        <f t="shared" ca="1" si="23"/>
        <v>0</v>
      </c>
      <c r="BE37" s="87">
        <f t="shared" ca="1" si="23"/>
        <v>0</v>
      </c>
      <c r="BF37" s="87">
        <f t="shared" ca="1" si="23"/>
        <v>0</v>
      </c>
      <c r="BG37" s="87">
        <f t="shared" ca="1" si="23"/>
        <v>0</v>
      </c>
      <c r="BH37" s="87">
        <f t="shared" ca="1" si="23"/>
        <v>0</v>
      </c>
      <c r="BI37" s="87">
        <f t="shared" ca="1" si="23"/>
        <v>0</v>
      </c>
      <c r="BJ37" s="87">
        <f t="shared" ca="1" si="23"/>
        <v>0</v>
      </c>
      <c r="BK37" s="87">
        <f t="shared" ca="1" si="23"/>
        <v>0</v>
      </c>
      <c r="BL37" s="87">
        <f t="shared" ca="1" si="23"/>
        <v>0</v>
      </c>
    </row>
    <row r="38" spans="1:64" x14ac:dyDescent="0.25">
      <c r="A38" s="87">
        <f t="shared" ca="1" si="18"/>
        <v>0</v>
      </c>
      <c r="B38" s="87">
        <f t="shared" ca="1" si="18"/>
        <v>0</v>
      </c>
      <c r="C38" s="87">
        <f t="shared" ca="1" si="18"/>
        <v>0</v>
      </c>
      <c r="D38" s="87">
        <f t="shared" ca="1" si="18"/>
        <v>0</v>
      </c>
      <c r="E38" s="87">
        <f t="shared" ca="1" si="18"/>
        <v>0</v>
      </c>
      <c r="F38" s="87">
        <f t="shared" ca="1" si="18"/>
        <v>0</v>
      </c>
      <c r="G38" s="87">
        <f t="shared" ca="1" si="18"/>
        <v>0</v>
      </c>
      <c r="H38" s="87">
        <f t="shared" ca="1" si="18"/>
        <v>0</v>
      </c>
      <c r="I38" s="87">
        <f t="shared" ca="1" si="18"/>
        <v>0</v>
      </c>
      <c r="J38" s="87">
        <f t="shared" ca="1" si="18"/>
        <v>0</v>
      </c>
      <c r="K38" s="87">
        <f t="shared" ca="1" si="19"/>
        <v>0</v>
      </c>
      <c r="L38" s="87">
        <f t="shared" ca="1" si="19"/>
        <v>0</v>
      </c>
      <c r="M38" s="87">
        <f t="shared" ca="1" si="19"/>
        <v>0</v>
      </c>
      <c r="N38" s="87">
        <f t="shared" ca="1" si="19"/>
        <v>0</v>
      </c>
      <c r="O38" s="87">
        <f t="shared" ca="1" si="19"/>
        <v>0</v>
      </c>
      <c r="P38" s="87">
        <f t="shared" ca="1" si="19"/>
        <v>0</v>
      </c>
      <c r="Q38" s="87">
        <f t="shared" ca="1" si="19"/>
        <v>0</v>
      </c>
      <c r="R38" s="87">
        <f t="shared" ca="1" si="19"/>
        <v>0</v>
      </c>
      <c r="S38" s="87">
        <f t="shared" ca="1" si="19"/>
        <v>0</v>
      </c>
      <c r="T38" s="87">
        <f t="shared" ca="1" si="19"/>
        <v>0</v>
      </c>
      <c r="U38" s="87">
        <f t="shared" ca="1" si="20"/>
        <v>0</v>
      </c>
      <c r="V38" s="87">
        <f t="shared" ca="1" si="20"/>
        <v>0</v>
      </c>
      <c r="W38" s="87">
        <f t="shared" ca="1" si="20"/>
        <v>0</v>
      </c>
      <c r="X38" s="87">
        <f t="shared" ca="1" si="20"/>
        <v>0</v>
      </c>
      <c r="Y38" s="87">
        <f t="shared" ca="1" si="20"/>
        <v>0</v>
      </c>
      <c r="Z38" s="87">
        <f t="shared" ca="1" si="20"/>
        <v>0</v>
      </c>
      <c r="AA38" s="87">
        <f t="shared" ca="1" si="20"/>
        <v>0</v>
      </c>
      <c r="AB38" s="87">
        <f t="shared" ca="1" si="20"/>
        <v>0</v>
      </c>
      <c r="AC38" s="87">
        <f t="shared" ca="1" si="20"/>
        <v>0</v>
      </c>
      <c r="AD38" s="87">
        <f t="shared" ca="1" si="20"/>
        <v>0</v>
      </c>
      <c r="AE38" s="87">
        <f t="shared" ca="1" si="21"/>
        <v>0</v>
      </c>
      <c r="AF38" s="87">
        <f t="shared" ca="1" si="21"/>
        <v>0</v>
      </c>
      <c r="AG38" s="87">
        <f t="shared" ca="1" si="21"/>
        <v>0</v>
      </c>
      <c r="AH38" s="87">
        <f t="shared" ca="1" si="21"/>
        <v>0</v>
      </c>
      <c r="AI38" s="87">
        <f t="shared" ca="1" si="21"/>
        <v>0</v>
      </c>
      <c r="AJ38" s="87">
        <f t="shared" ca="1" si="21"/>
        <v>0</v>
      </c>
      <c r="AK38" s="87">
        <f t="shared" ca="1" si="21"/>
        <v>0</v>
      </c>
      <c r="AL38" s="87">
        <f t="shared" ca="1" si="21"/>
        <v>0</v>
      </c>
      <c r="AM38" s="87">
        <f t="shared" ca="1" si="21"/>
        <v>0</v>
      </c>
      <c r="AN38" s="87">
        <f t="shared" ca="1" si="21"/>
        <v>0</v>
      </c>
      <c r="AO38" s="87">
        <f t="shared" ca="1" si="22"/>
        <v>0</v>
      </c>
      <c r="AP38" s="87">
        <f t="shared" ca="1" si="22"/>
        <v>0</v>
      </c>
      <c r="AQ38" s="87">
        <f t="shared" ca="1" si="22"/>
        <v>0</v>
      </c>
      <c r="AR38" s="87">
        <f t="shared" ca="1" si="22"/>
        <v>0</v>
      </c>
      <c r="AS38" s="87">
        <f t="shared" ca="1" si="22"/>
        <v>0</v>
      </c>
      <c r="AT38" s="87">
        <f t="shared" ca="1" si="22"/>
        <v>0</v>
      </c>
      <c r="AU38" s="87">
        <f t="shared" ca="1" si="22"/>
        <v>0</v>
      </c>
      <c r="AV38" s="87">
        <f t="shared" ca="1" si="22"/>
        <v>0</v>
      </c>
      <c r="AW38" s="87">
        <f t="shared" ca="1" si="22"/>
        <v>0</v>
      </c>
      <c r="AX38" s="87">
        <f t="shared" ca="1" si="22"/>
        <v>0</v>
      </c>
      <c r="AY38" s="87">
        <f t="shared" ca="1" si="23"/>
        <v>0</v>
      </c>
      <c r="AZ38" s="87">
        <f t="shared" ca="1" si="23"/>
        <v>0</v>
      </c>
      <c r="BA38" s="87">
        <f t="shared" ca="1" si="23"/>
        <v>0</v>
      </c>
      <c r="BB38" s="87">
        <f t="shared" ca="1" si="23"/>
        <v>0</v>
      </c>
      <c r="BC38" s="87">
        <f t="shared" ca="1" si="23"/>
        <v>0</v>
      </c>
      <c r="BD38" s="87">
        <f t="shared" ca="1" si="23"/>
        <v>0</v>
      </c>
      <c r="BE38" s="87">
        <f t="shared" ca="1" si="23"/>
        <v>0</v>
      </c>
      <c r="BF38" s="87">
        <f t="shared" ca="1" si="23"/>
        <v>0</v>
      </c>
      <c r="BG38" s="87">
        <f t="shared" ca="1" si="23"/>
        <v>0</v>
      </c>
      <c r="BH38" s="87">
        <f t="shared" ca="1" si="23"/>
        <v>0</v>
      </c>
      <c r="BI38" s="87">
        <f t="shared" ca="1" si="23"/>
        <v>0</v>
      </c>
      <c r="BJ38" s="87">
        <f t="shared" ca="1" si="23"/>
        <v>0</v>
      </c>
      <c r="BK38" s="87">
        <f t="shared" ca="1" si="23"/>
        <v>0</v>
      </c>
      <c r="BL38" s="87">
        <f t="shared" ca="1" si="23"/>
        <v>0</v>
      </c>
    </row>
    <row r="39" spans="1:64" x14ac:dyDescent="0.25">
      <c r="A39" s="87">
        <f t="shared" ca="1" si="18"/>
        <v>0</v>
      </c>
      <c r="B39" s="87">
        <f t="shared" ca="1" si="18"/>
        <v>0</v>
      </c>
      <c r="C39" s="87">
        <f t="shared" ca="1" si="18"/>
        <v>0</v>
      </c>
      <c r="D39" s="87">
        <f t="shared" ca="1" si="18"/>
        <v>0</v>
      </c>
      <c r="E39" s="87">
        <f t="shared" ca="1" si="18"/>
        <v>0</v>
      </c>
      <c r="F39" s="87">
        <f t="shared" ca="1" si="18"/>
        <v>0</v>
      </c>
      <c r="G39" s="87">
        <f t="shared" ca="1" si="18"/>
        <v>0</v>
      </c>
      <c r="H39" s="87">
        <f t="shared" ca="1" si="18"/>
        <v>0</v>
      </c>
      <c r="I39" s="87">
        <f t="shared" ca="1" si="18"/>
        <v>0</v>
      </c>
      <c r="J39" s="87">
        <f t="shared" ca="1" si="18"/>
        <v>0</v>
      </c>
      <c r="K39" s="87">
        <f t="shared" ca="1" si="19"/>
        <v>0</v>
      </c>
      <c r="L39" s="87">
        <f t="shared" ca="1" si="19"/>
        <v>0</v>
      </c>
      <c r="M39" s="87">
        <f t="shared" ca="1" si="19"/>
        <v>0</v>
      </c>
      <c r="N39" s="87">
        <f t="shared" ca="1" si="19"/>
        <v>0</v>
      </c>
      <c r="O39" s="87">
        <f t="shared" ca="1" si="19"/>
        <v>0</v>
      </c>
      <c r="P39" s="87">
        <f t="shared" ca="1" si="19"/>
        <v>0</v>
      </c>
      <c r="Q39" s="87">
        <f t="shared" ca="1" si="19"/>
        <v>0</v>
      </c>
      <c r="R39" s="87">
        <f t="shared" ca="1" si="19"/>
        <v>0</v>
      </c>
      <c r="S39" s="87">
        <f t="shared" ca="1" si="19"/>
        <v>0</v>
      </c>
      <c r="T39" s="87">
        <f t="shared" ca="1" si="19"/>
        <v>0</v>
      </c>
      <c r="U39" s="87">
        <f t="shared" ca="1" si="20"/>
        <v>0</v>
      </c>
      <c r="V39" s="87">
        <f t="shared" ca="1" si="20"/>
        <v>0</v>
      </c>
      <c r="W39" s="87">
        <f t="shared" ca="1" si="20"/>
        <v>0</v>
      </c>
      <c r="X39" s="87">
        <f t="shared" ca="1" si="20"/>
        <v>0</v>
      </c>
      <c r="Y39" s="87">
        <f t="shared" ca="1" si="20"/>
        <v>0</v>
      </c>
      <c r="Z39" s="87">
        <f t="shared" ca="1" si="20"/>
        <v>0</v>
      </c>
      <c r="AA39" s="87">
        <f t="shared" ca="1" si="20"/>
        <v>0</v>
      </c>
      <c r="AB39" s="87">
        <f t="shared" ca="1" si="20"/>
        <v>0</v>
      </c>
      <c r="AC39" s="87">
        <f t="shared" ca="1" si="20"/>
        <v>0</v>
      </c>
      <c r="AD39" s="87">
        <f t="shared" ca="1" si="20"/>
        <v>0</v>
      </c>
      <c r="AE39" s="87">
        <f t="shared" ca="1" si="21"/>
        <v>0</v>
      </c>
      <c r="AF39" s="87">
        <f t="shared" ca="1" si="21"/>
        <v>0</v>
      </c>
      <c r="AG39" s="87">
        <f t="shared" ca="1" si="21"/>
        <v>0</v>
      </c>
      <c r="AH39" s="87">
        <f t="shared" ca="1" si="21"/>
        <v>0</v>
      </c>
      <c r="AI39" s="87">
        <f t="shared" ca="1" si="21"/>
        <v>0</v>
      </c>
      <c r="AJ39" s="87">
        <f t="shared" ca="1" si="21"/>
        <v>0</v>
      </c>
      <c r="AK39" s="87">
        <f t="shared" ca="1" si="21"/>
        <v>0</v>
      </c>
      <c r="AL39" s="87">
        <f t="shared" ca="1" si="21"/>
        <v>0</v>
      </c>
      <c r="AM39" s="87">
        <f t="shared" ca="1" si="21"/>
        <v>0</v>
      </c>
      <c r="AN39" s="87">
        <f t="shared" ca="1" si="21"/>
        <v>0</v>
      </c>
      <c r="AO39" s="87">
        <f t="shared" ca="1" si="22"/>
        <v>0</v>
      </c>
      <c r="AP39" s="87">
        <f t="shared" ca="1" si="22"/>
        <v>0</v>
      </c>
      <c r="AQ39" s="87">
        <f t="shared" ca="1" si="22"/>
        <v>0</v>
      </c>
      <c r="AR39" s="87">
        <f t="shared" ca="1" si="22"/>
        <v>0</v>
      </c>
      <c r="AS39" s="87">
        <f t="shared" ca="1" si="22"/>
        <v>0</v>
      </c>
      <c r="AT39" s="87">
        <f t="shared" ca="1" si="22"/>
        <v>0</v>
      </c>
      <c r="AU39" s="87">
        <f t="shared" ca="1" si="22"/>
        <v>0</v>
      </c>
      <c r="AV39" s="87">
        <f t="shared" ca="1" si="22"/>
        <v>0</v>
      </c>
      <c r="AW39" s="87">
        <f t="shared" ca="1" si="22"/>
        <v>0</v>
      </c>
      <c r="AX39" s="87">
        <f t="shared" ca="1" si="22"/>
        <v>0</v>
      </c>
      <c r="AY39" s="87">
        <f t="shared" ca="1" si="23"/>
        <v>0</v>
      </c>
      <c r="AZ39" s="87">
        <f t="shared" ca="1" si="23"/>
        <v>0</v>
      </c>
      <c r="BA39" s="87">
        <f t="shared" ca="1" si="23"/>
        <v>0</v>
      </c>
      <c r="BB39" s="87">
        <f t="shared" ca="1" si="23"/>
        <v>0</v>
      </c>
      <c r="BC39" s="87">
        <f t="shared" ca="1" si="23"/>
        <v>0</v>
      </c>
      <c r="BD39" s="87">
        <f t="shared" ca="1" si="23"/>
        <v>0</v>
      </c>
      <c r="BE39" s="87">
        <f t="shared" ca="1" si="23"/>
        <v>0</v>
      </c>
      <c r="BF39" s="87">
        <f t="shared" ca="1" si="23"/>
        <v>0</v>
      </c>
      <c r="BG39" s="87">
        <f t="shared" ca="1" si="23"/>
        <v>0</v>
      </c>
      <c r="BH39" s="87">
        <f t="shared" ca="1" si="23"/>
        <v>0</v>
      </c>
      <c r="BI39" s="87">
        <f t="shared" ca="1" si="23"/>
        <v>0</v>
      </c>
      <c r="BJ39" s="87">
        <f t="shared" ca="1" si="23"/>
        <v>0</v>
      </c>
      <c r="BK39" s="87">
        <f t="shared" ca="1" si="23"/>
        <v>0</v>
      </c>
      <c r="BL39" s="87">
        <f t="shared" ca="1" si="23"/>
        <v>0</v>
      </c>
    </row>
    <row r="40" spans="1:64" x14ac:dyDescent="0.25">
      <c r="A40" s="87">
        <f t="shared" ca="1" si="18"/>
        <v>0</v>
      </c>
      <c r="B40" s="87">
        <f t="shared" ca="1" si="18"/>
        <v>0</v>
      </c>
      <c r="C40" s="87">
        <f t="shared" ca="1" si="18"/>
        <v>0</v>
      </c>
      <c r="D40" s="87">
        <f t="shared" ca="1" si="18"/>
        <v>0</v>
      </c>
      <c r="E40" s="87">
        <f t="shared" ca="1" si="18"/>
        <v>0</v>
      </c>
      <c r="F40" s="87">
        <f t="shared" ca="1" si="18"/>
        <v>0</v>
      </c>
      <c r="G40" s="87">
        <f t="shared" ca="1" si="18"/>
        <v>0</v>
      </c>
      <c r="H40" s="87">
        <f t="shared" ca="1" si="18"/>
        <v>0</v>
      </c>
      <c r="I40" s="87">
        <f t="shared" ca="1" si="18"/>
        <v>0</v>
      </c>
      <c r="J40" s="87">
        <f t="shared" ca="1" si="18"/>
        <v>0</v>
      </c>
      <c r="K40" s="87">
        <f t="shared" ca="1" si="19"/>
        <v>0</v>
      </c>
      <c r="L40" s="87">
        <f t="shared" ca="1" si="19"/>
        <v>0</v>
      </c>
      <c r="M40" s="87">
        <f t="shared" ca="1" si="19"/>
        <v>0</v>
      </c>
      <c r="N40" s="87">
        <f t="shared" ca="1" si="19"/>
        <v>0</v>
      </c>
      <c r="O40" s="87">
        <f t="shared" ca="1" si="19"/>
        <v>0</v>
      </c>
      <c r="P40" s="87">
        <f t="shared" ca="1" si="19"/>
        <v>0</v>
      </c>
      <c r="Q40" s="87">
        <f t="shared" ca="1" si="19"/>
        <v>0</v>
      </c>
      <c r="R40" s="87">
        <f t="shared" ca="1" si="19"/>
        <v>0</v>
      </c>
      <c r="S40" s="87">
        <f t="shared" ca="1" si="19"/>
        <v>0</v>
      </c>
      <c r="T40" s="87">
        <f t="shared" ca="1" si="19"/>
        <v>0</v>
      </c>
      <c r="U40" s="87">
        <f t="shared" ca="1" si="20"/>
        <v>0</v>
      </c>
      <c r="V40" s="87">
        <f t="shared" ca="1" si="20"/>
        <v>0</v>
      </c>
      <c r="W40" s="87">
        <f t="shared" ca="1" si="20"/>
        <v>0</v>
      </c>
      <c r="X40" s="87">
        <f t="shared" ca="1" si="20"/>
        <v>0</v>
      </c>
      <c r="Y40" s="87">
        <f t="shared" ca="1" si="20"/>
        <v>0</v>
      </c>
      <c r="Z40" s="87">
        <f t="shared" ca="1" si="20"/>
        <v>0</v>
      </c>
      <c r="AA40" s="87">
        <f t="shared" ca="1" si="20"/>
        <v>0</v>
      </c>
      <c r="AB40" s="87">
        <f t="shared" ca="1" si="20"/>
        <v>0</v>
      </c>
      <c r="AC40" s="87">
        <f t="shared" ca="1" si="20"/>
        <v>0</v>
      </c>
      <c r="AD40" s="87">
        <f t="shared" ca="1" si="20"/>
        <v>0</v>
      </c>
      <c r="AE40" s="87">
        <f t="shared" ca="1" si="21"/>
        <v>0</v>
      </c>
      <c r="AF40" s="87">
        <f t="shared" ca="1" si="21"/>
        <v>0</v>
      </c>
      <c r="AG40" s="87">
        <f t="shared" ca="1" si="21"/>
        <v>0</v>
      </c>
      <c r="AH40" s="87">
        <f t="shared" ca="1" si="21"/>
        <v>0</v>
      </c>
      <c r="AI40" s="87">
        <f t="shared" ca="1" si="21"/>
        <v>0</v>
      </c>
      <c r="AJ40" s="87">
        <f t="shared" ca="1" si="21"/>
        <v>0</v>
      </c>
      <c r="AK40" s="87">
        <f t="shared" ca="1" si="21"/>
        <v>0</v>
      </c>
      <c r="AL40" s="87">
        <f t="shared" ca="1" si="21"/>
        <v>0</v>
      </c>
      <c r="AM40" s="87">
        <f t="shared" ca="1" si="21"/>
        <v>0</v>
      </c>
      <c r="AN40" s="87">
        <f t="shared" ca="1" si="21"/>
        <v>0</v>
      </c>
      <c r="AO40" s="87">
        <f t="shared" ca="1" si="22"/>
        <v>0</v>
      </c>
      <c r="AP40" s="87">
        <f t="shared" ca="1" si="22"/>
        <v>0</v>
      </c>
      <c r="AQ40" s="87">
        <f t="shared" ca="1" si="22"/>
        <v>0</v>
      </c>
      <c r="AR40" s="87">
        <f t="shared" ca="1" si="22"/>
        <v>0</v>
      </c>
      <c r="AS40" s="87">
        <f t="shared" ca="1" si="22"/>
        <v>0</v>
      </c>
      <c r="AT40" s="87">
        <f t="shared" ca="1" si="22"/>
        <v>0</v>
      </c>
      <c r="AU40" s="87">
        <f t="shared" ca="1" si="22"/>
        <v>0</v>
      </c>
      <c r="AV40" s="87">
        <f t="shared" ca="1" si="22"/>
        <v>0</v>
      </c>
      <c r="AW40" s="87">
        <f t="shared" ca="1" si="22"/>
        <v>0</v>
      </c>
      <c r="AX40" s="87">
        <f t="shared" ca="1" si="22"/>
        <v>0</v>
      </c>
      <c r="AY40" s="87">
        <f t="shared" ca="1" si="23"/>
        <v>0</v>
      </c>
      <c r="AZ40" s="87">
        <f t="shared" ca="1" si="23"/>
        <v>0</v>
      </c>
      <c r="BA40" s="87">
        <f t="shared" ca="1" si="23"/>
        <v>0</v>
      </c>
      <c r="BB40" s="87">
        <f t="shared" ca="1" si="23"/>
        <v>0</v>
      </c>
      <c r="BC40" s="87">
        <f t="shared" ca="1" si="23"/>
        <v>0</v>
      </c>
      <c r="BD40" s="87">
        <f t="shared" ca="1" si="23"/>
        <v>0</v>
      </c>
      <c r="BE40" s="87">
        <f t="shared" ca="1" si="23"/>
        <v>0</v>
      </c>
      <c r="BF40" s="87">
        <f t="shared" ca="1" si="23"/>
        <v>0</v>
      </c>
      <c r="BG40" s="87">
        <f t="shared" ca="1" si="23"/>
        <v>0</v>
      </c>
      <c r="BH40" s="87">
        <f t="shared" ca="1" si="23"/>
        <v>0</v>
      </c>
      <c r="BI40" s="87">
        <f t="shared" ca="1" si="23"/>
        <v>0</v>
      </c>
      <c r="BJ40" s="87">
        <f t="shared" ca="1" si="23"/>
        <v>0</v>
      </c>
      <c r="BK40" s="87">
        <f t="shared" ca="1" si="23"/>
        <v>0</v>
      </c>
      <c r="BL40" s="87">
        <f t="shared" ca="1" si="23"/>
        <v>0</v>
      </c>
    </row>
    <row r="41" spans="1:64" x14ac:dyDescent="0.25">
      <c r="A41" s="87">
        <f t="shared" ref="A41:J50" ca="1" si="24">IF(AND(OP="11",RAMX=DEC2BIN(COLUMN(A41)-1,8),RAMY=DEC2BIN(ROW(A41)-1,8)),DATA,A41)</f>
        <v>0</v>
      </c>
      <c r="B41" s="87">
        <f t="shared" ca="1" si="24"/>
        <v>0</v>
      </c>
      <c r="C41" s="87">
        <f t="shared" ca="1" si="24"/>
        <v>0</v>
      </c>
      <c r="D41" s="87">
        <f t="shared" ca="1" si="24"/>
        <v>0</v>
      </c>
      <c r="E41" s="87">
        <f t="shared" ca="1" si="24"/>
        <v>0</v>
      </c>
      <c r="F41" s="87">
        <f t="shared" ca="1" si="24"/>
        <v>0</v>
      </c>
      <c r="G41" s="87">
        <f t="shared" ca="1" si="24"/>
        <v>0</v>
      </c>
      <c r="H41" s="87">
        <f t="shared" ca="1" si="24"/>
        <v>0</v>
      </c>
      <c r="I41" s="87">
        <f t="shared" ca="1" si="24"/>
        <v>0</v>
      </c>
      <c r="J41" s="87">
        <f t="shared" ca="1" si="24"/>
        <v>0</v>
      </c>
      <c r="K41" s="87">
        <f t="shared" ref="K41:T50" ca="1" si="25">IF(AND(OP="11",RAMX=DEC2BIN(COLUMN(K41)-1,8),RAMY=DEC2BIN(ROW(K41)-1,8)),DATA,K41)</f>
        <v>0</v>
      </c>
      <c r="L41" s="87">
        <f t="shared" ca="1" si="25"/>
        <v>0</v>
      </c>
      <c r="M41" s="87">
        <f t="shared" ca="1" si="25"/>
        <v>0</v>
      </c>
      <c r="N41" s="87">
        <f t="shared" ca="1" si="25"/>
        <v>0</v>
      </c>
      <c r="O41" s="87">
        <f t="shared" ca="1" si="25"/>
        <v>0</v>
      </c>
      <c r="P41" s="87">
        <f t="shared" ca="1" si="25"/>
        <v>0</v>
      </c>
      <c r="Q41" s="87">
        <f t="shared" ca="1" si="25"/>
        <v>0</v>
      </c>
      <c r="R41" s="87">
        <f t="shared" ca="1" si="25"/>
        <v>0</v>
      </c>
      <c r="S41" s="87">
        <f t="shared" ca="1" si="25"/>
        <v>0</v>
      </c>
      <c r="T41" s="87">
        <f t="shared" ca="1" si="25"/>
        <v>0</v>
      </c>
      <c r="U41" s="87">
        <f t="shared" ref="U41:AD50" ca="1" si="26">IF(AND(OP="11",RAMX=DEC2BIN(COLUMN(U41)-1,8),RAMY=DEC2BIN(ROW(U41)-1,8)),DATA,U41)</f>
        <v>0</v>
      </c>
      <c r="V41" s="87">
        <f t="shared" ca="1" si="26"/>
        <v>0</v>
      </c>
      <c r="W41" s="87">
        <f t="shared" ca="1" si="26"/>
        <v>0</v>
      </c>
      <c r="X41" s="87">
        <f t="shared" ca="1" si="26"/>
        <v>0</v>
      </c>
      <c r="Y41" s="87">
        <f t="shared" ca="1" si="26"/>
        <v>0</v>
      </c>
      <c r="Z41" s="87">
        <f t="shared" ca="1" si="26"/>
        <v>0</v>
      </c>
      <c r="AA41" s="87">
        <f t="shared" ca="1" si="26"/>
        <v>0</v>
      </c>
      <c r="AB41" s="87">
        <f t="shared" ca="1" si="26"/>
        <v>0</v>
      </c>
      <c r="AC41" s="87">
        <f t="shared" ca="1" si="26"/>
        <v>0</v>
      </c>
      <c r="AD41" s="87">
        <f t="shared" ca="1" si="26"/>
        <v>0</v>
      </c>
      <c r="AE41" s="87">
        <f t="shared" ref="AE41:AN50" ca="1" si="27">IF(AND(OP="11",RAMX=DEC2BIN(COLUMN(AE41)-1,8),RAMY=DEC2BIN(ROW(AE41)-1,8)),DATA,AE41)</f>
        <v>0</v>
      </c>
      <c r="AF41" s="87">
        <f t="shared" ca="1" si="27"/>
        <v>0</v>
      </c>
      <c r="AG41" s="87">
        <f t="shared" ca="1" si="27"/>
        <v>0</v>
      </c>
      <c r="AH41" s="87">
        <f t="shared" ca="1" si="27"/>
        <v>0</v>
      </c>
      <c r="AI41" s="87">
        <f t="shared" ca="1" si="27"/>
        <v>0</v>
      </c>
      <c r="AJ41" s="87">
        <f t="shared" ca="1" si="27"/>
        <v>0</v>
      </c>
      <c r="AK41" s="87">
        <f t="shared" ca="1" si="27"/>
        <v>0</v>
      </c>
      <c r="AL41" s="87">
        <f t="shared" ca="1" si="27"/>
        <v>0</v>
      </c>
      <c r="AM41" s="87">
        <f t="shared" ca="1" si="27"/>
        <v>0</v>
      </c>
      <c r="AN41" s="87">
        <f t="shared" ca="1" si="27"/>
        <v>0</v>
      </c>
      <c r="AO41" s="87">
        <f t="shared" ref="AO41:AX50" ca="1" si="28">IF(AND(OP="11",RAMX=DEC2BIN(COLUMN(AO41)-1,8),RAMY=DEC2BIN(ROW(AO41)-1,8)),DATA,AO41)</f>
        <v>0</v>
      </c>
      <c r="AP41" s="87">
        <f t="shared" ca="1" si="28"/>
        <v>0</v>
      </c>
      <c r="AQ41" s="87">
        <f t="shared" ca="1" si="28"/>
        <v>0</v>
      </c>
      <c r="AR41" s="87">
        <f t="shared" ca="1" si="28"/>
        <v>0</v>
      </c>
      <c r="AS41" s="87">
        <f t="shared" ca="1" si="28"/>
        <v>0</v>
      </c>
      <c r="AT41" s="87">
        <f t="shared" ca="1" si="28"/>
        <v>0</v>
      </c>
      <c r="AU41" s="87">
        <f t="shared" ca="1" si="28"/>
        <v>0</v>
      </c>
      <c r="AV41" s="87">
        <f t="shared" ca="1" si="28"/>
        <v>0</v>
      </c>
      <c r="AW41" s="87">
        <f t="shared" ca="1" si="28"/>
        <v>0</v>
      </c>
      <c r="AX41" s="87">
        <f t="shared" ca="1" si="28"/>
        <v>0</v>
      </c>
      <c r="AY41" s="87">
        <f t="shared" ref="AY41:BL50" ca="1" si="29">IF(AND(OP="11",RAMX=DEC2BIN(COLUMN(AY41)-1,8),RAMY=DEC2BIN(ROW(AY41)-1,8)),DATA,AY41)</f>
        <v>0</v>
      </c>
      <c r="AZ41" s="87">
        <f t="shared" ca="1" si="29"/>
        <v>0</v>
      </c>
      <c r="BA41" s="87">
        <f t="shared" ca="1" si="29"/>
        <v>0</v>
      </c>
      <c r="BB41" s="87">
        <f t="shared" ca="1" si="29"/>
        <v>0</v>
      </c>
      <c r="BC41" s="87">
        <f t="shared" ca="1" si="29"/>
        <v>0</v>
      </c>
      <c r="BD41" s="87">
        <f t="shared" ca="1" si="29"/>
        <v>0</v>
      </c>
      <c r="BE41" s="87">
        <f t="shared" ca="1" si="29"/>
        <v>0</v>
      </c>
      <c r="BF41" s="87">
        <f t="shared" ca="1" si="29"/>
        <v>0</v>
      </c>
      <c r="BG41" s="87">
        <f t="shared" ca="1" si="29"/>
        <v>0</v>
      </c>
      <c r="BH41" s="87">
        <f t="shared" ca="1" si="29"/>
        <v>0</v>
      </c>
      <c r="BI41" s="87">
        <f t="shared" ca="1" si="29"/>
        <v>0</v>
      </c>
      <c r="BJ41" s="87">
        <f t="shared" ca="1" si="29"/>
        <v>0</v>
      </c>
      <c r="BK41" s="87">
        <f t="shared" ca="1" si="29"/>
        <v>0</v>
      </c>
      <c r="BL41" s="87">
        <f t="shared" ca="1" si="29"/>
        <v>0</v>
      </c>
    </row>
    <row r="42" spans="1:64" x14ac:dyDescent="0.25">
      <c r="A42" s="87">
        <f t="shared" ca="1" si="24"/>
        <v>0</v>
      </c>
      <c r="B42" s="87">
        <f t="shared" ca="1" si="24"/>
        <v>0</v>
      </c>
      <c r="C42" s="87">
        <f t="shared" ca="1" si="24"/>
        <v>0</v>
      </c>
      <c r="D42" s="87">
        <f t="shared" ca="1" si="24"/>
        <v>0</v>
      </c>
      <c r="E42" s="87">
        <f t="shared" ca="1" si="24"/>
        <v>0</v>
      </c>
      <c r="F42" s="87">
        <f t="shared" ca="1" si="24"/>
        <v>0</v>
      </c>
      <c r="G42" s="87">
        <f t="shared" ca="1" si="24"/>
        <v>0</v>
      </c>
      <c r="H42" s="87">
        <f t="shared" ca="1" si="24"/>
        <v>0</v>
      </c>
      <c r="I42" s="87">
        <f t="shared" ca="1" si="24"/>
        <v>0</v>
      </c>
      <c r="J42" s="87">
        <f t="shared" ca="1" si="24"/>
        <v>0</v>
      </c>
      <c r="K42" s="87">
        <f t="shared" ca="1" si="25"/>
        <v>0</v>
      </c>
      <c r="L42" s="87">
        <f t="shared" ca="1" si="25"/>
        <v>0</v>
      </c>
      <c r="M42" s="87">
        <f t="shared" ca="1" si="25"/>
        <v>0</v>
      </c>
      <c r="N42" s="87">
        <f t="shared" ca="1" si="25"/>
        <v>0</v>
      </c>
      <c r="O42" s="87">
        <f t="shared" ca="1" si="25"/>
        <v>0</v>
      </c>
      <c r="P42" s="87">
        <f t="shared" ca="1" si="25"/>
        <v>0</v>
      </c>
      <c r="Q42" s="87">
        <f t="shared" ca="1" si="25"/>
        <v>0</v>
      </c>
      <c r="R42" s="87">
        <f t="shared" ca="1" si="25"/>
        <v>0</v>
      </c>
      <c r="S42" s="87">
        <f t="shared" ca="1" si="25"/>
        <v>0</v>
      </c>
      <c r="T42" s="87">
        <f t="shared" ca="1" si="25"/>
        <v>0</v>
      </c>
      <c r="U42" s="87">
        <f t="shared" ca="1" si="26"/>
        <v>0</v>
      </c>
      <c r="V42" s="87">
        <f t="shared" ca="1" si="26"/>
        <v>0</v>
      </c>
      <c r="W42" s="87">
        <f t="shared" ca="1" si="26"/>
        <v>0</v>
      </c>
      <c r="X42" s="87">
        <f t="shared" ca="1" si="26"/>
        <v>0</v>
      </c>
      <c r="Y42" s="87">
        <f t="shared" ca="1" si="26"/>
        <v>0</v>
      </c>
      <c r="Z42" s="87">
        <f t="shared" ca="1" si="26"/>
        <v>0</v>
      </c>
      <c r="AA42" s="87">
        <f t="shared" ca="1" si="26"/>
        <v>0</v>
      </c>
      <c r="AB42" s="87">
        <f t="shared" ca="1" si="26"/>
        <v>0</v>
      </c>
      <c r="AC42" s="87">
        <f t="shared" ca="1" si="26"/>
        <v>0</v>
      </c>
      <c r="AD42" s="87">
        <f t="shared" ca="1" si="26"/>
        <v>0</v>
      </c>
      <c r="AE42" s="87">
        <f t="shared" ca="1" si="27"/>
        <v>0</v>
      </c>
      <c r="AF42" s="87">
        <f t="shared" ca="1" si="27"/>
        <v>0</v>
      </c>
      <c r="AG42" s="87">
        <f t="shared" ca="1" si="27"/>
        <v>0</v>
      </c>
      <c r="AH42" s="87">
        <f t="shared" ca="1" si="27"/>
        <v>0</v>
      </c>
      <c r="AI42" s="87">
        <f t="shared" ca="1" si="27"/>
        <v>0</v>
      </c>
      <c r="AJ42" s="87">
        <f t="shared" ca="1" si="27"/>
        <v>0</v>
      </c>
      <c r="AK42" s="87">
        <f t="shared" ca="1" si="27"/>
        <v>0</v>
      </c>
      <c r="AL42" s="87">
        <f t="shared" ca="1" si="27"/>
        <v>0</v>
      </c>
      <c r="AM42" s="87">
        <f t="shared" ca="1" si="27"/>
        <v>0</v>
      </c>
      <c r="AN42" s="87">
        <f t="shared" ca="1" si="27"/>
        <v>0</v>
      </c>
      <c r="AO42" s="87">
        <f t="shared" ca="1" si="28"/>
        <v>0</v>
      </c>
      <c r="AP42" s="87">
        <f t="shared" ca="1" si="28"/>
        <v>0</v>
      </c>
      <c r="AQ42" s="87">
        <f t="shared" ca="1" si="28"/>
        <v>0</v>
      </c>
      <c r="AR42" s="87">
        <f t="shared" ca="1" si="28"/>
        <v>0</v>
      </c>
      <c r="AS42" s="87">
        <f t="shared" ca="1" si="28"/>
        <v>0</v>
      </c>
      <c r="AT42" s="87">
        <f t="shared" ca="1" si="28"/>
        <v>0</v>
      </c>
      <c r="AU42" s="87">
        <f t="shared" ca="1" si="28"/>
        <v>0</v>
      </c>
      <c r="AV42" s="87">
        <f t="shared" ca="1" si="28"/>
        <v>0</v>
      </c>
      <c r="AW42" s="87">
        <f t="shared" ca="1" si="28"/>
        <v>0</v>
      </c>
      <c r="AX42" s="87">
        <f t="shared" ca="1" si="28"/>
        <v>0</v>
      </c>
      <c r="AY42" s="87">
        <f t="shared" ca="1" si="29"/>
        <v>0</v>
      </c>
      <c r="AZ42" s="87">
        <f t="shared" ca="1" si="29"/>
        <v>0</v>
      </c>
      <c r="BA42" s="87">
        <f t="shared" ca="1" si="29"/>
        <v>0</v>
      </c>
      <c r="BB42" s="87">
        <f t="shared" ca="1" si="29"/>
        <v>0</v>
      </c>
      <c r="BC42" s="87">
        <f t="shared" ca="1" si="29"/>
        <v>0</v>
      </c>
      <c r="BD42" s="87">
        <f t="shared" ca="1" si="29"/>
        <v>0</v>
      </c>
      <c r="BE42" s="87">
        <f t="shared" ca="1" si="29"/>
        <v>0</v>
      </c>
      <c r="BF42" s="87">
        <f t="shared" ca="1" si="29"/>
        <v>0</v>
      </c>
      <c r="BG42" s="87">
        <f t="shared" ca="1" si="29"/>
        <v>0</v>
      </c>
      <c r="BH42" s="87">
        <f t="shared" ca="1" si="29"/>
        <v>0</v>
      </c>
      <c r="BI42" s="87">
        <f t="shared" ca="1" si="29"/>
        <v>0</v>
      </c>
      <c r="BJ42" s="87">
        <f t="shared" ca="1" si="29"/>
        <v>0</v>
      </c>
      <c r="BK42" s="87">
        <f t="shared" ca="1" si="29"/>
        <v>0</v>
      </c>
      <c r="BL42" s="87">
        <f t="shared" ca="1" si="29"/>
        <v>0</v>
      </c>
    </row>
    <row r="43" spans="1:64" x14ac:dyDescent="0.25">
      <c r="A43" s="87">
        <f t="shared" ca="1" si="24"/>
        <v>0</v>
      </c>
      <c r="B43" s="87">
        <f t="shared" ca="1" si="24"/>
        <v>0</v>
      </c>
      <c r="C43" s="87">
        <f t="shared" ca="1" si="24"/>
        <v>0</v>
      </c>
      <c r="D43" s="87">
        <f t="shared" ca="1" si="24"/>
        <v>0</v>
      </c>
      <c r="E43" s="87">
        <f t="shared" ca="1" si="24"/>
        <v>0</v>
      </c>
      <c r="F43" s="87">
        <f t="shared" ca="1" si="24"/>
        <v>0</v>
      </c>
      <c r="G43" s="87">
        <f t="shared" ca="1" si="24"/>
        <v>0</v>
      </c>
      <c r="H43" s="87">
        <f t="shared" ca="1" si="24"/>
        <v>0</v>
      </c>
      <c r="I43" s="87">
        <f t="shared" ca="1" si="24"/>
        <v>0</v>
      </c>
      <c r="J43" s="87">
        <f t="shared" ca="1" si="24"/>
        <v>0</v>
      </c>
      <c r="K43" s="87">
        <f t="shared" ca="1" si="25"/>
        <v>0</v>
      </c>
      <c r="L43" s="87">
        <f t="shared" ca="1" si="25"/>
        <v>0</v>
      </c>
      <c r="M43" s="87">
        <f t="shared" ca="1" si="25"/>
        <v>0</v>
      </c>
      <c r="N43" s="87">
        <f t="shared" ca="1" si="25"/>
        <v>0</v>
      </c>
      <c r="O43" s="87">
        <f t="shared" ca="1" si="25"/>
        <v>0</v>
      </c>
      <c r="P43" s="87">
        <f t="shared" ca="1" si="25"/>
        <v>0</v>
      </c>
      <c r="Q43" s="87">
        <f t="shared" ca="1" si="25"/>
        <v>0</v>
      </c>
      <c r="R43" s="87">
        <f t="shared" ca="1" si="25"/>
        <v>0</v>
      </c>
      <c r="S43" s="87">
        <f t="shared" ca="1" si="25"/>
        <v>0</v>
      </c>
      <c r="T43" s="87">
        <f t="shared" ca="1" si="25"/>
        <v>0</v>
      </c>
      <c r="U43" s="87">
        <f t="shared" ca="1" si="26"/>
        <v>0</v>
      </c>
      <c r="V43" s="87">
        <f t="shared" ca="1" si="26"/>
        <v>0</v>
      </c>
      <c r="W43" s="87">
        <f t="shared" ca="1" si="26"/>
        <v>0</v>
      </c>
      <c r="X43" s="87">
        <f t="shared" ca="1" si="26"/>
        <v>0</v>
      </c>
      <c r="Y43" s="87">
        <f t="shared" ca="1" si="26"/>
        <v>0</v>
      </c>
      <c r="Z43" s="87">
        <f t="shared" ca="1" si="26"/>
        <v>0</v>
      </c>
      <c r="AA43" s="87">
        <f t="shared" ca="1" si="26"/>
        <v>0</v>
      </c>
      <c r="AB43" s="87">
        <f t="shared" ca="1" si="26"/>
        <v>0</v>
      </c>
      <c r="AC43" s="87">
        <f t="shared" ca="1" si="26"/>
        <v>0</v>
      </c>
      <c r="AD43" s="87">
        <f t="shared" ca="1" si="26"/>
        <v>0</v>
      </c>
      <c r="AE43" s="87">
        <f t="shared" ca="1" si="27"/>
        <v>0</v>
      </c>
      <c r="AF43" s="87">
        <f t="shared" ca="1" si="27"/>
        <v>0</v>
      </c>
      <c r="AG43" s="87">
        <f t="shared" ca="1" si="27"/>
        <v>0</v>
      </c>
      <c r="AH43" s="87">
        <f t="shared" ca="1" si="27"/>
        <v>0</v>
      </c>
      <c r="AI43" s="87">
        <f t="shared" ca="1" si="27"/>
        <v>0</v>
      </c>
      <c r="AJ43" s="87">
        <f t="shared" ca="1" si="27"/>
        <v>0</v>
      </c>
      <c r="AK43" s="87">
        <f t="shared" ca="1" si="27"/>
        <v>0</v>
      </c>
      <c r="AL43" s="87">
        <f t="shared" ca="1" si="27"/>
        <v>0</v>
      </c>
      <c r="AM43" s="87">
        <f t="shared" ca="1" si="27"/>
        <v>0</v>
      </c>
      <c r="AN43" s="87">
        <f t="shared" ca="1" si="27"/>
        <v>0</v>
      </c>
      <c r="AO43" s="87">
        <f t="shared" ca="1" si="28"/>
        <v>0</v>
      </c>
      <c r="AP43" s="87">
        <f t="shared" ca="1" si="28"/>
        <v>0</v>
      </c>
      <c r="AQ43" s="87">
        <f t="shared" ca="1" si="28"/>
        <v>0</v>
      </c>
      <c r="AR43" s="87">
        <f t="shared" ca="1" si="28"/>
        <v>0</v>
      </c>
      <c r="AS43" s="87">
        <f t="shared" ca="1" si="28"/>
        <v>0</v>
      </c>
      <c r="AT43" s="87">
        <f t="shared" ca="1" si="28"/>
        <v>0</v>
      </c>
      <c r="AU43" s="87">
        <f t="shared" ca="1" si="28"/>
        <v>0</v>
      </c>
      <c r="AV43" s="87">
        <f t="shared" ca="1" si="28"/>
        <v>0</v>
      </c>
      <c r="AW43" s="87">
        <f t="shared" ca="1" si="28"/>
        <v>0</v>
      </c>
      <c r="AX43" s="87">
        <f t="shared" ca="1" si="28"/>
        <v>0</v>
      </c>
      <c r="AY43" s="87">
        <f t="shared" ca="1" si="29"/>
        <v>0</v>
      </c>
      <c r="AZ43" s="87">
        <f t="shared" ca="1" si="29"/>
        <v>0</v>
      </c>
      <c r="BA43" s="87">
        <f t="shared" ca="1" si="29"/>
        <v>0</v>
      </c>
      <c r="BB43" s="87">
        <f t="shared" ca="1" si="29"/>
        <v>0</v>
      </c>
      <c r="BC43" s="87">
        <f t="shared" ca="1" si="29"/>
        <v>0</v>
      </c>
      <c r="BD43" s="87">
        <f t="shared" ca="1" si="29"/>
        <v>0</v>
      </c>
      <c r="BE43" s="87">
        <f t="shared" ca="1" si="29"/>
        <v>0</v>
      </c>
      <c r="BF43" s="87">
        <f t="shared" ca="1" si="29"/>
        <v>0</v>
      </c>
      <c r="BG43" s="87">
        <f t="shared" ca="1" si="29"/>
        <v>0</v>
      </c>
      <c r="BH43" s="87">
        <f t="shared" ca="1" si="29"/>
        <v>0</v>
      </c>
      <c r="BI43" s="87">
        <f t="shared" ca="1" si="29"/>
        <v>0</v>
      </c>
      <c r="BJ43" s="87">
        <f t="shared" ca="1" si="29"/>
        <v>0</v>
      </c>
      <c r="BK43" s="87">
        <f t="shared" ca="1" si="29"/>
        <v>0</v>
      </c>
      <c r="BL43" s="87">
        <f t="shared" ca="1" si="29"/>
        <v>0</v>
      </c>
    </row>
    <row r="44" spans="1:64" x14ac:dyDescent="0.25">
      <c r="A44" s="87">
        <f t="shared" ca="1" si="24"/>
        <v>0</v>
      </c>
      <c r="B44" s="87">
        <f t="shared" ca="1" si="24"/>
        <v>0</v>
      </c>
      <c r="C44" s="87">
        <f t="shared" ca="1" si="24"/>
        <v>0</v>
      </c>
      <c r="D44" s="87">
        <f t="shared" ca="1" si="24"/>
        <v>0</v>
      </c>
      <c r="E44" s="87">
        <f t="shared" ca="1" si="24"/>
        <v>0</v>
      </c>
      <c r="F44" s="87">
        <f t="shared" ca="1" si="24"/>
        <v>0</v>
      </c>
      <c r="G44" s="87">
        <f t="shared" ca="1" si="24"/>
        <v>0</v>
      </c>
      <c r="H44" s="87">
        <f t="shared" ca="1" si="24"/>
        <v>0</v>
      </c>
      <c r="I44" s="87">
        <f t="shared" ca="1" si="24"/>
        <v>0</v>
      </c>
      <c r="J44" s="87">
        <f t="shared" ca="1" si="24"/>
        <v>0</v>
      </c>
      <c r="K44" s="87">
        <f t="shared" ca="1" si="25"/>
        <v>0</v>
      </c>
      <c r="L44" s="87">
        <f t="shared" ca="1" si="25"/>
        <v>0</v>
      </c>
      <c r="M44" s="87">
        <f t="shared" ca="1" si="25"/>
        <v>0</v>
      </c>
      <c r="N44" s="87">
        <f t="shared" ca="1" si="25"/>
        <v>0</v>
      </c>
      <c r="O44" s="87">
        <f t="shared" ca="1" si="25"/>
        <v>0</v>
      </c>
      <c r="P44" s="87">
        <f t="shared" ca="1" si="25"/>
        <v>0</v>
      </c>
      <c r="Q44" s="87">
        <f t="shared" ca="1" si="25"/>
        <v>0</v>
      </c>
      <c r="R44" s="87">
        <f t="shared" ca="1" si="25"/>
        <v>0</v>
      </c>
      <c r="S44" s="87">
        <f t="shared" ca="1" si="25"/>
        <v>0</v>
      </c>
      <c r="T44" s="87">
        <f t="shared" ca="1" si="25"/>
        <v>0</v>
      </c>
      <c r="U44" s="87">
        <f t="shared" ca="1" si="26"/>
        <v>0</v>
      </c>
      <c r="V44" s="87">
        <f t="shared" ca="1" si="26"/>
        <v>0</v>
      </c>
      <c r="W44" s="87">
        <f t="shared" ca="1" si="26"/>
        <v>0</v>
      </c>
      <c r="X44" s="87">
        <f t="shared" ca="1" si="26"/>
        <v>0</v>
      </c>
      <c r="Y44" s="87">
        <f t="shared" ca="1" si="26"/>
        <v>0</v>
      </c>
      <c r="Z44" s="87">
        <f t="shared" ca="1" si="26"/>
        <v>0</v>
      </c>
      <c r="AA44" s="87">
        <f t="shared" ca="1" si="26"/>
        <v>0</v>
      </c>
      <c r="AB44" s="87">
        <f t="shared" ca="1" si="26"/>
        <v>0</v>
      </c>
      <c r="AC44" s="87">
        <f t="shared" ca="1" si="26"/>
        <v>0</v>
      </c>
      <c r="AD44" s="87">
        <f t="shared" ca="1" si="26"/>
        <v>0</v>
      </c>
      <c r="AE44" s="87">
        <f t="shared" ca="1" si="27"/>
        <v>0</v>
      </c>
      <c r="AF44" s="87">
        <f t="shared" ca="1" si="27"/>
        <v>0</v>
      </c>
      <c r="AG44" s="87">
        <f t="shared" ca="1" si="27"/>
        <v>0</v>
      </c>
      <c r="AH44" s="87">
        <f t="shared" ca="1" si="27"/>
        <v>0</v>
      </c>
      <c r="AI44" s="87">
        <f t="shared" ca="1" si="27"/>
        <v>0</v>
      </c>
      <c r="AJ44" s="87">
        <f t="shared" ca="1" si="27"/>
        <v>0</v>
      </c>
      <c r="AK44" s="87">
        <f t="shared" ca="1" si="27"/>
        <v>0</v>
      </c>
      <c r="AL44" s="87">
        <f t="shared" ca="1" si="27"/>
        <v>0</v>
      </c>
      <c r="AM44" s="87">
        <f t="shared" ca="1" si="27"/>
        <v>0</v>
      </c>
      <c r="AN44" s="87">
        <f t="shared" ca="1" si="27"/>
        <v>0</v>
      </c>
      <c r="AO44" s="87">
        <f t="shared" ca="1" si="28"/>
        <v>0</v>
      </c>
      <c r="AP44" s="87">
        <f t="shared" ca="1" si="28"/>
        <v>0</v>
      </c>
      <c r="AQ44" s="87">
        <f t="shared" ca="1" si="28"/>
        <v>0</v>
      </c>
      <c r="AR44" s="87">
        <f t="shared" ca="1" si="28"/>
        <v>0</v>
      </c>
      <c r="AS44" s="87">
        <f t="shared" ca="1" si="28"/>
        <v>0</v>
      </c>
      <c r="AT44" s="87">
        <f t="shared" ca="1" si="28"/>
        <v>0</v>
      </c>
      <c r="AU44" s="87">
        <f t="shared" ca="1" si="28"/>
        <v>0</v>
      </c>
      <c r="AV44" s="87">
        <f t="shared" ca="1" si="28"/>
        <v>0</v>
      </c>
      <c r="AW44" s="87">
        <f t="shared" ca="1" si="28"/>
        <v>0</v>
      </c>
      <c r="AX44" s="87">
        <f t="shared" ca="1" si="28"/>
        <v>0</v>
      </c>
      <c r="AY44" s="87">
        <f t="shared" ca="1" si="29"/>
        <v>0</v>
      </c>
      <c r="AZ44" s="87">
        <f t="shared" ca="1" si="29"/>
        <v>0</v>
      </c>
      <c r="BA44" s="87">
        <f t="shared" ca="1" si="29"/>
        <v>0</v>
      </c>
      <c r="BB44" s="87">
        <f t="shared" ca="1" si="29"/>
        <v>0</v>
      </c>
      <c r="BC44" s="87">
        <f t="shared" ca="1" si="29"/>
        <v>0</v>
      </c>
      <c r="BD44" s="87">
        <f t="shared" ca="1" si="29"/>
        <v>0</v>
      </c>
      <c r="BE44" s="87">
        <f t="shared" ca="1" si="29"/>
        <v>0</v>
      </c>
      <c r="BF44" s="87">
        <f t="shared" ca="1" si="29"/>
        <v>0</v>
      </c>
      <c r="BG44" s="87">
        <f t="shared" ca="1" si="29"/>
        <v>0</v>
      </c>
      <c r="BH44" s="87">
        <f t="shared" ca="1" si="29"/>
        <v>0</v>
      </c>
      <c r="BI44" s="87">
        <f t="shared" ca="1" si="29"/>
        <v>0</v>
      </c>
      <c r="BJ44" s="87">
        <f t="shared" ca="1" si="29"/>
        <v>0</v>
      </c>
      <c r="BK44" s="87">
        <f t="shared" ca="1" si="29"/>
        <v>0</v>
      </c>
      <c r="BL44" s="87">
        <f t="shared" ca="1" si="29"/>
        <v>0</v>
      </c>
    </row>
    <row r="45" spans="1:64" x14ac:dyDescent="0.25">
      <c r="A45" s="87">
        <f t="shared" ca="1" si="24"/>
        <v>0</v>
      </c>
      <c r="B45" s="87">
        <f t="shared" ca="1" si="24"/>
        <v>0</v>
      </c>
      <c r="C45" s="87">
        <f t="shared" ca="1" si="24"/>
        <v>0</v>
      </c>
      <c r="D45" s="87">
        <f t="shared" ca="1" si="24"/>
        <v>0</v>
      </c>
      <c r="E45" s="87">
        <f t="shared" ca="1" si="24"/>
        <v>0</v>
      </c>
      <c r="F45" s="87">
        <f t="shared" ca="1" si="24"/>
        <v>0</v>
      </c>
      <c r="G45" s="87">
        <f t="shared" ca="1" si="24"/>
        <v>0</v>
      </c>
      <c r="H45" s="87">
        <f t="shared" ca="1" si="24"/>
        <v>0</v>
      </c>
      <c r="I45" s="87">
        <f t="shared" ca="1" si="24"/>
        <v>0</v>
      </c>
      <c r="J45" s="87">
        <f t="shared" ca="1" si="24"/>
        <v>0</v>
      </c>
      <c r="K45" s="87">
        <f t="shared" ca="1" si="25"/>
        <v>0</v>
      </c>
      <c r="L45" s="87">
        <f t="shared" ca="1" si="25"/>
        <v>0</v>
      </c>
      <c r="M45" s="87">
        <f t="shared" ca="1" si="25"/>
        <v>0</v>
      </c>
      <c r="N45" s="87">
        <f t="shared" ca="1" si="25"/>
        <v>0</v>
      </c>
      <c r="O45" s="87">
        <f t="shared" ca="1" si="25"/>
        <v>0</v>
      </c>
      <c r="P45" s="87">
        <f t="shared" ca="1" si="25"/>
        <v>0</v>
      </c>
      <c r="Q45" s="87">
        <f t="shared" ca="1" si="25"/>
        <v>0</v>
      </c>
      <c r="R45" s="87">
        <f t="shared" ca="1" si="25"/>
        <v>0</v>
      </c>
      <c r="S45" s="87">
        <f t="shared" ca="1" si="25"/>
        <v>0</v>
      </c>
      <c r="T45" s="87">
        <f t="shared" ca="1" si="25"/>
        <v>0</v>
      </c>
      <c r="U45" s="87">
        <f t="shared" ca="1" si="26"/>
        <v>0</v>
      </c>
      <c r="V45" s="87">
        <f t="shared" ca="1" si="26"/>
        <v>0</v>
      </c>
      <c r="W45" s="87">
        <f t="shared" ca="1" si="26"/>
        <v>0</v>
      </c>
      <c r="X45" s="87">
        <f t="shared" ca="1" si="26"/>
        <v>0</v>
      </c>
      <c r="Y45" s="87">
        <f t="shared" ca="1" si="26"/>
        <v>0</v>
      </c>
      <c r="Z45" s="87">
        <f t="shared" ca="1" si="26"/>
        <v>0</v>
      </c>
      <c r="AA45" s="87">
        <f t="shared" ca="1" si="26"/>
        <v>0</v>
      </c>
      <c r="AB45" s="87">
        <f t="shared" ca="1" si="26"/>
        <v>0</v>
      </c>
      <c r="AC45" s="87">
        <f t="shared" ca="1" si="26"/>
        <v>0</v>
      </c>
      <c r="AD45" s="87">
        <f t="shared" ca="1" si="26"/>
        <v>0</v>
      </c>
      <c r="AE45" s="87">
        <f t="shared" ca="1" si="27"/>
        <v>0</v>
      </c>
      <c r="AF45" s="87">
        <f t="shared" ca="1" si="27"/>
        <v>0</v>
      </c>
      <c r="AG45" s="87">
        <f t="shared" ca="1" si="27"/>
        <v>0</v>
      </c>
      <c r="AH45" s="87">
        <f t="shared" ca="1" si="27"/>
        <v>0</v>
      </c>
      <c r="AI45" s="87">
        <f t="shared" ca="1" si="27"/>
        <v>0</v>
      </c>
      <c r="AJ45" s="87">
        <f t="shared" ca="1" si="27"/>
        <v>0</v>
      </c>
      <c r="AK45" s="87">
        <f t="shared" ca="1" si="27"/>
        <v>0</v>
      </c>
      <c r="AL45" s="87">
        <f t="shared" ca="1" si="27"/>
        <v>0</v>
      </c>
      <c r="AM45" s="87">
        <f t="shared" ca="1" si="27"/>
        <v>0</v>
      </c>
      <c r="AN45" s="87">
        <f t="shared" ca="1" si="27"/>
        <v>0</v>
      </c>
      <c r="AO45" s="87">
        <f t="shared" ca="1" si="28"/>
        <v>0</v>
      </c>
      <c r="AP45" s="87">
        <f t="shared" ca="1" si="28"/>
        <v>0</v>
      </c>
      <c r="AQ45" s="87">
        <f t="shared" ca="1" si="28"/>
        <v>0</v>
      </c>
      <c r="AR45" s="87">
        <f t="shared" ca="1" si="28"/>
        <v>0</v>
      </c>
      <c r="AS45" s="87">
        <f t="shared" ca="1" si="28"/>
        <v>0</v>
      </c>
      <c r="AT45" s="87">
        <f t="shared" ca="1" si="28"/>
        <v>0</v>
      </c>
      <c r="AU45" s="87">
        <f t="shared" ca="1" si="28"/>
        <v>0</v>
      </c>
      <c r="AV45" s="87">
        <f t="shared" ca="1" si="28"/>
        <v>0</v>
      </c>
      <c r="AW45" s="87">
        <f t="shared" ca="1" si="28"/>
        <v>0</v>
      </c>
      <c r="AX45" s="87">
        <f t="shared" ca="1" si="28"/>
        <v>0</v>
      </c>
      <c r="AY45" s="87">
        <f t="shared" ca="1" si="29"/>
        <v>0</v>
      </c>
      <c r="AZ45" s="87">
        <f t="shared" ca="1" si="29"/>
        <v>0</v>
      </c>
      <c r="BA45" s="87">
        <f t="shared" ca="1" si="29"/>
        <v>0</v>
      </c>
      <c r="BB45" s="87">
        <f t="shared" ca="1" si="29"/>
        <v>0</v>
      </c>
      <c r="BC45" s="87">
        <f t="shared" ca="1" si="29"/>
        <v>0</v>
      </c>
      <c r="BD45" s="87">
        <f t="shared" ca="1" si="29"/>
        <v>0</v>
      </c>
      <c r="BE45" s="87">
        <f t="shared" ca="1" si="29"/>
        <v>0</v>
      </c>
      <c r="BF45" s="87">
        <f t="shared" ca="1" si="29"/>
        <v>0</v>
      </c>
      <c r="BG45" s="87">
        <f t="shared" ca="1" si="29"/>
        <v>0</v>
      </c>
      <c r="BH45" s="87">
        <f t="shared" ca="1" si="29"/>
        <v>0</v>
      </c>
      <c r="BI45" s="87">
        <f t="shared" ca="1" si="29"/>
        <v>0</v>
      </c>
      <c r="BJ45" s="87">
        <f t="shared" ca="1" si="29"/>
        <v>0</v>
      </c>
      <c r="BK45" s="87">
        <f t="shared" ca="1" si="29"/>
        <v>0</v>
      </c>
      <c r="BL45" s="87">
        <f t="shared" ca="1" si="29"/>
        <v>0</v>
      </c>
    </row>
    <row r="46" spans="1:64" x14ac:dyDescent="0.25">
      <c r="A46" s="87">
        <f t="shared" ca="1" si="24"/>
        <v>0</v>
      </c>
      <c r="B46" s="87">
        <f t="shared" ca="1" si="24"/>
        <v>0</v>
      </c>
      <c r="C46" s="87">
        <f t="shared" ca="1" si="24"/>
        <v>0</v>
      </c>
      <c r="D46" s="87">
        <f t="shared" ca="1" si="24"/>
        <v>0</v>
      </c>
      <c r="E46" s="87">
        <f t="shared" ca="1" si="24"/>
        <v>0</v>
      </c>
      <c r="F46" s="87">
        <f t="shared" ca="1" si="24"/>
        <v>0</v>
      </c>
      <c r="G46" s="87">
        <f t="shared" ca="1" si="24"/>
        <v>0</v>
      </c>
      <c r="H46" s="87">
        <f t="shared" ca="1" si="24"/>
        <v>0</v>
      </c>
      <c r="I46" s="87">
        <f t="shared" ca="1" si="24"/>
        <v>0</v>
      </c>
      <c r="J46" s="87">
        <f t="shared" ca="1" si="24"/>
        <v>0</v>
      </c>
      <c r="K46" s="87">
        <f t="shared" ca="1" si="25"/>
        <v>0</v>
      </c>
      <c r="L46" s="87">
        <f t="shared" ca="1" si="25"/>
        <v>0</v>
      </c>
      <c r="M46" s="87">
        <f t="shared" ca="1" si="25"/>
        <v>0</v>
      </c>
      <c r="N46" s="87">
        <f t="shared" ca="1" si="25"/>
        <v>0</v>
      </c>
      <c r="O46" s="87">
        <f t="shared" ca="1" si="25"/>
        <v>0</v>
      </c>
      <c r="P46" s="87">
        <f t="shared" ca="1" si="25"/>
        <v>0</v>
      </c>
      <c r="Q46" s="87">
        <f t="shared" ca="1" si="25"/>
        <v>0</v>
      </c>
      <c r="R46" s="87">
        <f t="shared" ca="1" si="25"/>
        <v>0</v>
      </c>
      <c r="S46" s="87">
        <f t="shared" ca="1" si="25"/>
        <v>0</v>
      </c>
      <c r="T46" s="87">
        <f t="shared" ca="1" si="25"/>
        <v>0</v>
      </c>
      <c r="U46" s="87">
        <f t="shared" ca="1" si="26"/>
        <v>0</v>
      </c>
      <c r="V46" s="87">
        <f t="shared" ca="1" si="26"/>
        <v>0</v>
      </c>
      <c r="W46" s="87">
        <f t="shared" ca="1" si="26"/>
        <v>0</v>
      </c>
      <c r="X46" s="87">
        <f t="shared" ca="1" si="26"/>
        <v>0</v>
      </c>
      <c r="Y46" s="87">
        <f t="shared" ca="1" si="26"/>
        <v>0</v>
      </c>
      <c r="Z46" s="87">
        <f t="shared" ca="1" si="26"/>
        <v>0</v>
      </c>
      <c r="AA46" s="87">
        <f t="shared" ca="1" si="26"/>
        <v>0</v>
      </c>
      <c r="AB46" s="87">
        <f t="shared" ca="1" si="26"/>
        <v>0</v>
      </c>
      <c r="AC46" s="87">
        <f t="shared" ca="1" si="26"/>
        <v>0</v>
      </c>
      <c r="AD46" s="87">
        <f t="shared" ca="1" si="26"/>
        <v>0</v>
      </c>
      <c r="AE46" s="87">
        <f t="shared" ca="1" si="27"/>
        <v>0</v>
      </c>
      <c r="AF46" s="87">
        <f t="shared" ca="1" si="27"/>
        <v>0</v>
      </c>
      <c r="AG46" s="87">
        <f t="shared" ca="1" si="27"/>
        <v>0</v>
      </c>
      <c r="AH46" s="87">
        <f t="shared" ca="1" si="27"/>
        <v>0</v>
      </c>
      <c r="AI46" s="87">
        <f t="shared" ca="1" si="27"/>
        <v>0</v>
      </c>
      <c r="AJ46" s="87">
        <f t="shared" ca="1" si="27"/>
        <v>0</v>
      </c>
      <c r="AK46" s="87">
        <f t="shared" ca="1" si="27"/>
        <v>0</v>
      </c>
      <c r="AL46" s="87">
        <f t="shared" ca="1" si="27"/>
        <v>0</v>
      </c>
      <c r="AM46" s="87">
        <f t="shared" ca="1" si="27"/>
        <v>0</v>
      </c>
      <c r="AN46" s="87">
        <f t="shared" ca="1" si="27"/>
        <v>0</v>
      </c>
      <c r="AO46" s="87">
        <f t="shared" ca="1" si="28"/>
        <v>0</v>
      </c>
      <c r="AP46" s="87">
        <f t="shared" ca="1" si="28"/>
        <v>0</v>
      </c>
      <c r="AQ46" s="87">
        <f t="shared" ca="1" si="28"/>
        <v>0</v>
      </c>
      <c r="AR46" s="87">
        <f t="shared" ca="1" si="28"/>
        <v>0</v>
      </c>
      <c r="AS46" s="87">
        <f t="shared" ca="1" si="28"/>
        <v>0</v>
      </c>
      <c r="AT46" s="87">
        <f t="shared" ca="1" si="28"/>
        <v>0</v>
      </c>
      <c r="AU46" s="87">
        <f t="shared" ca="1" si="28"/>
        <v>0</v>
      </c>
      <c r="AV46" s="87">
        <f t="shared" ca="1" si="28"/>
        <v>0</v>
      </c>
      <c r="AW46" s="87">
        <f t="shared" ca="1" si="28"/>
        <v>0</v>
      </c>
      <c r="AX46" s="87">
        <f t="shared" ca="1" si="28"/>
        <v>0</v>
      </c>
      <c r="AY46" s="87">
        <f t="shared" ca="1" si="29"/>
        <v>0</v>
      </c>
      <c r="AZ46" s="87">
        <f t="shared" ca="1" si="29"/>
        <v>0</v>
      </c>
      <c r="BA46" s="87">
        <f t="shared" ca="1" si="29"/>
        <v>0</v>
      </c>
      <c r="BB46" s="87">
        <f t="shared" ca="1" si="29"/>
        <v>0</v>
      </c>
      <c r="BC46" s="87">
        <f t="shared" ca="1" si="29"/>
        <v>0</v>
      </c>
      <c r="BD46" s="87">
        <f t="shared" ca="1" si="29"/>
        <v>0</v>
      </c>
      <c r="BE46" s="87">
        <f t="shared" ca="1" si="29"/>
        <v>0</v>
      </c>
      <c r="BF46" s="87">
        <f t="shared" ca="1" si="29"/>
        <v>0</v>
      </c>
      <c r="BG46" s="87">
        <f t="shared" ca="1" si="29"/>
        <v>0</v>
      </c>
      <c r="BH46" s="87">
        <f t="shared" ca="1" si="29"/>
        <v>0</v>
      </c>
      <c r="BI46" s="87">
        <f t="shared" ca="1" si="29"/>
        <v>0</v>
      </c>
      <c r="BJ46" s="87">
        <f t="shared" ca="1" si="29"/>
        <v>0</v>
      </c>
      <c r="BK46" s="87">
        <f t="shared" ca="1" si="29"/>
        <v>0</v>
      </c>
      <c r="BL46" s="87">
        <f t="shared" ca="1" si="29"/>
        <v>0</v>
      </c>
    </row>
    <row r="47" spans="1:64" x14ac:dyDescent="0.25">
      <c r="A47" s="87">
        <f t="shared" ca="1" si="24"/>
        <v>0</v>
      </c>
      <c r="B47" s="87">
        <f t="shared" ca="1" si="24"/>
        <v>0</v>
      </c>
      <c r="C47" s="87">
        <f t="shared" ca="1" si="24"/>
        <v>0</v>
      </c>
      <c r="D47" s="87">
        <f t="shared" ca="1" si="24"/>
        <v>0</v>
      </c>
      <c r="E47" s="87">
        <f t="shared" ca="1" si="24"/>
        <v>0</v>
      </c>
      <c r="F47" s="87">
        <f t="shared" ca="1" si="24"/>
        <v>0</v>
      </c>
      <c r="G47" s="87">
        <f t="shared" ca="1" si="24"/>
        <v>0</v>
      </c>
      <c r="H47" s="87">
        <f t="shared" ca="1" si="24"/>
        <v>0</v>
      </c>
      <c r="I47" s="87">
        <f t="shared" ca="1" si="24"/>
        <v>0</v>
      </c>
      <c r="J47" s="87">
        <f t="shared" ca="1" si="24"/>
        <v>0</v>
      </c>
      <c r="K47" s="87">
        <f t="shared" ca="1" si="25"/>
        <v>0</v>
      </c>
      <c r="L47" s="87">
        <f t="shared" ca="1" si="25"/>
        <v>0</v>
      </c>
      <c r="M47" s="87">
        <f t="shared" ca="1" si="25"/>
        <v>0</v>
      </c>
      <c r="N47" s="87">
        <f t="shared" ca="1" si="25"/>
        <v>0</v>
      </c>
      <c r="O47" s="87">
        <f t="shared" ca="1" si="25"/>
        <v>0</v>
      </c>
      <c r="P47" s="87">
        <f t="shared" ca="1" si="25"/>
        <v>0</v>
      </c>
      <c r="Q47" s="87">
        <f t="shared" ca="1" si="25"/>
        <v>0</v>
      </c>
      <c r="R47" s="87">
        <f t="shared" ca="1" si="25"/>
        <v>0</v>
      </c>
      <c r="S47" s="87">
        <f t="shared" ca="1" si="25"/>
        <v>0</v>
      </c>
      <c r="T47" s="87">
        <f t="shared" ca="1" si="25"/>
        <v>0</v>
      </c>
      <c r="U47" s="87">
        <f t="shared" ca="1" si="26"/>
        <v>0</v>
      </c>
      <c r="V47" s="87">
        <f t="shared" ca="1" si="26"/>
        <v>0</v>
      </c>
      <c r="W47" s="87">
        <f t="shared" ca="1" si="26"/>
        <v>0</v>
      </c>
      <c r="X47" s="87">
        <f t="shared" ca="1" si="26"/>
        <v>0</v>
      </c>
      <c r="Y47" s="87">
        <f t="shared" ca="1" si="26"/>
        <v>0</v>
      </c>
      <c r="Z47" s="87">
        <f t="shared" ca="1" si="26"/>
        <v>0</v>
      </c>
      <c r="AA47" s="87">
        <f t="shared" ca="1" si="26"/>
        <v>0</v>
      </c>
      <c r="AB47" s="87">
        <f t="shared" ca="1" si="26"/>
        <v>0</v>
      </c>
      <c r="AC47" s="87">
        <f t="shared" ca="1" si="26"/>
        <v>0</v>
      </c>
      <c r="AD47" s="87">
        <f t="shared" ca="1" si="26"/>
        <v>0</v>
      </c>
      <c r="AE47" s="87">
        <f t="shared" ca="1" si="27"/>
        <v>0</v>
      </c>
      <c r="AF47" s="87">
        <f t="shared" ca="1" si="27"/>
        <v>0</v>
      </c>
      <c r="AG47" s="87">
        <f t="shared" ca="1" si="27"/>
        <v>0</v>
      </c>
      <c r="AH47" s="87">
        <f t="shared" ca="1" si="27"/>
        <v>0</v>
      </c>
      <c r="AI47" s="87">
        <f t="shared" ca="1" si="27"/>
        <v>0</v>
      </c>
      <c r="AJ47" s="87">
        <f t="shared" ca="1" si="27"/>
        <v>0</v>
      </c>
      <c r="AK47" s="87">
        <f t="shared" ca="1" si="27"/>
        <v>0</v>
      </c>
      <c r="AL47" s="87">
        <f t="shared" ca="1" si="27"/>
        <v>0</v>
      </c>
      <c r="AM47" s="87">
        <f t="shared" ca="1" si="27"/>
        <v>0</v>
      </c>
      <c r="AN47" s="87">
        <f t="shared" ca="1" si="27"/>
        <v>0</v>
      </c>
      <c r="AO47" s="87">
        <f t="shared" ca="1" si="28"/>
        <v>0</v>
      </c>
      <c r="AP47" s="87">
        <f t="shared" ca="1" si="28"/>
        <v>0</v>
      </c>
      <c r="AQ47" s="87">
        <f t="shared" ca="1" si="28"/>
        <v>0</v>
      </c>
      <c r="AR47" s="87">
        <f t="shared" ca="1" si="28"/>
        <v>0</v>
      </c>
      <c r="AS47" s="87">
        <f t="shared" ca="1" si="28"/>
        <v>0</v>
      </c>
      <c r="AT47" s="87">
        <f t="shared" ca="1" si="28"/>
        <v>0</v>
      </c>
      <c r="AU47" s="87">
        <f t="shared" ca="1" si="28"/>
        <v>0</v>
      </c>
      <c r="AV47" s="87">
        <f t="shared" ca="1" si="28"/>
        <v>0</v>
      </c>
      <c r="AW47" s="87">
        <f t="shared" ca="1" si="28"/>
        <v>0</v>
      </c>
      <c r="AX47" s="87">
        <f t="shared" ca="1" si="28"/>
        <v>0</v>
      </c>
      <c r="AY47" s="87">
        <f t="shared" ca="1" si="29"/>
        <v>0</v>
      </c>
      <c r="AZ47" s="87">
        <f t="shared" ca="1" si="29"/>
        <v>0</v>
      </c>
      <c r="BA47" s="87">
        <f t="shared" ca="1" si="29"/>
        <v>0</v>
      </c>
      <c r="BB47" s="87">
        <f t="shared" ca="1" si="29"/>
        <v>0</v>
      </c>
      <c r="BC47" s="87">
        <f t="shared" ca="1" si="29"/>
        <v>0</v>
      </c>
      <c r="BD47" s="87">
        <f t="shared" ca="1" si="29"/>
        <v>0</v>
      </c>
      <c r="BE47" s="87">
        <f t="shared" ca="1" si="29"/>
        <v>0</v>
      </c>
      <c r="BF47" s="87">
        <f t="shared" ca="1" si="29"/>
        <v>0</v>
      </c>
      <c r="BG47" s="87">
        <f t="shared" ca="1" si="29"/>
        <v>0</v>
      </c>
      <c r="BH47" s="87">
        <f t="shared" ca="1" si="29"/>
        <v>0</v>
      </c>
      <c r="BI47" s="87">
        <f t="shared" ca="1" si="29"/>
        <v>0</v>
      </c>
      <c r="BJ47" s="87">
        <f t="shared" ca="1" si="29"/>
        <v>0</v>
      </c>
      <c r="BK47" s="87">
        <f t="shared" ca="1" si="29"/>
        <v>0</v>
      </c>
      <c r="BL47" s="87">
        <f t="shared" ca="1" si="29"/>
        <v>0</v>
      </c>
    </row>
    <row r="48" spans="1:64" x14ac:dyDescent="0.25">
      <c r="A48" s="87">
        <f t="shared" ca="1" si="24"/>
        <v>0</v>
      </c>
      <c r="B48" s="87">
        <f t="shared" ca="1" si="24"/>
        <v>0</v>
      </c>
      <c r="C48" s="87">
        <f t="shared" ca="1" si="24"/>
        <v>0</v>
      </c>
      <c r="D48" s="87">
        <f t="shared" ca="1" si="24"/>
        <v>0</v>
      </c>
      <c r="E48" s="87">
        <f t="shared" ca="1" si="24"/>
        <v>0</v>
      </c>
      <c r="F48" s="87">
        <f t="shared" ca="1" si="24"/>
        <v>0</v>
      </c>
      <c r="G48" s="87">
        <f t="shared" ca="1" si="24"/>
        <v>0</v>
      </c>
      <c r="H48" s="87">
        <f t="shared" ca="1" si="24"/>
        <v>0</v>
      </c>
      <c r="I48" s="87">
        <f t="shared" ca="1" si="24"/>
        <v>0</v>
      </c>
      <c r="J48" s="87">
        <f t="shared" ca="1" si="24"/>
        <v>0</v>
      </c>
      <c r="K48" s="87">
        <f t="shared" ca="1" si="25"/>
        <v>0</v>
      </c>
      <c r="L48" s="87">
        <f t="shared" ca="1" si="25"/>
        <v>0</v>
      </c>
      <c r="M48" s="87">
        <f t="shared" ca="1" si="25"/>
        <v>0</v>
      </c>
      <c r="N48" s="87">
        <f t="shared" ca="1" si="25"/>
        <v>0</v>
      </c>
      <c r="O48" s="87">
        <f t="shared" ca="1" si="25"/>
        <v>0</v>
      </c>
      <c r="P48" s="87">
        <f t="shared" ca="1" si="25"/>
        <v>0</v>
      </c>
      <c r="Q48" s="87">
        <f t="shared" ca="1" si="25"/>
        <v>0</v>
      </c>
      <c r="R48" s="87">
        <f t="shared" ca="1" si="25"/>
        <v>0</v>
      </c>
      <c r="S48" s="87">
        <f t="shared" ca="1" si="25"/>
        <v>0</v>
      </c>
      <c r="T48" s="87">
        <f t="shared" ca="1" si="25"/>
        <v>0</v>
      </c>
      <c r="U48" s="87">
        <f t="shared" ca="1" si="26"/>
        <v>0</v>
      </c>
      <c r="V48" s="87">
        <f t="shared" ca="1" si="26"/>
        <v>0</v>
      </c>
      <c r="W48" s="87">
        <f t="shared" ca="1" si="26"/>
        <v>0</v>
      </c>
      <c r="X48" s="87">
        <f t="shared" ca="1" si="26"/>
        <v>0</v>
      </c>
      <c r="Y48" s="87">
        <f t="shared" ca="1" si="26"/>
        <v>0</v>
      </c>
      <c r="Z48" s="87">
        <f t="shared" ca="1" si="26"/>
        <v>0</v>
      </c>
      <c r="AA48" s="87">
        <f t="shared" ca="1" si="26"/>
        <v>0</v>
      </c>
      <c r="AB48" s="87">
        <f t="shared" ca="1" si="26"/>
        <v>0</v>
      </c>
      <c r="AC48" s="87">
        <f t="shared" ca="1" si="26"/>
        <v>0</v>
      </c>
      <c r="AD48" s="87">
        <f t="shared" ca="1" si="26"/>
        <v>0</v>
      </c>
      <c r="AE48" s="87">
        <f t="shared" ca="1" si="27"/>
        <v>0</v>
      </c>
      <c r="AF48" s="87">
        <f t="shared" ca="1" si="27"/>
        <v>0</v>
      </c>
      <c r="AG48" s="87">
        <f t="shared" ca="1" si="27"/>
        <v>0</v>
      </c>
      <c r="AH48" s="87">
        <f t="shared" ca="1" si="27"/>
        <v>0</v>
      </c>
      <c r="AI48" s="87">
        <f t="shared" ca="1" si="27"/>
        <v>0</v>
      </c>
      <c r="AJ48" s="87">
        <f t="shared" ca="1" si="27"/>
        <v>0</v>
      </c>
      <c r="AK48" s="87">
        <f t="shared" ca="1" si="27"/>
        <v>0</v>
      </c>
      <c r="AL48" s="87">
        <f t="shared" ca="1" si="27"/>
        <v>0</v>
      </c>
      <c r="AM48" s="87">
        <f t="shared" ca="1" si="27"/>
        <v>0</v>
      </c>
      <c r="AN48" s="87">
        <f t="shared" ca="1" si="27"/>
        <v>0</v>
      </c>
      <c r="AO48" s="87">
        <f t="shared" ca="1" si="28"/>
        <v>0</v>
      </c>
      <c r="AP48" s="87">
        <f t="shared" ca="1" si="28"/>
        <v>0</v>
      </c>
      <c r="AQ48" s="87">
        <f t="shared" ca="1" si="28"/>
        <v>0</v>
      </c>
      <c r="AR48" s="87">
        <f t="shared" ca="1" si="28"/>
        <v>0</v>
      </c>
      <c r="AS48" s="87">
        <f t="shared" ca="1" si="28"/>
        <v>0</v>
      </c>
      <c r="AT48" s="87">
        <f t="shared" ca="1" si="28"/>
        <v>0</v>
      </c>
      <c r="AU48" s="87">
        <f t="shared" ca="1" si="28"/>
        <v>0</v>
      </c>
      <c r="AV48" s="87">
        <f t="shared" ca="1" si="28"/>
        <v>0</v>
      </c>
      <c r="AW48" s="87">
        <f t="shared" ca="1" si="28"/>
        <v>0</v>
      </c>
      <c r="AX48" s="87">
        <f t="shared" ca="1" si="28"/>
        <v>0</v>
      </c>
      <c r="AY48" s="87">
        <f t="shared" ca="1" si="29"/>
        <v>0</v>
      </c>
      <c r="AZ48" s="87">
        <f t="shared" ca="1" si="29"/>
        <v>0</v>
      </c>
      <c r="BA48" s="87">
        <f t="shared" ca="1" si="29"/>
        <v>0</v>
      </c>
      <c r="BB48" s="87">
        <f t="shared" ca="1" si="29"/>
        <v>0</v>
      </c>
      <c r="BC48" s="87">
        <f t="shared" ca="1" si="29"/>
        <v>0</v>
      </c>
      <c r="BD48" s="87">
        <f t="shared" ca="1" si="29"/>
        <v>0</v>
      </c>
      <c r="BE48" s="87">
        <f t="shared" ca="1" si="29"/>
        <v>0</v>
      </c>
      <c r="BF48" s="87">
        <f t="shared" ca="1" si="29"/>
        <v>0</v>
      </c>
      <c r="BG48" s="87">
        <f t="shared" ca="1" si="29"/>
        <v>0</v>
      </c>
      <c r="BH48" s="87">
        <f t="shared" ca="1" si="29"/>
        <v>0</v>
      </c>
      <c r="BI48" s="87">
        <f t="shared" ca="1" si="29"/>
        <v>0</v>
      </c>
      <c r="BJ48" s="87">
        <f t="shared" ca="1" si="29"/>
        <v>0</v>
      </c>
      <c r="BK48" s="87">
        <f t="shared" ca="1" si="29"/>
        <v>0</v>
      </c>
      <c r="BL48" s="87">
        <f t="shared" ca="1" si="29"/>
        <v>0</v>
      </c>
    </row>
    <row r="49" spans="1:64" x14ac:dyDescent="0.25">
      <c r="A49" s="87">
        <f t="shared" ca="1" si="24"/>
        <v>0</v>
      </c>
      <c r="B49" s="87">
        <f t="shared" ca="1" si="24"/>
        <v>0</v>
      </c>
      <c r="C49" s="87">
        <f t="shared" ca="1" si="24"/>
        <v>0</v>
      </c>
      <c r="D49" s="87">
        <f t="shared" ca="1" si="24"/>
        <v>0</v>
      </c>
      <c r="E49" s="87">
        <f t="shared" ca="1" si="24"/>
        <v>0</v>
      </c>
      <c r="F49" s="87">
        <f t="shared" ca="1" si="24"/>
        <v>0</v>
      </c>
      <c r="G49" s="87">
        <f t="shared" ca="1" si="24"/>
        <v>0</v>
      </c>
      <c r="H49" s="87">
        <f t="shared" ca="1" si="24"/>
        <v>0</v>
      </c>
      <c r="I49" s="87">
        <f t="shared" ca="1" si="24"/>
        <v>0</v>
      </c>
      <c r="J49" s="87">
        <f t="shared" ca="1" si="24"/>
        <v>0</v>
      </c>
      <c r="K49" s="87">
        <f t="shared" ca="1" si="25"/>
        <v>0</v>
      </c>
      <c r="L49" s="87">
        <f t="shared" ca="1" si="25"/>
        <v>0</v>
      </c>
      <c r="M49" s="87">
        <f t="shared" ca="1" si="25"/>
        <v>0</v>
      </c>
      <c r="N49" s="87">
        <f t="shared" ca="1" si="25"/>
        <v>0</v>
      </c>
      <c r="O49" s="87">
        <f t="shared" ca="1" si="25"/>
        <v>0</v>
      </c>
      <c r="P49" s="87">
        <f t="shared" ca="1" si="25"/>
        <v>0</v>
      </c>
      <c r="Q49" s="87">
        <f t="shared" ca="1" si="25"/>
        <v>0</v>
      </c>
      <c r="R49" s="87">
        <f t="shared" ca="1" si="25"/>
        <v>0</v>
      </c>
      <c r="S49" s="87">
        <f t="shared" ca="1" si="25"/>
        <v>0</v>
      </c>
      <c r="T49" s="87">
        <f t="shared" ca="1" si="25"/>
        <v>0</v>
      </c>
      <c r="U49" s="87">
        <f t="shared" ca="1" si="26"/>
        <v>0</v>
      </c>
      <c r="V49" s="87">
        <f t="shared" ca="1" si="26"/>
        <v>0</v>
      </c>
      <c r="W49" s="87">
        <f t="shared" ca="1" si="26"/>
        <v>0</v>
      </c>
      <c r="X49" s="87">
        <f t="shared" ca="1" si="26"/>
        <v>0</v>
      </c>
      <c r="Y49" s="87">
        <f t="shared" ca="1" si="26"/>
        <v>0</v>
      </c>
      <c r="Z49" s="87">
        <f t="shared" ca="1" si="26"/>
        <v>0</v>
      </c>
      <c r="AA49" s="87">
        <f t="shared" ca="1" si="26"/>
        <v>0</v>
      </c>
      <c r="AB49" s="87">
        <f t="shared" ca="1" si="26"/>
        <v>0</v>
      </c>
      <c r="AC49" s="87">
        <f t="shared" ca="1" si="26"/>
        <v>0</v>
      </c>
      <c r="AD49" s="87">
        <f t="shared" ca="1" si="26"/>
        <v>0</v>
      </c>
      <c r="AE49" s="87">
        <f t="shared" ca="1" si="27"/>
        <v>0</v>
      </c>
      <c r="AF49" s="87">
        <f t="shared" ca="1" si="27"/>
        <v>0</v>
      </c>
      <c r="AG49" s="87">
        <f t="shared" ca="1" si="27"/>
        <v>0</v>
      </c>
      <c r="AH49" s="87">
        <f t="shared" ca="1" si="27"/>
        <v>0</v>
      </c>
      <c r="AI49" s="87">
        <f t="shared" ca="1" si="27"/>
        <v>0</v>
      </c>
      <c r="AJ49" s="87">
        <f t="shared" ca="1" si="27"/>
        <v>0</v>
      </c>
      <c r="AK49" s="87">
        <f t="shared" ca="1" si="27"/>
        <v>0</v>
      </c>
      <c r="AL49" s="87">
        <f t="shared" ca="1" si="27"/>
        <v>0</v>
      </c>
      <c r="AM49" s="87">
        <f t="shared" ca="1" si="27"/>
        <v>0</v>
      </c>
      <c r="AN49" s="87">
        <f t="shared" ca="1" si="27"/>
        <v>0</v>
      </c>
      <c r="AO49" s="87">
        <f t="shared" ca="1" si="28"/>
        <v>0</v>
      </c>
      <c r="AP49" s="87">
        <f t="shared" ca="1" si="28"/>
        <v>0</v>
      </c>
      <c r="AQ49" s="87">
        <f t="shared" ca="1" si="28"/>
        <v>0</v>
      </c>
      <c r="AR49" s="87">
        <f t="shared" ca="1" si="28"/>
        <v>0</v>
      </c>
      <c r="AS49" s="87">
        <f t="shared" ca="1" si="28"/>
        <v>0</v>
      </c>
      <c r="AT49" s="87">
        <f t="shared" ca="1" si="28"/>
        <v>0</v>
      </c>
      <c r="AU49" s="87">
        <f t="shared" ca="1" si="28"/>
        <v>0</v>
      </c>
      <c r="AV49" s="87">
        <f t="shared" ca="1" si="28"/>
        <v>0</v>
      </c>
      <c r="AW49" s="87">
        <f t="shared" ca="1" si="28"/>
        <v>0</v>
      </c>
      <c r="AX49" s="87">
        <f t="shared" ca="1" si="28"/>
        <v>0</v>
      </c>
      <c r="AY49" s="87">
        <f t="shared" ca="1" si="29"/>
        <v>0</v>
      </c>
      <c r="AZ49" s="87">
        <f t="shared" ca="1" si="29"/>
        <v>0</v>
      </c>
      <c r="BA49" s="87">
        <f t="shared" ca="1" si="29"/>
        <v>0</v>
      </c>
      <c r="BB49" s="87">
        <f t="shared" ca="1" si="29"/>
        <v>0</v>
      </c>
      <c r="BC49" s="87">
        <f t="shared" ca="1" si="29"/>
        <v>0</v>
      </c>
      <c r="BD49" s="87">
        <f t="shared" ca="1" si="29"/>
        <v>0</v>
      </c>
      <c r="BE49" s="87">
        <f t="shared" ca="1" si="29"/>
        <v>0</v>
      </c>
      <c r="BF49" s="87">
        <f t="shared" ca="1" si="29"/>
        <v>0</v>
      </c>
      <c r="BG49" s="87">
        <f t="shared" ca="1" si="29"/>
        <v>0</v>
      </c>
      <c r="BH49" s="87">
        <f t="shared" ca="1" si="29"/>
        <v>0</v>
      </c>
      <c r="BI49" s="87">
        <f t="shared" ca="1" si="29"/>
        <v>0</v>
      </c>
      <c r="BJ49" s="87">
        <f t="shared" ca="1" si="29"/>
        <v>0</v>
      </c>
      <c r="BK49" s="87">
        <f t="shared" ca="1" si="29"/>
        <v>0</v>
      </c>
      <c r="BL49" s="87">
        <f t="shared" ca="1" si="29"/>
        <v>0</v>
      </c>
    </row>
    <row r="50" spans="1:64" x14ac:dyDescent="0.25">
      <c r="A50" s="87">
        <f t="shared" ca="1" si="24"/>
        <v>0</v>
      </c>
      <c r="B50" s="87">
        <f t="shared" ca="1" si="24"/>
        <v>0</v>
      </c>
      <c r="C50" s="87">
        <f t="shared" ca="1" si="24"/>
        <v>0</v>
      </c>
      <c r="D50" s="87">
        <f t="shared" ca="1" si="24"/>
        <v>0</v>
      </c>
      <c r="E50" s="87">
        <f t="shared" ca="1" si="24"/>
        <v>0</v>
      </c>
      <c r="F50" s="87">
        <f t="shared" ca="1" si="24"/>
        <v>0</v>
      </c>
      <c r="G50" s="87">
        <f t="shared" ca="1" si="24"/>
        <v>0</v>
      </c>
      <c r="H50" s="87">
        <f t="shared" ca="1" si="24"/>
        <v>0</v>
      </c>
      <c r="I50" s="87">
        <f t="shared" ca="1" si="24"/>
        <v>0</v>
      </c>
      <c r="J50" s="87">
        <f t="shared" ca="1" si="24"/>
        <v>0</v>
      </c>
      <c r="K50" s="87">
        <f t="shared" ca="1" si="25"/>
        <v>0</v>
      </c>
      <c r="L50" s="87">
        <f t="shared" ca="1" si="25"/>
        <v>0</v>
      </c>
      <c r="M50" s="87">
        <f t="shared" ca="1" si="25"/>
        <v>0</v>
      </c>
      <c r="N50" s="87">
        <f t="shared" ca="1" si="25"/>
        <v>0</v>
      </c>
      <c r="O50" s="87">
        <f t="shared" ca="1" si="25"/>
        <v>0</v>
      </c>
      <c r="P50" s="87">
        <f t="shared" ca="1" si="25"/>
        <v>0</v>
      </c>
      <c r="Q50" s="87">
        <f t="shared" ca="1" si="25"/>
        <v>0</v>
      </c>
      <c r="R50" s="87">
        <f t="shared" ca="1" si="25"/>
        <v>0</v>
      </c>
      <c r="S50" s="87">
        <f t="shared" ca="1" si="25"/>
        <v>0</v>
      </c>
      <c r="T50" s="87">
        <f t="shared" ca="1" si="25"/>
        <v>0</v>
      </c>
      <c r="U50" s="87">
        <f t="shared" ca="1" si="26"/>
        <v>0</v>
      </c>
      <c r="V50" s="87">
        <f t="shared" ca="1" si="26"/>
        <v>0</v>
      </c>
      <c r="W50" s="87">
        <f t="shared" ca="1" si="26"/>
        <v>0</v>
      </c>
      <c r="X50" s="87">
        <f t="shared" ca="1" si="26"/>
        <v>0</v>
      </c>
      <c r="Y50" s="87">
        <f t="shared" ca="1" si="26"/>
        <v>0</v>
      </c>
      <c r="Z50" s="87">
        <f t="shared" ca="1" si="26"/>
        <v>0</v>
      </c>
      <c r="AA50" s="87">
        <f t="shared" ca="1" si="26"/>
        <v>0</v>
      </c>
      <c r="AB50" s="87">
        <f t="shared" ca="1" si="26"/>
        <v>0</v>
      </c>
      <c r="AC50" s="87">
        <f t="shared" ca="1" si="26"/>
        <v>0</v>
      </c>
      <c r="AD50" s="87">
        <f t="shared" ca="1" si="26"/>
        <v>0</v>
      </c>
      <c r="AE50" s="87">
        <f t="shared" ca="1" si="27"/>
        <v>0</v>
      </c>
      <c r="AF50" s="87">
        <f t="shared" ca="1" si="27"/>
        <v>0</v>
      </c>
      <c r="AG50" s="87">
        <f t="shared" ca="1" si="27"/>
        <v>0</v>
      </c>
      <c r="AH50" s="87">
        <f t="shared" ca="1" si="27"/>
        <v>0</v>
      </c>
      <c r="AI50" s="87">
        <f t="shared" ca="1" si="27"/>
        <v>0</v>
      </c>
      <c r="AJ50" s="87">
        <f t="shared" ca="1" si="27"/>
        <v>0</v>
      </c>
      <c r="AK50" s="87">
        <f t="shared" ca="1" si="27"/>
        <v>0</v>
      </c>
      <c r="AL50" s="87">
        <f t="shared" ca="1" si="27"/>
        <v>0</v>
      </c>
      <c r="AM50" s="87">
        <f t="shared" ca="1" si="27"/>
        <v>0</v>
      </c>
      <c r="AN50" s="87">
        <f t="shared" ca="1" si="27"/>
        <v>0</v>
      </c>
      <c r="AO50" s="87">
        <f t="shared" ca="1" si="28"/>
        <v>0</v>
      </c>
      <c r="AP50" s="87">
        <f t="shared" ca="1" si="28"/>
        <v>0</v>
      </c>
      <c r="AQ50" s="87">
        <f t="shared" ca="1" si="28"/>
        <v>0</v>
      </c>
      <c r="AR50" s="87">
        <f t="shared" ca="1" si="28"/>
        <v>0</v>
      </c>
      <c r="AS50" s="87">
        <f t="shared" ca="1" si="28"/>
        <v>0</v>
      </c>
      <c r="AT50" s="87">
        <f t="shared" ca="1" si="28"/>
        <v>0</v>
      </c>
      <c r="AU50" s="87">
        <f t="shared" ca="1" si="28"/>
        <v>0</v>
      </c>
      <c r="AV50" s="87">
        <f t="shared" ca="1" si="28"/>
        <v>0</v>
      </c>
      <c r="AW50" s="87">
        <f t="shared" ca="1" si="28"/>
        <v>0</v>
      </c>
      <c r="AX50" s="87">
        <f t="shared" ca="1" si="28"/>
        <v>0</v>
      </c>
      <c r="AY50" s="87">
        <f t="shared" ca="1" si="29"/>
        <v>0</v>
      </c>
      <c r="AZ50" s="87">
        <f t="shared" ca="1" si="29"/>
        <v>0</v>
      </c>
      <c r="BA50" s="87">
        <f t="shared" ca="1" si="29"/>
        <v>0</v>
      </c>
      <c r="BB50" s="87">
        <f t="shared" ca="1" si="29"/>
        <v>0</v>
      </c>
      <c r="BC50" s="87">
        <f t="shared" ca="1" si="29"/>
        <v>0</v>
      </c>
      <c r="BD50" s="87">
        <f t="shared" ca="1" si="29"/>
        <v>0</v>
      </c>
      <c r="BE50" s="87">
        <f t="shared" ca="1" si="29"/>
        <v>0</v>
      </c>
      <c r="BF50" s="87">
        <f t="shared" ca="1" si="29"/>
        <v>0</v>
      </c>
      <c r="BG50" s="87">
        <f t="shared" ca="1" si="29"/>
        <v>0</v>
      </c>
      <c r="BH50" s="87">
        <f t="shared" ca="1" si="29"/>
        <v>0</v>
      </c>
      <c r="BI50" s="87">
        <f t="shared" ca="1" si="29"/>
        <v>0</v>
      </c>
      <c r="BJ50" s="87">
        <f t="shared" ca="1" si="29"/>
        <v>0</v>
      </c>
      <c r="BK50" s="87">
        <f t="shared" ca="1" si="29"/>
        <v>0</v>
      </c>
      <c r="BL50" s="87">
        <f t="shared" ca="1" si="29"/>
        <v>0</v>
      </c>
    </row>
    <row r="51" spans="1:64" x14ac:dyDescent="0.25">
      <c r="A51" s="87">
        <f t="shared" ref="A51:J64" ca="1" si="30">IF(AND(OP="11",RAMX=DEC2BIN(COLUMN(A51)-1,8),RAMY=DEC2BIN(ROW(A51)-1,8)),DATA,A51)</f>
        <v>0</v>
      </c>
      <c r="B51" s="87">
        <f t="shared" ca="1" si="30"/>
        <v>0</v>
      </c>
      <c r="C51" s="87">
        <f t="shared" ca="1" si="30"/>
        <v>0</v>
      </c>
      <c r="D51" s="87">
        <f t="shared" ca="1" si="30"/>
        <v>0</v>
      </c>
      <c r="E51" s="87">
        <f t="shared" ca="1" si="30"/>
        <v>0</v>
      </c>
      <c r="F51" s="87">
        <f t="shared" ca="1" si="30"/>
        <v>0</v>
      </c>
      <c r="G51" s="87">
        <f t="shared" ca="1" si="30"/>
        <v>0</v>
      </c>
      <c r="H51" s="87">
        <f t="shared" ca="1" si="30"/>
        <v>0</v>
      </c>
      <c r="I51" s="87">
        <f t="shared" ca="1" si="30"/>
        <v>0</v>
      </c>
      <c r="J51" s="87">
        <f t="shared" ca="1" si="30"/>
        <v>0</v>
      </c>
      <c r="K51" s="87">
        <f t="shared" ref="K51:T64" ca="1" si="31">IF(AND(OP="11",RAMX=DEC2BIN(COLUMN(K51)-1,8),RAMY=DEC2BIN(ROW(K51)-1,8)),DATA,K51)</f>
        <v>0</v>
      </c>
      <c r="L51" s="87">
        <f t="shared" ca="1" si="31"/>
        <v>0</v>
      </c>
      <c r="M51" s="87">
        <f t="shared" ca="1" si="31"/>
        <v>0</v>
      </c>
      <c r="N51" s="87">
        <f t="shared" ca="1" si="31"/>
        <v>0</v>
      </c>
      <c r="O51" s="87">
        <f t="shared" ca="1" si="31"/>
        <v>0</v>
      </c>
      <c r="P51" s="87">
        <f t="shared" ca="1" si="31"/>
        <v>0</v>
      </c>
      <c r="Q51" s="87">
        <f t="shared" ca="1" si="31"/>
        <v>0</v>
      </c>
      <c r="R51" s="87">
        <f t="shared" ca="1" si="31"/>
        <v>0</v>
      </c>
      <c r="S51" s="87">
        <f t="shared" ca="1" si="31"/>
        <v>0</v>
      </c>
      <c r="T51" s="87">
        <f t="shared" ca="1" si="31"/>
        <v>0</v>
      </c>
      <c r="U51" s="87">
        <f t="shared" ref="U51:AD64" ca="1" si="32">IF(AND(OP="11",RAMX=DEC2BIN(COLUMN(U51)-1,8),RAMY=DEC2BIN(ROW(U51)-1,8)),DATA,U51)</f>
        <v>0</v>
      </c>
      <c r="V51" s="87">
        <f t="shared" ca="1" si="32"/>
        <v>0</v>
      </c>
      <c r="W51" s="87">
        <f t="shared" ca="1" si="32"/>
        <v>0</v>
      </c>
      <c r="X51" s="87">
        <f t="shared" ca="1" si="32"/>
        <v>0</v>
      </c>
      <c r="Y51" s="87">
        <f t="shared" ca="1" si="32"/>
        <v>0</v>
      </c>
      <c r="Z51" s="87">
        <f t="shared" ca="1" si="32"/>
        <v>0</v>
      </c>
      <c r="AA51" s="87">
        <f t="shared" ca="1" si="32"/>
        <v>0</v>
      </c>
      <c r="AB51" s="87">
        <f t="shared" ca="1" si="32"/>
        <v>0</v>
      </c>
      <c r="AC51" s="87">
        <f t="shared" ca="1" si="32"/>
        <v>0</v>
      </c>
      <c r="AD51" s="87">
        <f t="shared" ca="1" si="32"/>
        <v>0</v>
      </c>
      <c r="AE51" s="87">
        <f t="shared" ref="AE51:AN64" ca="1" si="33">IF(AND(OP="11",RAMX=DEC2BIN(COLUMN(AE51)-1,8),RAMY=DEC2BIN(ROW(AE51)-1,8)),DATA,AE51)</f>
        <v>0</v>
      </c>
      <c r="AF51" s="87">
        <f t="shared" ca="1" si="33"/>
        <v>0</v>
      </c>
      <c r="AG51" s="87">
        <f t="shared" ca="1" si="33"/>
        <v>0</v>
      </c>
      <c r="AH51" s="87">
        <f t="shared" ca="1" si="33"/>
        <v>0</v>
      </c>
      <c r="AI51" s="87">
        <f t="shared" ca="1" si="33"/>
        <v>0</v>
      </c>
      <c r="AJ51" s="87">
        <f t="shared" ca="1" si="33"/>
        <v>0</v>
      </c>
      <c r="AK51" s="87">
        <f t="shared" ca="1" si="33"/>
        <v>0</v>
      </c>
      <c r="AL51" s="87">
        <f t="shared" ca="1" si="33"/>
        <v>0</v>
      </c>
      <c r="AM51" s="87">
        <f t="shared" ca="1" si="33"/>
        <v>0</v>
      </c>
      <c r="AN51" s="87">
        <f t="shared" ca="1" si="33"/>
        <v>0</v>
      </c>
      <c r="AO51" s="87">
        <f t="shared" ref="AO51:AX64" ca="1" si="34">IF(AND(OP="11",RAMX=DEC2BIN(COLUMN(AO51)-1,8),RAMY=DEC2BIN(ROW(AO51)-1,8)),DATA,AO51)</f>
        <v>0</v>
      </c>
      <c r="AP51" s="87">
        <f t="shared" ca="1" si="34"/>
        <v>0</v>
      </c>
      <c r="AQ51" s="87">
        <f t="shared" ca="1" si="34"/>
        <v>0</v>
      </c>
      <c r="AR51" s="87">
        <f t="shared" ca="1" si="34"/>
        <v>0</v>
      </c>
      <c r="AS51" s="87">
        <f t="shared" ca="1" si="34"/>
        <v>0</v>
      </c>
      <c r="AT51" s="87">
        <f t="shared" ca="1" si="34"/>
        <v>0</v>
      </c>
      <c r="AU51" s="87">
        <f t="shared" ca="1" si="34"/>
        <v>0</v>
      </c>
      <c r="AV51" s="87">
        <f t="shared" ca="1" si="34"/>
        <v>0</v>
      </c>
      <c r="AW51" s="87">
        <f t="shared" ca="1" si="34"/>
        <v>0</v>
      </c>
      <c r="AX51" s="87">
        <f t="shared" ca="1" si="34"/>
        <v>0</v>
      </c>
      <c r="AY51" s="87">
        <f t="shared" ref="AY51:BL64" ca="1" si="35">IF(AND(OP="11",RAMX=DEC2BIN(COLUMN(AY51)-1,8),RAMY=DEC2BIN(ROW(AY51)-1,8)),DATA,AY51)</f>
        <v>0</v>
      </c>
      <c r="AZ51" s="87">
        <f t="shared" ca="1" si="35"/>
        <v>0</v>
      </c>
      <c r="BA51" s="87">
        <f t="shared" ca="1" si="35"/>
        <v>0</v>
      </c>
      <c r="BB51" s="87">
        <f t="shared" ca="1" si="35"/>
        <v>0</v>
      </c>
      <c r="BC51" s="87">
        <f t="shared" ca="1" si="35"/>
        <v>0</v>
      </c>
      <c r="BD51" s="87">
        <f t="shared" ca="1" si="35"/>
        <v>0</v>
      </c>
      <c r="BE51" s="87">
        <f t="shared" ca="1" si="35"/>
        <v>0</v>
      </c>
      <c r="BF51" s="87">
        <f t="shared" ca="1" si="35"/>
        <v>0</v>
      </c>
      <c r="BG51" s="87">
        <f t="shared" ca="1" si="35"/>
        <v>0</v>
      </c>
      <c r="BH51" s="87">
        <f t="shared" ca="1" si="35"/>
        <v>0</v>
      </c>
      <c r="BI51" s="87">
        <f t="shared" ca="1" si="35"/>
        <v>0</v>
      </c>
      <c r="BJ51" s="87">
        <f t="shared" ca="1" si="35"/>
        <v>0</v>
      </c>
      <c r="BK51" s="87">
        <f t="shared" ca="1" si="35"/>
        <v>0</v>
      </c>
      <c r="BL51" s="87">
        <f t="shared" ca="1" si="35"/>
        <v>0</v>
      </c>
    </row>
    <row r="52" spans="1:64" x14ac:dyDescent="0.25">
      <c r="A52" s="87">
        <f t="shared" ca="1" si="30"/>
        <v>0</v>
      </c>
      <c r="B52" s="87">
        <f t="shared" ca="1" si="30"/>
        <v>0</v>
      </c>
      <c r="C52" s="87">
        <f t="shared" ca="1" si="30"/>
        <v>0</v>
      </c>
      <c r="D52" s="87">
        <f t="shared" ca="1" si="30"/>
        <v>0</v>
      </c>
      <c r="E52" s="87">
        <f t="shared" ca="1" si="30"/>
        <v>0</v>
      </c>
      <c r="F52" s="87">
        <f t="shared" ca="1" si="30"/>
        <v>0</v>
      </c>
      <c r="G52" s="87">
        <f t="shared" ca="1" si="30"/>
        <v>0</v>
      </c>
      <c r="H52" s="87">
        <f t="shared" ca="1" si="30"/>
        <v>0</v>
      </c>
      <c r="I52" s="87">
        <f t="shared" ca="1" si="30"/>
        <v>0</v>
      </c>
      <c r="J52" s="87">
        <f t="shared" ca="1" si="30"/>
        <v>0</v>
      </c>
      <c r="K52" s="87">
        <f t="shared" ca="1" si="31"/>
        <v>0</v>
      </c>
      <c r="L52" s="87">
        <f t="shared" ca="1" si="31"/>
        <v>0</v>
      </c>
      <c r="M52" s="87">
        <f t="shared" ca="1" si="31"/>
        <v>0</v>
      </c>
      <c r="N52" s="87">
        <f t="shared" ca="1" si="31"/>
        <v>0</v>
      </c>
      <c r="O52" s="87">
        <f t="shared" ca="1" si="31"/>
        <v>0</v>
      </c>
      <c r="P52" s="87">
        <f t="shared" ca="1" si="31"/>
        <v>0</v>
      </c>
      <c r="Q52" s="87">
        <f t="shared" ca="1" si="31"/>
        <v>0</v>
      </c>
      <c r="R52" s="87">
        <f t="shared" ca="1" si="31"/>
        <v>0</v>
      </c>
      <c r="S52" s="87">
        <f t="shared" ca="1" si="31"/>
        <v>0</v>
      </c>
      <c r="T52" s="87">
        <f t="shared" ca="1" si="31"/>
        <v>0</v>
      </c>
      <c r="U52" s="87">
        <f t="shared" ca="1" si="32"/>
        <v>0</v>
      </c>
      <c r="V52" s="87">
        <f t="shared" ca="1" si="32"/>
        <v>0</v>
      </c>
      <c r="W52" s="87">
        <f t="shared" ca="1" si="32"/>
        <v>0</v>
      </c>
      <c r="X52" s="87">
        <f t="shared" ca="1" si="32"/>
        <v>0</v>
      </c>
      <c r="Y52" s="87">
        <f t="shared" ca="1" si="32"/>
        <v>0</v>
      </c>
      <c r="Z52" s="87">
        <f t="shared" ca="1" si="32"/>
        <v>0</v>
      </c>
      <c r="AA52" s="87">
        <f t="shared" ca="1" si="32"/>
        <v>0</v>
      </c>
      <c r="AB52" s="87">
        <f t="shared" ca="1" si="32"/>
        <v>0</v>
      </c>
      <c r="AC52" s="87">
        <f t="shared" ca="1" si="32"/>
        <v>0</v>
      </c>
      <c r="AD52" s="87">
        <f t="shared" ca="1" si="32"/>
        <v>0</v>
      </c>
      <c r="AE52" s="87">
        <f t="shared" ca="1" si="33"/>
        <v>0</v>
      </c>
      <c r="AF52" s="87">
        <f t="shared" ca="1" si="33"/>
        <v>0</v>
      </c>
      <c r="AG52" s="87">
        <f t="shared" ca="1" si="33"/>
        <v>0</v>
      </c>
      <c r="AH52" s="87">
        <f t="shared" ca="1" si="33"/>
        <v>0</v>
      </c>
      <c r="AI52" s="87">
        <f t="shared" ca="1" si="33"/>
        <v>0</v>
      </c>
      <c r="AJ52" s="87">
        <f t="shared" ca="1" si="33"/>
        <v>0</v>
      </c>
      <c r="AK52" s="87">
        <f t="shared" ca="1" si="33"/>
        <v>0</v>
      </c>
      <c r="AL52" s="87">
        <f t="shared" ca="1" si="33"/>
        <v>0</v>
      </c>
      <c r="AM52" s="87">
        <f t="shared" ca="1" si="33"/>
        <v>0</v>
      </c>
      <c r="AN52" s="87">
        <f t="shared" ca="1" si="33"/>
        <v>0</v>
      </c>
      <c r="AO52" s="87">
        <f t="shared" ca="1" si="34"/>
        <v>0</v>
      </c>
      <c r="AP52" s="87">
        <f t="shared" ca="1" si="34"/>
        <v>0</v>
      </c>
      <c r="AQ52" s="87">
        <f t="shared" ca="1" si="34"/>
        <v>0</v>
      </c>
      <c r="AR52" s="87">
        <f t="shared" ca="1" si="34"/>
        <v>0</v>
      </c>
      <c r="AS52" s="87">
        <f t="shared" ca="1" si="34"/>
        <v>0</v>
      </c>
      <c r="AT52" s="87">
        <f t="shared" ca="1" si="34"/>
        <v>0</v>
      </c>
      <c r="AU52" s="87">
        <f t="shared" ca="1" si="34"/>
        <v>0</v>
      </c>
      <c r="AV52" s="87">
        <f t="shared" ca="1" si="34"/>
        <v>0</v>
      </c>
      <c r="AW52" s="87">
        <f t="shared" ca="1" si="34"/>
        <v>0</v>
      </c>
      <c r="AX52" s="87">
        <f t="shared" ca="1" si="34"/>
        <v>0</v>
      </c>
      <c r="AY52" s="87">
        <f t="shared" ca="1" si="35"/>
        <v>0</v>
      </c>
      <c r="AZ52" s="87">
        <f t="shared" ca="1" si="35"/>
        <v>0</v>
      </c>
      <c r="BA52" s="87">
        <f t="shared" ca="1" si="35"/>
        <v>0</v>
      </c>
      <c r="BB52" s="87">
        <f t="shared" ca="1" si="35"/>
        <v>0</v>
      </c>
      <c r="BC52" s="87">
        <f t="shared" ca="1" si="35"/>
        <v>0</v>
      </c>
      <c r="BD52" s="87">
        <f t="shared" ca="1" si="35"/>
        <v>0</v>
      </c>
      <c r="BE52" s="87">
        <f t="shared" ca="1" si="35"/>
        <v>0</v>
      </c>
      <c r="BF52" s="87">
        <f t="shared" ca="1" si="35"/>
        <v>0</v>
      </c>
      <c r="BG52" s="87">
        <f t="shared" ca="1" si="35"/>
        <v>0</v>
      </c>
      <c r="BH52" s="87">
        <f t="shared" ca="1" si="35"/>
        <v>0</v>
      </c>
      <c r="BI52" s="87">
        <f t="shared" ca="1" si="35"/>
        <v>0</v>
      </c>
      <c r="BJ52" s="87">
        <f t="shared" ca="1" si="35"/>
        <v>0</v>
      </c>
      <c r="BK52" s="87">
        <f t="shared" ca="1" si="35"/>
        <v>0</v>
      </c>
      <c r="BL52" s="87">
        <f t="shared" ca="1" si="35"/>
        <v>0</v>
      </c>
    </row>
    <row r="53" spans="1:64" x14ac:dyDescent="0.25">
      <c r="A53" s="87">
        <f t="shared" ca="1" si="30"/>
        <v>0</v>
      </c>
      <c r="B53" s="87">
        <f t="shared" ca="1" si="30"/>
        <v>0</v>
      </c>
      <c r="C53" s="87">
        <f t="shared" ca="1" si="30"/>
        <v>0</v>
      </c>
      <c r="D53" s="87">
        <f t="shared" ca="1" si="30"/>
        <v>0</v>
      </c>
      <c r="E53" s="87">
        <f t="shared" ca="1" si="30"/>
        <v>0</v>
      </c>
      <c r="F53" s="87">
        <f t="shared" ca="1" si="30"/>
        <v>0</v>
      </c>
      <c r="G53" s="87">
        <f t="shared" ca="1" si="30"/>
        <v>0</v>
      </c>
      <c r="H53" s="87">
        <f t="shared" ca="1" si="30"/>
        <v>0</v>
      </c>
      <c r="I53" s="87">
        <f t="shared" ca="1" si="30"/>
        <v>0</v>
      </c>
      <c r="J53" s="87">
        <f t="shared" ca="1" si="30"/>
        <v>0</v>
      </c>
      <c r="K53" s="87">
        <f t="shared" ca="1" si="31"/>
        <v>0</v>
      </c>
      <c r="L53" s="87">
        <f t="shared" ca="1" si="31"/>
        <v>0</v>
      </c>
      <c r="M53" s="87">
        <f t="shared" ca="1" si="31"/>
        <v>0</v>
      </c>
      <c r="N53" s="87">
        <f t="shared" ca="1" si="31"/>
        <v>0</v>
      </c>
      <c r="O53" s="87">
        <f t="shared" ca="1" si="31"/>
        <v>0</v>
      </c>
      <c r="P53" s="87">
        <f t="shared" ca="1" si="31"/>
        <v>0</v>
      </c>
      <c r="Q53" s="87">
        <f t="shared" ca="1" si="31"/>
        <v>0</v>
      </c>
      <c r="R53" s="87">
        <f t="shared" ca="1" si="31"/>
        <v>0</v>
      </c>
      <c r="S53" s="87">
        <f t="shared" ca="1" si="31"/>
        <v>0</v>
      </c>
      <c r="T53" s="87">
        <f t="shared" ca="1" si="31"/>
        <v>0</v>
      </c>
      <c r="U53" s="87">
        <f t="shared" ca="1" si="32"/>
        <v>0</v>
      </c>
      <c r="V53" s="87">
        <f t="shared" ca="1" si="32"/>
        <v>0</v>
      </c>
      <c r="W53" s="87">
        <f t="shared" ca="1" si="32"/>
        <v>0</v>
      </c>
      <c r="X53" s="87">
        <f t="shared" ca="1" si="32"/>
        <v>0</v>
      </c>
      <c r="Y53" s="87">
        <f t="shared" ca="1" si="32"/>
        <v>0</v>
      </c>
      <c r="Z53" s="87">
        <f t="shared" ca="1" si="32"/>
        <v>0</v>
      </c>
      <c r="AA53" s="87">
        <f t="shared" ca="1" si="32"/>
        <v>0</v>
      </c>
      <c r="AB53" s="87">
        <f t="shared" ca="1" si="32"/>
        <v>0</v>
      </c>
      <c r="AC53" s="87">
        <f t="shared" ca="1" si="32"/>
        <v>0</v>
      </c>
      <c r="AD53" s="87">
        <f t="shared" ca="1" si="32"/>
        <v>0</v>
      </c>
      <c r="AE53" s="87">
        <f t="shared" ca="1" si="33"/>
        <v>0</v>
      </c>
      <c r="AF53" s="87">
        <f t="shared" ca="1" si="33"/>
        <v>0</v>
      </c>
      <c r="AG53" s="87">
        <f t="shared" ca="1" si="33"/>
        <v>0</v>
      </c>
      <c r="AH53" s="87">
        <f t="shared" ca="1" si="33"/>
        <v>0</v>
      </c>
      <c r="AI53" s="87">
        <f t="shared" ca="1" si="33"/>
        <v>0</v>
      </c>
      <c r="AJ53" s="87">
        <f t="shared" ca="1" si="33"/>
        <v>0</v>
      </c>
      <c r="AK53" s="87">
        <f t="shared" ca="1" si="33"/>
        <v>0</v>
      </c>
      <c r="AL53" s="87">
        <f t="shared" ca="1" si="33"/>
        <v>0</v>
      </c>
      <c r="AM53" s="87">
        <f t="shared" ca="1" si="33"/>
        <v>0</v>
      </c>
      <c r="AN53" s="87">
        <f t="shared" ca="1" si="33"/>
        <v>0</v>
      </c>
      <c r="AO53" s="87">
        <f t="shared" ca="1" si="34"/>
        <v>0</v>
      </c>
      <c r="AP53" s="87">
        <f t="shared" ca="1" si="34"/>
        <v>0</v>
      </c>
      <c r="AQ53" s="87">
        <f t="shared" ca="1" si="34"/>
        <v>0</v>
      </c>
      <c r="AR53" s="87">
        <f t="shared" ca="1" si="34"/>
        <v>0</v>
      </c>
      <c r="AS53" s="87">
        <f t="shared" ca="1" si="34"/>
        <v>0</v>
      </c>
      <c r="AT53" s="87">
        <f t="shared" ca="1" si="34"/>
        <v>0</v>
      </c>
      <c r="AU53" s="87">
        <f t="shared" ca="1" si="34"/>
        <v>0</v>
      </c>
      <c r="AV53" s="87">
        <f t="shared" ca="1" si="34"/>
        <v>0</v>
      </c>
      <c r="AW53" s="87">
        <f t="shared" ca="1" si="34"/>
        <v>0</v>
      </c>
      <c r="AX53" s="87">
        <f t="shared" ca="1" si="34"/>
        <v>0</v>
      </c>
      <c r="AY53" s="87">
        <f t="shared" ca="1" si="35"/>
        <v>0</v>
      </c>
      <c r="AZ53" s="87">
        <f t="shared" ca="1" si="35"/>
        <v>0</v>
      </c>
      <c r="BA53" s="87">
        <f t="shared" ca="1" si="35"/>
        <v>0</v>
      </c>
      <c r="BB53" s="87">
        <f t="shared" ca="1" si="35"/>
        <v>0</v>
      </c>
      <c r="BC53" s="87">
        <f t="shared" ca="1" si="35"/>
        <v>0</v>
      </c>
      <c r="BD53" s="87">
        <f t="shared" ca="1" si="35"/>
        <v>0</v>
      </c>
      <c r="BE53" s="87">
        <f t="shared" ca="1" si="35"/>
        <v>0</v>
      </c>
      <c r="BF53" s="87">
        <f t="shared" ca="1" si="35"/>
        <v>0</v>
      </c>
      <c r="BG53" s="87">
        <f t="shared" ca="1" si="35"/>
        <v>0</v>
      </c>
      <c r="BH53" s="87">
        <f t="shared" ca="1" si="35"/>
        <v>0</v>
      </c>
      <c r="BI53" s="87">
        <f t="shared" ca="1" si="35"/>
        <v>0</v>
      </c>
      <c r="BJ53" s="87">
        <f t="shared" ca="1" si="35"/>
        <v>0</v>
      </c>
      <c r="BK53" s="87">
        <f t="shared" ca="1" si="35"/>
        <v>0</v>
      </c>
      <c r="BL53" s="87">
        <f t="shared" ca="1" si="35"/>
        <v>0</v>
      </c>
    </row>
    <row r="54" spans="1:64" x14ac:dyDescent="0.25">
      <c r="A54" s="87">
        <f t="shared" ca="1" si="30"/>
        <v>0</v>
      </c>
      <c r="B54" s="87">
        <f t="shared" ca="1" si="30"/>
        <v>0</v>
      </c>
      <c r="C54" s="87">
        <f t="shared" ca="1" si="30"/>
        <v>0</v>
      </c>
      <c r="D54" s="87">
        <f t="shared" ca="1" si="30"/>
        <v>0</v>
      </c>
      <c r="E54" s="87">
        <f t="shared" ca="1" si="30"/>
        <v>0</v>
      </c>
      <c r="F54" s="87">
        <f t="shared" ca="1" si="30"/>
        <v>0</v>
      </c>
      <c r="G54" s="87">
        <f t="shared" ca="1" si="30"/>
        <v>0</v>
      </c>
      <c r="H54" s="87">
        <f t="shared" ca="1" si="30"/>
        <v>0</v>
      </c>
      <c r="I54" s="87">
        <f t="shared" ca="1" si="30"/>
        <v>0</v>
      </c>
      <c r="J54" s="87">
        <f t="shared" ca="1" si="30"/>
        <v>0</v>
      </c>
      <c r="K54" s="87">
        <f t="shared" ca="1" si="31"/>
        <v>0</v>
      </c>
      <c r="L54" s="87">
        <f t="shared" ca="1" si="31"/>
        <v>0</v>
      </c>
      <c r="M54" s="87">
        <f t="shared" ca="1" si="31"/>
        <v>0</v>
      </c>
      <c r="N54" s="87">
        <f t="shared" ca="1" si="31"/>
        <v>0</v>
      </c>
      <c r="O54" s="87">
        <f t="shared" ca="1" si="31"/>
        <v>0</v>
      </c>
      <c r="P54" s="87">
        <f t="shared" ca="1" si="31"/>
        <v>0</v>
      </c>
      <c r="Q54" s="87">
        <f t="shared" ca="1" si="31"/>
        <v>0</v>
      </c>
      <c r="R54" s="87">
        <f t="shared" ca="1" si="31"/>
        <v>0</v>
      </c>
      <c r="S54" s="87">
        <f t="shared" ca="1" si="31"/>
        <v>0</v>
      </c>
      <c r="T54" s="87">
        <f t="shared" ca="1" si="31"/>
        <v>0</v>
      </c>
      <c r="U54" s="87">
        <f t="shared" ca="1" si="32"/>
        <v>0</v>
      </c>
      <c r="V54" s="87">
        <f t="shared" ca="1" si="32"/>
        <v>0</v>
      </c>
      <c r="W54" s="87">
        <f t="shared" ca="1" si="32"/>
        <v>0</v>
      </c>
      <c r="X54" s="87">
        <f t="shared" ca="1" si="32"/>
        <v>0</v>
      </c>
      <c r="Y54" s="87">
        <f t="shared" ca="1" si="32"/>
        <v>0</v>
      </c>
      <c r="Z54" s="87">
        <f t="shared" ca="1" si="32"/>
        <v>0</v>
      </c>
      <c r="AA54" s="87">
        <f t="shared" ca="1" si="32"/>
        <v>0</v>
      </c>
      <c r="AB54" s="87">
        <f t="shared" ca="1" si="32"/>
        <v>0</v>
      </c>
      <c r="AC54" s="87">
        <f t="shared" ca="1" si="32"/>
        <v>0</v>
      </c>
      <c r="AD54" s="87">
        <f t="shared" ca="1" si="32"/>
        <v>0</v>
      </c>
      <c r="AE54" s="87">
        <f t="shared" ca="1" si="33"/>
        <v>0</v>
      </c>
      <c r="AF54" s="87">
        <f t="shared" ca="1" si="33"/>
        <v>0</v>
      </c>
      <c r="AG54" s="87">
        <f t="shared" ca="1" si="33"/>
        <v>0</v>
      </c>
      <c r="AH54" s="87">
        <f t="shared" ca="1" si="33"/>
        <v>0</v>
      </c>
      <c r="AI54" s="87">
        <f t="shared" ca="1" si="33"/>
        <v>0</v>
      </c>
      <c r="AJ54" s="87">
        <f t="shared" ca="1" si="33"/>
        <v>0</v>
      </c>
      <c r="AK54" s="87">
        <f t="shared" ca="1" si="33"/>
        <v>0</v>
      </c>
      <c r="AL54" s="87">
        <f t="shared" ca="1" si="33"/>
        <v>0</v>
      </c>
      <c r="AM54" s="87">
        <f t="shared" ca="1" si="33"/>
        <v>0</v>
      </c>
      <c r="AN54" s="87">
        <f t="shared" ca="1" si="33"/>
        <v>0</v>
      </c>
      <c r="AO54" s="87">
        <f t="shared" ca="1" si="34"/>
        <v>0</v>
      </c>
      <c r="AP54" s="87">
        <f t="shared" ca="1" si="34"/>
        <v>0</v>
      </c>
      <c r="AQ54" s="87">
        <f t="shared" ca="1" si="34"/>
        <v>0</v>
      </c>
      <c r="AR54" s="87">
        <f t="shared" ca="1" si="34"/>
        <v>0</v>
      </c>
      <c r="AS54" s="87">
        <f t="shared" ca="1" si="34"/>
        <v>0</v>
      </c>
      <c r="AT54" s="87">
        <f t="shared" ca="1" si="34"/>
        <v>0</v>
      </c>
      <c r="AU54" s="87">
        <f t="shared" ca="1" si="34"/>
        <v>0</v>
      </c>
      <c r="AV54" s="87">
        <f t="shared" ca="1" si="34"/>
        <v>0</v>
      </c>
      <c r="AW54" s="87">
        <f t="shared" ca="1" si="34"/>
        <v>0</v>
      </c>
      <c r="AX54" s="87">
        <f t="shared" ca="1" si="34"/>
        <v>0</v>
      </c>
      <c r="AY54" s="87">
        <f t="shared" ca="1" si="35"/>
        <v>0</v>
      </c>
      <c r="AZ54" s="87">
        <f t="shared" ca="1" si="35"/>
        <v>0</v>
      </c>
      <c r="BA54" s="87">
        <f t="shared" ca="1" si="35"/>
        <v>0</v>
      </c>
      <c r="BB54" s="87">
        <f t="shared" ca="1" si="35"/>
        <v>0</v>
      </c>
      <c r="BC54" s="87">
        <f t="shared" ca="1" si="35"/>
        <v>0</v>
      </c>
      <c r="BD54" s="87">
        <f t="shared" ca="1" si="35"/>
        <v>0</v>
      </c>
      <c r="BE54" s="87">
        <f t="shared" ca="1" si="35"/>
        <v>0</v>
      </c>
      <c r="BF54" s="87">
        <f t="shared" ca="1" si="35"/>
        <v>0</v>
      </c>
      <c r="BG54" s="87">
        <f t="shared" ca="1" si="35"/>
        <v>0</v>
      </c>
      <c r="BH54" s="87">
        <f t="shared" ca="1" si="35"/>
        <v>0</v>
      </c>
      <c r="BI54" s="87">
        <f t="shared" ca="1" si="35"/>
        <v>0</v>
      </c>
      <c r="BJ54" s="87">
        <f t="shared" ca="1" si="35"/>
        <v>0</v>
      </c>
      <c r="BK54" s="87">
        <f t="shared" ca="1" si="35"/>
        <v>0</v>
      </c>
      <c r="BL54" s="87">
        <f t="shared" ca="1" si="35"/>
        <v>0</v>
      </c>
    </row>
    <row r="55" spans="1:64" x14ac:dyDescent="0.25">
      <c r="A55" s="87">
        <f t="shared" ca="1" si="30"/>
        <v>0</v>
      </c>
      <c r="B55" s="87">
        <f t="shared" ca="1" si="30"/>
        <v>0</v>
      </c>
      <c r="C55" s="87">
        <f t="shared" ca="1" si="30"/>
        <v>0</v>
      </c>
      <c r="D55" s="87">
        <f t="shared" ca="1" si="30"/>
        <v>0</v>
      </c>
      <c r="E55" s="87">
        <f t="shared" ca="1" si="30"/>
        <v>0</v>
      </c>
      <c r="F55" s="87">
        <f t="shared" ca="1" si="30"/>
        <v>0</v>
      </c>
      <c r="G55" s="87">
        <f t="shared" ca="1" si="30"/>
        <v>0</v>
      </c>
      <c r="H55" s="87">
        <f t="shared" ca="1" si="30"/>
        <v>0</v>
      </c>
      <c r="I55" s="87">
        <f t="shared" ca="1" si="30"/>
        <v>0</v>
      </c>
      <c r="J55" s="87">
        <f t="shared" ca="1" si="30"/>
        <v>0</v>
      </c>
      <c r="K55" s="87">
        <f t="shared" ca="1" si="31"/>
        <v>0</v>
      </c>
      <c r="L55" s="87">
        <f t="shared" ca="1" si="31"/>
        <v>0</v>
      </c>
      <c r="M55" s="87">
        <f t="shared" ca="1" si="31"/>
        <v>0</v>
      </c>
      <c r="N55" s="87">
        <f t="shared" ca="1" si="31"/>
        <v>0</v>
      </c>
      <c r="O55" s="87">
        <f t="shared" ca="1" si="31"/>
        <v>0</v>
      </c>
      <c r="P55" s="87">
        <f t="shared" ca="1" si="31"/>
        <v>0</v>
      </c>
      <c r="Q55" s="87">
        <f t="shared" ca="1" si="31"/>
        <v>0</v>
      </c>
      <c r="R55" s="87">
        <f t="shared" ca="1" si="31"/>
        <v>0</v>
      </c>
      <c r="S55" s="87">
        <f t="shared" ca="1" si="31"/>
        <v>0</v>
      </c>
      <c r="T55" s="87">
        <f t="shared" ca="1" si="31"/>
        <v>0</v>
      </c>
      <c r="U55" s="87">
        <f t="shared" ca="1" si="32"/>
        <v>0</v>
      </c>
      <c r="V55" s="87">
        <f t="shared" ca="1" si="32"/>
        <v>0</v>
      </c>
      <c r="W55" s="87">
        <f t="shared" ca="1" si="32"/>
        <v>0</v>
      </c>
      <c r="X55" s="87">
        <f t="shared" ca="1" si="32"/>
        <v>0</v>
      </c>
      <c r="Y55" s="87">
        <f t="shared" ca="1" si="32"/>
        <v>0</v>
      </c>
      <c r="Z55" s="87">
        <f t="shared" ca="1" si="32"/>
        <v>0</v>
      </c>
      <c r="AA55" s="87">
        <f t="shared" ca="1" si="32"/>
        <v>0</v>
      </c>
      <c r="AB55" s="87">
        <f t="shared" ca="1" si="32"/>
        <v>0</v>
      </c>
      <c r="AC55" s="87">
        <f t="shared" ca="1" si="32"/>
        <v>0</v>
      </c>
      <c r="AD55" s="87">
        <f t="shared" ca="1" si="32"/>
        <v>0</v>
      </c>
      <c r="AE55" s="87">
        <f t="shared" ca="1" si="33"/>
        <v>0</v>
      </c>
      <c r="AF55" s="87">
        <f t="shared" ca="1" si="33"/>
        <v>0</v>
      </c>
      <c r="AG55" s="87">
        <f t="shared" ca="1" si="33"/>
        <v>0</v>
      </c>
      <c r="AH55" s="87">
        <f t="shared" ca="1" si="33"/>
        <v>0</v>
      </c>
      <c r="AI55" s="87">
        <f t="shared" ca="1" si="33"/>
        <v>0</v>
      </c>
      <c r="AJ55" s="87">
        <f t="shared" ca="1" si="33"/>
        <v>0</v>
      </c>
      <c r="AK55" s="87">
        <f t="shared" ca="1" si="33"/>
        <v>0</v>
      </c>
      <c r="AL55" s="87">
        <f t="shared" ca="1" si="33"/>
        <v>0</v>
      </c>
      <c r="AM55" s="87">
        <f t="shared" ca="1" si="33"/>
        <v>0</v>
      </c>
      <c r="AN55" s="87">
        <f t="shared" ca="1" si="33"/>
        <v>0</v>
      </c>
      <c r="AO55" s="87">
        <f t="shared" ca="1" si="34"/>
        <v>0</v>
      </c>
      <c r="AP55" s="87">
        <f t="shared" ca="1" si="34"/>
        <v>0</v>
      </c>
      <c r="AQ55" s="87">
        <f t="shared" ca="1" si="34"/>
        <v>0</v>
      </c>
      <c r="AR55" s="87">
        <f t="shared" ca="1" si="34"/>
        <v>0</v>
      </c>
      <c r="AS55" s="87">
        <f t="shared" ca="1" si="34"/>
        <v>0</v>
      </c>
      <c r="AT55" s="87">
        <f t="shared" ca="1" si="34"/>
        <v>0</v>
      </c>
      <c r="AU55" s="87">
        <f t="shared" ca="1" si="34"/>
        <v>0</v>
      </c>
      <c r="AV55" s="87">
        <f t="shared" ca="1" si="34"/>
        <v>0</v>
      </c>
      <c r="AW55" s="87">
        <f t="shared" ca="1" si="34"/>
        <v>0</v>
      </c>
      <c r="AX55" s="87">
        <f t="shared" ca="1" si="34"/>
        <v>0</v>
      </c>
      <c r="AY55" s="87">
        <f t="shared" ca="1" si="35"/>
        <v>0</v>
      </c>
      <c r="AZ55" s="87">
        <f t="shared" ca="1" si="35"/>
        <v>0</v>
      </c>
      <c r="BA55" s="87">
        <f t="shared" ca="1" si="35"/>
        <v>0</v>
      </c>
      <c r="BB55" s="87">
        <f t="shared" ca="1" si="35"/>
        <v>0</v>
      </c>
      <c r="BC55" s="87">
        <f t="shared" ca="1" si="35"/>
        <v>0</v>
      </c>
      <c r="BD55" s="87">
        <f t="shared" ca="1" si="35"/>
        <v>0</v>
      </c>
      <c r="BE55" s="87">
        <f t="shared" ca="1" si="35"/>
        <v>0</v>
      </c>
      <c r="BF55" s="87">
        <f t="shared" ca="1" si="35"/>
        <v>0</v>
      </c>
      <c r="BG55" s="87">
        <f t="shared" ca="1" si="35"/>
        <v>0</v>
      </c>
      <c r="BH55" s="87">
        <f t="shared" ca="1" si="35"/>
        <v>0</v>
      </c>
      <c r="BI55" s="87">
        <f t="shared" ca="1" si="35"/>
        <v>0</v>
      </c>
      <c r="BJ55" s="87">
        <f t="shared" ca="1" si="35"/>
        <v>0</v>
      </c>
      <c r="BK55" s="87">
        <f t="shared" ca="1" si="35"/>
        <v>0</v>
      </c>
      <c r="BL55" s="87">
        <f t="shared" ca="1" si="35"/>
        <v>0</v>
      </c>
    </row>
    <row r="56" spans="1:64" x14ac:dyDescent="0.25">
      <c r="A56" s="87">
        <f t="shared" ca="1" si="30"/>
        <v>0</v>
      </c>
      <c r="B56" s="87">
        <f t="shared" ca="1" si="30"/>
        <v>0</v>
      </c>
      <c r="C56" s="87">
        <f t="shared" ca="1" si="30"/>
        <v>0</v>
      </c>
      <c r="D56" s="87">
        <f t="shared" ca="1" si="30"/>
        <v>0</v>
      </c>
      <c r="E56" s="87">
        <f t="shared" ca="1" si="30"/>
        <v>0</v>
      </c>
      <c r="F56" s="87">
        <f t="shared" ca="1" si="30"/>
        <v>0</v>
      </c>
      <c r="G56" s="87">
        <f t="shared" ca="1" si="30"/>
        <v>0</v>
      </c>
      <c r="H56" s="87">
        <f t="shared" ca="1" si="30"/>
        <v>0</v>
      </c>
      <c r="I56" s="87">
        <f t="shared" ca="1" si="30"/>
        <v>0</v>
      </c>
      <c r="J56" s="87">
        <f t="shared" ca="1" si="30"/>
        <v>0</v>
      </c>
      <c r="K56" s="87">
        <f t="shared" ca="1" si="31"/>
        <v>0</v>
      </c>
      <c r="L56" s="87">
        <f t="shared" ca="1" si="31"/>
        <v>0</v>
      </c>
      <c r="M56" s="87">
        <f t="shared" ca="1" si="31"/>
        <v>0</v>
      </c>
      <c r="N56" s="87">
        <f t="shared" ca="1" si="31"/>
        <v>0</v>
      </c>
      <c r="O56" s="87">
        <f t="shared" ca="1" si="31"/>
        <v>0</v>
      </c>
      <c r="P56" s="87">
        <f t="shared" ca="1" si="31"/>
        <v>0</v>
      </c>
      <c r="Q56" s="87">
        <f t="shared" ca="1" si="31"/>
        <v>0</v>
      </c>
      <c r="R56" s="87">
        <f t="shared" ca="1" si="31"/>
        <v>0</v>
      </c>
      <c r="S56" s="87">
        <f t="shared" ca="1" si="31"/>
        <v>0</v>
      </c>
      <c r="T56" s="87">
        <f t="shared" ca="1" si="31"/>
        <v>0</v>
      </c>
      <c r="U56" s="87">
        <f t="shared" ca="1" si="32"/>
        <v>0</v>
      </c>
      <c r="V56" s="87">
        <f t="shared" ca="1" si="32"/>
        <v>0</v>
      </c>
      <c r="W56" s="87">
        <f t="shared" ca="1" si="32"/>
        <v>0</v>
      </c>
      <c r="X56" s="87">
        <f t="shared" ca="1" si="32"/>
        <v>0</v>
      </c>
      <c r="Y56" s="87">
        <f t="shared" ca="1" si="32"/>
        <v>0</v>
      </c>
      <c r="Z56" s="87">
        <f t="shared" ca="1" si="32"/>
        <v>0</v>
      </c>
      <c r="AA56" s="87">
        <f t="shared" ca="1" si="32"/>
        <v>0</v>
      </c>
      <c r="AB56" s="87">
        <f t="shared" ca="1" si="32"/>
        <v>0</v>
      </c>
      <c r="AC56" s="87">
        <f t="shared" ca="1" si="32"/>
        <v>0</v>
      </c>
      <c r="AD56" s="87">
        <f t="shared" ca="1" si="32"/>
        <v>0</v>
      </c>
      <c r="AE56" s="87">
        <f t="shared" ca="1" si="33"/>
        <v>0</v>
      </c>
      <c r="AF56" s="87">
        <f t="shared" ca="1" si="33"/>
        <v>0</v>
      </c>
      <c r="AG56" s="87">
        <f t="shared" ca="1" si="33"/>
        <v>0</v>
      </c>
      <c r="AH56" s="87">
        <f t="shared" ca="1" si="33"/>
        <v>0</v>
      </c>
      <c r="AI56" s="87">
        <f t="shared" ca="1" si="33"/>
        <v>0</v>
      </c>
      <c r="AJ56" s="87">
        <f t="shared" ca="1" si="33"/>
        <v>0</v>
      </c>
      <c r="AK56" s="87">
        <f t="shared" ca="1" si="33"/>
        <v>0</v>
      </c>
      <c r="AL56" s="87">
        <f t="shared" ca="1" si="33"/>
        <v>0</v>
      </c>
      <c r="AM56" s="87">
        <f t="shared" ca="1" si="33"/>
        <v>0</v>
      </c>
      <c r="AN56" s="87">
        <f t="shared" ca="1" si="33"/>
        <v>0</v>
      </c>
      <c r="AO56" s="87">
        <f t="shared" ca="1" si="34"/>
        <v>0</v>
      </c>
      <c r="AP56" s="87">
        <f t="shared" ca="1" si="34"/>
        <v>0</v>
      </c>
      <c r="AQ56" s="87">
        <f t="shared" ca="1" si="34"/>
        <v>0</v>
      </c>
      <c r="AR56" s="87">
        <f t="shared" ca="1" si="34"/>
        <v>0</v>
      </c>
      <c r="AS56" s="87">
        <f t="shared" ca="1" si="34"/>
        <v>0</v>
      </c>
      <c r="AT56" s="87">
        <f t="shared" ca="1" si="34"/>
        <v>0</v>
      </c>
      <c r="AU56" s="87">
        <f t="shared" ca="1" si="34"/>
        <v>0</v>
      </c>
      <c r="AV56" s="87">
        <f t="shared" ca="1" si="34"/>
        <v>0</v>
      </c>
      <c r="AW56" s="87">
        <f t="shared" ca="1" si="34"/>
        <v>0</v>
      </c>
      <c r="AX56" s="87">
        <f t="shared" ca="1" si="34"/>
        <v>0</v>
      </c>
      <c r="AY56" s="87">
        <f t="shared" ca="1" si="35"/>
        <v>0</v>
      </c>
      <c r="AZ56" s="87">
        <f t="shared" ca="1" si="35"/>
        <v>0</v>
      </c>
      <c r="BA56" s="87">
        <f t="shared" ca="1" si="35"/>
        <v>0</v>
      </c>
      <c r="BB56" s="87">
        <f t="shared" ca="1" si="35"/>
        <v>0</v>
      </c>
      <c r="BC56" s="87">
        <f t="shared" ca="1" si="35"/>
        <v>0</v>
      </c>
      <c r="BD56" s="87">
        <f t="shared" ca="1" si="35"/>
        <v>0</v>
      </c>
      <c r="BE56" s="87">
        <f t="shared" ca="1" si="35"/>
        <v>0</v>
      </c>
      <c r="BF56" s="87">
        <f t="shared" ca="1" si="35"/>
        <v>0</v>
      </c>
      <c r="BG56" s="87">
        <f t="shared" ca="1" si="35"/>
        <v>0</v>
      </c>
      <c r="BH56" s="87">
        <f t="shared" ca="1" si="35"/>
        <v>0</v>
      </c>
      <c r="BI56" s="87">
        <f t="shared" ca="1" si="35"/>
        <v>0</v>
      </c>
      <c r="BJ56" s="87">
        <f t="shared" ca="1" si="35"/>
        <v>0</v>
      </c>
      <c r="BK56" s="87">
        <f t="shared" ca="1" si="35"/>
        <v>0</v>
      </c>
      <c r="BL56" s="87">
        <f t="shared" ca="1" si="35"/>
        <v>0</v>
      </c>
    </row>
    <row r="57" spans="1:64" x14ac:dyDescent="0.25">
      <c r="A57" s="87">
        <f t="shared" ca="1" si="30"/>
        <v>0</v>
      </c>
      <c r="B57" s="87">
        <f t="shared" ca="1" si="30"/>
        <v>0</v>
      </c>
      <c r="C57" s="87">
        <f t="shared" ca="1" si="30"/>
        <v>0</v>
      </c>
      <c r="D57" s="87">
        <f t="shared" ca="1" si="30"/>
        <v>0</v>
      </c>
      <c r="E57" s="87">
        <f t="shared" ca="1" si="30"/>
        <v>0</v>
      </c>
      <c r="F57" s="87">
        <f t="shared" ca="1" si="30"/>
        <v>0</v>
      </c>
      <c r="G57" s="87">
        <f t="shared" ca="1" si="30"/>
        <v>0</v>
      </c>
      <c r="H57" s="87">
        <f t="shared" ca="1" si="30"/>
        <v>0</v>
      </c>
      <c r="I57" s="87">
        <f t="shared" ca="1" si="30"/>
        <v>0</v>
      </c>
      <c r="J57" s="87">
        <f t="shared" ca="1" si="30"/>
        <v>0</v>
      </c>
      <c r="K57" s="87">
        <f t="shared" ca="1" si="31"/>
        <v>0</v>
      </c>
      <c r="L57" s="87">
        <f t="shared" ca="1" si="31"/>
        <v>0</v>
      </c>
      <c r="M57" s="87">
        <f t="shared" ca="1" si="31"/>
        <v>0</v>
      </c>
      <c r="N57" s="87">
        <f t="shared" ca="1" si="31"/>
        <v>0</v>
      </c>
      <c r="O57" s="87">
        <f t="shared" ca="1" si="31"/>
        <v>0</v>
      </c>
      <c r="P57" s="87">
        <f t="shared" ca="1" si="31"/>
        <v>0</v>
      </c>
      <c r="Q57" s="87">
        <f t="shared" ca="1" si="31"/>
        <v>0</v>
      </c>
      <c r="R57" s="87">
        <f t="shared" ca="1" si="31"/>
        <v>0</v>
      </c>
      <c r="S57" s="87">
        <f t="shared" ca="1" si="31"/>
        <v>0</v>
      </c>
      <c r="T57" s="87">
        <f t="shared" ca="1" si="31"/>
        <v>0</v>
      </c>
      <c r="U57" s="87">
        <f t="shared" ca="1" si="32"/>
        <v>0</v>
      </c>
      <c r="V57" s="87">
        <f t="shared" ca="1" si="32"/>
        <v>0</v>
      </c>
      <c r="W57" s="87">
        <f t="shared" ca="1" si="32"/>
        <v>0</v>
      </c>
      <c r="X57" s="87">
        <f t="shared" ca="1" si="32"/>
        <v>0</v>
      </c>
      <c r="Y57" s="87">
        <f t="shared" ca="1" si="32"/>
        <v>0</v>
      </c>
      <c r="Z57" s="87">
        <f t="shared" ca="1" si="32"/>
        <v>0</v>
      </c>
      <c r="AA57" s="87">
        <f t="shared" ca="1" si="32"/>
        <v>0</v>
      </c>
      <c r="AB57" s="87">
        <f t="shared" ca="1" si="32"/>
        <v>0</v>
      </c>
      <c r="AC57" s="87">
        <f t="shared" ca="1" si="32"/>
        <v>0</v>
      </c>
      <c r="AD57" s="87">
        <f t="shared" ca="1" si="32"/>
        <v>0</v>
      </c>
      <c r="AE57" s="87">
        <f t="shared" ca="1" si="33"/>
        <v>0</v>
      </c>
      <c r="AF57" s="87">
        <f t="shared" ca="1" si="33"/>
        <v>0</v>
      </c>
      <c r="AG57" s="87">
        <f t="shared" ca="1" si="33"/>
        <v>0</v>
      </c>
      <c r="AH57" s="87">
        <f t="shared" ca="1" si="33"/>
        <v>0</v>
      </c>
      <c r="AI57" s="87">
        <f t="shared" ca="1" si="33"/>
        <v>0</v>
      </c>
      <c r="AJ57" s="87">
        <f t="shared" ca="1" si="33"/>
        <v>0</v>
      </c>
      <c r="AK57" s="87">
        <f t="shared" ca="1" si="33"/>
        <v>0</v>
      </c>
      <c r="AL57" s="87">
        <f t="shared" ca="1" si="33"/>
        <v>0</v>
      </c>
      <c r="AM57" s="87">
        <f t="shared" ca="1" si="33"/>
        <v>0</v>
      </c>
      <c r="AN57" s="87">
        <f t="shared" ca="1" si="33"/>
        <v>0</v>
      </c>
      <c r="AO57" s="87">
        <f t="shared" ca="1" si="34"/>
        <v>0</v>
      </c>
      <c r="AP57" s="87">
        <f t="shared" ca="1" si="34"/>
        <v>0</v>
      </c>
      <c r="AQ57" s="87">
        <f t="shared" ca="1" si="34"/>
        <v>0</v>
      </c>
      <c r="AR57" s="87">
        <f t="shared" ca="1" si="34"/>
        <v>0</v>
      </c>
      <c r="AS57" s="87">
        <f t="shared" ca="1" si="34"/>
        <v>0</v>
      </c>
      <c r="AT57" s="87">
        <f t="shared" ca="1" si="34"/>
        <v>0</v>
      </c>
      <c r="AU57" s="87">
        <f t="shared" ca="1" si="34"/>
        <v>0</v>
      </c>
      <c r="AV57" s="87">
        <f t="shared" ca="1" si="34"/>
        <v>0</v>
      </c>
      <c r="AW57" s="87">
        <f t="shared" ca="1" si="34"/>
        <v>0</v>
      </c>
      <c r="AX57" s="87">
        <f t="shared" ca="1" si="34"/>
        <v>0</v>
      </c>
      <c r="AY57" s="87">
        <f t="shared" ca="1" si="35"/>
        <v>0</v>
      </c>
      <c r="AZ57" s="87">
        <f t="shared" ca="1" si="35"/>
        <v>0</v>
      </c>
      <c r="BA57" s="87">
        <f t="shared" ca="1" si="35"/>
        <v>0</v>
      </c>
      <c r="BB57" s="87">
        <f t="shared" ca="1" si="35"/>
        <v>0</v>
      </c>
      <c r="BC57" s="87">
        <f t="shared" ca="1" si="35"/>
        <v>0</v>
      </c>
      <c r="BD57" s="87">
        <f t="shared" ca="1" si="35"/>
        <v>0</v>
      </c>
      <c r="BE57" s="87">
        <f t="shared" ca="1" si="35"/>
        <v>0</v>
      </c>
      <c r="BF57" s="87">
        <f t="shared" ca="1" si="35"/>
        <v>0</v>
      </c>
      <c r="BG57" s="87">
        <f t="shared" ca="1" si="35"/>
        <v>0</v>
      </c>
      <c r="BH57" s="87">
        <f t="shared" ca="1" si="35"/>
        <v>0</v>
      </c>
      <c r="BI57" s="87">
        <f t="shared" ca="1" si="35"/>
        <v>0</v>
      </c>
      <c r="BJ57" s="87">
        <f t="shared" ca="1" si="35"/>
        <v>0</v>
      </c>
      <c r="BK57" s="87">
        <f t="shared" ca="1" si="35"/>
        <v>0</v>
      </c>
      <c r="BL57" s="87">
        <f t="shared" ca="1" si="35"/>
        <v>0</v>
      </c>
    </row>
    <row r="58" spans="1:64" x14ac:dyDescent="0.25">
      <c r="A58" s="87">
        <f t="shared" ca="1" si="30"/>
        <v>0</v>
      </c>
      <c r="B58" s="87">
        <f t="shared" ca="1" si="30"/>
        <v>0</v>
      </c>
      <c r="C58" s="87">
        <f t="shared" ca="1" si="30"/>
        <v>0</v>
      </c>
      <c r="D58" s="87">
        <f t="shared" ca="1" si="30"/>
        <v>0</v>
      </c>
      <c r="E58" s="87">
        <f t="shared" ca="1" si="30"/>
        <v>0</v>
      </c>
      <c r="F58" s="87">
        <f t="shared" ca="1" si="30"/>
        <v>0</v>
      </c>
      <c r="G58" s="87">
        <f t="shared" ca="1" si="30"/>
        <v>0</v>
      </c>
      <c r="H58" s="87">
        <f t="shared" ca="1" si="30"/>
        <v>0</v>
      </c>
      <c r="I58" s="87">
        <f t="shared" ca="1" si="30"/>
        <v>0</v>
      </c>
      <c r="J58" s="87">
        <f t="shared" ca="1" si="30"/>
        <v>0</v>
      </c>
      <c r="K58" s="87">
        <f t="shared" ca="1" si="31"/>
        <v>0</v>
      </c>
      <c r="L58" s="87">
        <f t="shared" ca="1" si="31"/>
        <v>0</v>
      </c>
      <c r="M58" s="87">
        <f t="shared" ca="1" si="31"/>
        <v>0</v>
      </c>
      <c r="N58" s="87">
        <f t="shared" ca="1" si="31"/>
        <v>0</v>
      </c>
      <c r="O58" s="87">
        <f t="shared" ca="1" si="31"/>
        <v>0</v>
      </c>
      <c r="P58" s="87">
        <f t="shared" ca="1" si="31"/>
        <v>0</v>
      </c>
      <c r="Q58" s="87">
        <f t="shared" ca="1" si="31"/>
        <v>0</v>
      </c>
      <c r="R58" s="87">
        <f t="shared" ca="1" si="31"/>
        <v>0</v>
      </c>
      <c r="S58" s="87">
        <f t="shared" ca="1" si="31"/>
        <v>0</v>
      </c>
      <c r="T58" s="87">
        <f t="shared" ca="1" si="31"/>
        <v>0</v>
      </c>
      <c r="U58" s="87">
        <f t="shared" ca="1" si="32"/>
        <v>0</v>
      </c>
      <c r="V58" s="87">
        <f t="shared" ca="1" si="32"/>
        <v>0</v>
      </c>
      <c r="W58" s="87">
        <f t="shared" ca="1" si="32"/>
        <v>0</v>
      </c>
      <c r="X58" s="87">
        <f t="shared" ca="1" si="32"/>
        <v>0</v>
      </c>
      <c r="Y58" s="87">
        <f t="shared" ca="1" si="32"/>
        <v>0</v>
      </c>
      <c r="Z58" s="87">
        <f t="shared" ca="1" si="32"/>
        <v>0</v>
      </c>
      <c r="AA58" s="87">
        <f t="shared" ca="1" si="32"/>
        <v>0</v>
      </c>
      <c r="AB58" s="87">
        <f t="shared" ca="1" si="32"/>
        <v>0</v>
      </c>
      <c r="AC58" s="87">
        <f t="shared" ca="1" si="32"/>
        <v>0</v>
      </c>
      <c r="AD58" s="87">
        <f t="shared" ca="1" si="32"/>
        <v>0</v>
      </c>
      <c r="AE58" s="87">
        <f t="shared" ca="1" si="33"/>
        <v>0</v>
      </c>
      <c r="AF58" s="87">
        <f t="shared" ca="1" si="33"/>
        <v>0</v>
      </c>
      <c r="AG58" s="87">
        <f t="shared" ca="1" si="33"/>
        <v>0</v>
      </c>
      <c r="AH58" s="87">
        <f t="shared" ca="1" si="33"/>
        <v>0</v>
      </c>
      <c r="AI58" s="87">
        <f t="shared" ca="1" si="33"/>
        <v>0</v>
      </c>
      <c r="AJ58" s="87">
        <f t="shared" ca="1" si="33"/>
        <v>0</v>
      </c>
      <c r="AK58" s="87">
        <f t="shared" ca="1" si="33"/>
        <v>0</v>
      </c>
      <c r="AL58" s="87">
        <f t="shared" ca="1" si="33"/>
        <v>0</v>
      </c>
      <c r="AM58" s="87">
        <f t="shared" ca="1" si="33"/>
        <v>0</v>
      </c>
      <c r="AN58" s="87">
        <f t="shared" ca="1" si="33"/>
        <v>0</v>
      </c>
      <c r="AO58" s="87">
        <f t="shared" ca="1" si="34"/>
        <v>0</v>
      </c>
      <c r="AP58" s="87">
        <f t="shared" ca="1" si="34"/>
        <v>0</v>
      </c>
      <c r="AQ58" s="87">
        <f t="shared" ca="1" si="34"/>
        <v>0</v>
      </c>
      <c r="AR58" s="87">
        <f t="shared" ca="1" si="34"/>
        <v>0</v>
      </c>
      <c r="AS58" s="87">
        <f t="shared" ca="1" si="34"/>
        <v>0</v>
      </c>
      <c r="AT58" s="87">
        <f t="shared" ca="1" si="34"/>
        <v>0</v>
      </c>
      <c r="AU58" s="87">
        <f t="shared" ca="1" si="34"/>
        <v>0</v>
      </c>
      <c r="AV58" s="87">
        <f t="shared" ca="1" si="34"/>
        <v>0</v>
      </c>
      <c r="AW58" s="87">
        <f t="shared" ca="1" si="34"/>
        <v>0</v>
      </c>
      <c r="AX58" s="87">
        <f t="shared" ca="1" si="34"/>
        <v>0</v>
      </c>
      <c r="AY58" s="87">
        <f t="shared" ca="1" si="35"/>
        <v>0</v>
      </c>
      <c r="AZ58" s="87">
        <f t="shared" ca="1" si="35"/>
        <v>0</v>
      </c>
      <c r="BA58" s="87">
        <f t="shared" ca="1" si="35"/>
        <v>0</v>
      </c>
      <c r="BB58" s="87">
        <f t="shared" ca="1" si="35"/>
        <v>0</v>
      </c>
      <c r="BC58" s="87">
        <f t="shared" ca="1" si="35"/>
        <v>0</v>
      </c>
      <c r="BD58" s="87">
        <f t="shared" ca="1" si="35"/>
        <v>0</v>
      </c>
      <c r="BE58" s="87">
        <f t="shared" ca="1" si="35"/>
        <v>0</v>
      </c>
      <c r="BF58" s="87">
        <f t="shared" ca="1" si="35"/>
        <v>0</v>
      </c>
      <c r="BG58" s="87">
        <f t="shared" ca="1" si="35"/>
        <v>0</v>
      </c>
      <c r="BH58" s="87">
        <f t="shared" ca="1" si="35"/>
        <v>0</v>
      </c>
      <c r="BI58" s="87">
        <f t="shared" ca="1" si="35"/>
        <v>0</v>
      </c>
      <c r="BJ58" s="87">
        <f t="shared" ca="1" si="35"/>
        <v>0</v>
      </c>
      <c r="BK58" s="87">
        <f t="shared" ca="1" si="35"/>
        <v>0</v>
      </c>
      <c r="BL58" s="87">
        <f t="shared" ca="1" si="35"/>
        <v>0</v>
      </c>
    </row>
    <row r="59" spans="1:64" x14ac:dyDescent="0.25">
      <c r="A59" s="87">
        <f t="shared" ca="1" si="30"/>
        <v>0</v>
      </c>
      <c r="B59" s="87">
        <f t="shared" ca="1" si="30"/>
        <v>0</v>
      </c>
      <c r="C59" s="87">
        <f t="shared" ca="1" si="30"/>
        <v>0</v>
      </c>
      <c r="D59" s="87">
        <f t="shared" ca="1" si="30"/>
        <v>0</v>
      </c>
      <c r="E59" s="87">
        <f t="shared" ca="1" si="30"/>
        <v>0</v>
      </c>
      <c r="F59" s="87">
        <f t="shared" ca="1" si="30"/>
        <v>0</v>
      </c>
      <c r="G59" s="87">
        <f t="shared" ca="1" si="30"/>
        <v>0</v>
      </c>
      <c r="H59" s="87">
        <f t="shared" ca="1" si="30"/>
        <v>0</v>
      </c>
      <c r="I59" s="87">
        <f t="shared" ca="1" si="30"/>
        <v>0</v>
      </c>
      <c r="J59" s="87">
        <f t="shared" ca="1" si="30"/>
        <v>0</v>
      </c>
      <c r="K59" s="87">
        <f t="shared" ca="1" si="31"/>
        <v>0</v>
      </c>
      <c r="L59" s="87">
        <f t="shared" ca="1" si="31"/>
        <v>0</v>
      </c>
      <c r="M59" s="87">
        <f t="shared" ca="1" si="31"/>
        <v>0</v>
      </c>
      <c r="N59" s="87">
        <f t="shared" ca="1" si="31"/>
        <v>0</v>
      </c>
      <c r="O59" s="87">
        <f t="shared" ca="1" si="31"/>
        <v>0</v>
      </c>
      <c r="P59" s="87">
        <f t="shared" ca="1" si="31"/>
        <v>0</v>
      </c>
      <c r="Q59" s="87">
        <f t="shared" ca="1" si="31"/>
        <v>0</v>
      </c>
      <c r="R59" s="87">
        <f t="shared" ca="1" si="31"/>
        <v>0</v>
      </c>
      <c r="S59" s="87">
        <f t="shared" ca="1" si="31"/>
        <v>0</v>
      </c>
      <c r="T59" s="87">
        <f t="shared" ca="1" si="31"/>
        <v>0</v>
      </c>
      <c r="U59" s="87">
        <f t="shared" ca="1" si="32"/>
        <v>0</v>
      </c>
      <c r="V59" s="87">
        <f t="shared" ca="1" si="32"/>
        <v>0</v>
      </c>
      <c r="W59" s="87">
        <f t="shared" ca="1" si="32"/>
        <v>0</v>
      </c>
      <c r="X59" s="87">
        <f t="shared" ca="1" si="32"/>
        <v>0</v>
      </c>
      <c r="Y59" s="87">
        <f t="shared" ca="1" si="32"/>
        <v>0</v>
      </c>
      <c r="Z59" s="87">
        <f t="shared" ca="1" si="32"/>
        <v>0</v>
      </c>
      <c r="AA59" s="87">
        <f t="shared" ca="1" si="32"/>
        <v>0</v>
      </c>
      <c r="AB59" s="87">
        <f t="shared" ca="1" si="32"/>
        <v>0</v>
      </c>
      <c r="AC59" s="87">
        <f t="shared" ca="1" si="32"/>
        <v>0</v>
      </c>
      <c r="AD59" s="87">
        <f t="shared" ca="1" si="32"/>
        <v>0</v>
      </c>
      <c r="AE59" s="87">
        <f t="shared" ca="1" si="33"/>
        <v>0</v>
      </c>
      <c r="AF59" s="87">
        <f t="shared" ca="1" si="33"/>
        <v>0</v>
      </c>
      <c r="AG59" s="87">
        <f t="shared" ca="1" si="33"/>
        <v>0</v>
      </c>
      <c r="AH59" s="87">
        <f t="shared" ca="1" si="33"/>
        <v>0</v>
      </c>
      <c r="AI59" s="87">
        <f t="shared" ca="1" si="33"/>
        <v>0</v>
      </c>
      <c r="AJ59" s="87">
        <f t="shared" ca="1" si="33"/>
        <v>0</v>
      </c>
      <c r="AK59" s="87">
        <f t="shared" ca="1" si="33"/>
        <v>0</v>
      </c>
      <c r="AL59" s="87">
        <f t="shared" ca="1" si="33"/>
        <v>0</v>
      </c>
      <c r="AM59" s="87">
        <f t="shared" ca="1" si="33"/>
        <v>0</v>
      </c>
      <c r="AN59" s="87">
        <f t="shared" ca="1" si="33"/>
        <v>0</v>
      </c>
      <c r="AO59" s="87">
        <f t="shared" ca="1" si="34"/>
        <v>0</v>
      </c>
      <c r="AP59" s="87">
        <f t="shared" ca="1" si="34"/>
        <v>0</v>
      </c>
      <c r="AQ59" s="87">
        <f t="shared" ca="1" si="34"/>
        <v>0</v>
      </c>
      <c r="AR59" s="87">
        <f t="shared" ca="1" si="34"/>
        <v>0</v>
      </c>
      <c r="AS59" s="87">
        <f t="shared" ca="1" si="34"/>
        <v>0</v>
      </c>
      <c r="AT59" s="87">
        <f t="shared" ca="1" si="34"/>
        <v>0</v>
      </c>
      <c r="AU59" s="87">
        <f t="shared" ca="1" si="34"/>
        <v>0</v>
      </c>
      <c r="AV59" s="87">
        <f t="shared" ca="1" si="34"/>
        <v>0</v>
      </c>
      <c r="AW59" s="87">
        <f t="shared" ca="1" si="34"/>
        <v>0</v>
      </c>
      <c r="AX59" s="87">
        <f t="shared" ca="1" si="34"/>
        <v>0</v>
      </c>
      <c r="AY59" s="87">
        <f t="shared" ca="1" si="35"/>
        <v>0</v>
      </c>
      <c r="AZ59" s="87">
        <f t="shared" ca="1" si="35"/>
        <v>0</v>
      </c>
      <c r="BA59" s="87">
        <f t="shared" ca="1" si="35"/>
        <v>0</v>
      </c>
      <c r="BB59" s="87">
        <f t="shared" ca="1" si="35"/>
        <v>0</v>
      </c>
      <c r="BC59" s="87">
        <f t="shared" ca="1" si="35"/>
        <v>0</v>
      </c>
      <c r="BD59" s="87">
        <f t="shared" ca="1" si="35"/>
        <v>0</v>
      </c>
      <c r="BE59" s="87">
        <f t="shared" ca="1" si="35"/>
        <v>0</v>
      </c>
      <c r="BF59" s="87">
        <f t="shared" ca="1" si="35"/>
        <v>0</v>
      </c>
      <c r="BG59" s="87">
        <f t="shared" ca="1" si="35"/>
        <v>0</v>
      </c>
      <c r="BH59" s="87">
        <f t="shared" ca="1" si="35"/>
        <v>0</v>
      </c>
      <c r="BI59" s="87">
        <f t="shared" ca="1" si="35"/>
        <v>0</v>
      </c>
      <c r="BJ59" s="87">
        <f t="shared" ca="1" si="35"/>
        <v>0</v>
      </c>
      <c r="BK59" s="87">
        <f t="shared" ca="1" si="35"/>
        <v>0</v>
      </c>
      <c r="BL59" s="87">
        <f t="shared" ca="1" si="35"/>
        <v>0</v>
      </c>
    </row>
    <row r="60" spans="1:64" x14ac:dyDescent="0.25">
      <c r="A60" s="87">
        <f t="shared" ca="1" si="30"/>
        <v>0</v>
      </c>
      <c r="B60" s="87">
        <f t="shared" ca="1" si="30"/>
        <v>0</v>
      </c>
      <c r="C60" s="87">
        <f t="shared" ca="1" si="30"/>
        <v>0</v>
      </c>
      <c r="D60" s="87">
        <f t="shared" ca="1" si="30"/>
        <v>0</v>
      </c>
      <c r="E60" s="87">
        <f t="shared" ca="1" si="30"/>
        <v>0</v>
      </c>
      <c r="F60" s="87">
        <f t="shared" ca="1" si="30"/>
        <v>0</v>
      </c>
      <c r="G60" s="87">
        <f t="shared" ca="1" si="30"/>
        <v>0</v>
      </c>
      <c r="H60" s="87">
        <f t="shared" ca="1" si="30"/>
        <v>0</v>
      </c>
      <c r="I60" s="87">
        <f t="shared" ca="1" si="30"/>
        <v>0</v>
      </c>
      <c r="J60" s="87">
        <f t="shared" ca="1" si="30"/>
        <v>0</v>
      </c>
      <c r="K60" s="87">
        <f t="shared" ca="1" si="31"/>
        <v>0</v>
      </c>
      <c r="L60" s="87">
        <f t="shared" ca="1" si="31"/>
        <v>0</v>
      </c>
      <c r="M60" s="87">
        <f t="shared" ca="1" si="31"/>
        <v>0</v>
      </c>
      <c r="N60" s="87">
        <f t="shared" ca="1" si="31"/>
        <v>0</v>
      </c>
      <c r="O60" s="87">
        <f t="shared" ca="1" si="31"/>
        <v>0</v>
      </c>
      <c r="P60" s="87">
        <f t="shared" ca="1" si="31"/>
        <v>0</v>
      </c>
      <c r="Q60" s="87">
        <f t="shared" ca="1" si="31"/>
        <v>0</v>
      </c>
      <c r="R60" s="87">
        <f t="shared" ca="1" si="31"/>
        <v>0</v>
      </c>
      <c r="S60" s="87">
        <f t="shared" ca="1" si="31"/>
        <v>0</v>
      </c>
      <c r="T60" s="87">
        <f t="shared" ca="1" si="31"/>
        <v>0</v>
      </c>
      <c r="U60" s="87">
        <f t="shared" ca="1" si="32"/>
        <v>0</v>
      </c>
      <c r="V60" s="87">
        <f t="shared" ca="1" si="32"/>
        <v>0</v>
      </c>
      <c r="W60" s="87">
        <f t="shared" ca="1" si="32"/>
        <v>0</v>
      </c>
      <c r="X60" s="87">
        <f t="shared" ca="1" si="32"/>
        <v>0</v>
      </c>
      <c r="Y60" s="87">
        <f t="shared" ca="1" si="32"/>
        <v>0</v>
      </c>
      <c r="Z60" s="87">
        <f t="shared" ca="1" si="32"/>
        <v>0</v>
      </c>
      <c r="AA60" s="87">
        <f t="shared" ca="1" si="32"/>
        <v>0</v>
      </c>
      <c r="AB60" s="87">
        <f t="shared" ca="1" si="32"/>
        <v>0</v>
      </c>
      <c r="AC60" s="87">
        <f t="shared" ca="1" si="32"/>
        <v>0</v>
      </c>
      <c r="AD60" s="87">
        <f t="shared" ca="1" si="32"/>
        <v>0</v>
      </c>
      <c r="AE60" s="87">
        <f t="shared" ca="1" si="33"/>
        <v>0</v>
      </c>
      <c r="AF60" s="87">
        <f t="shared" ca="1" si="33"/>
        <v>0</v>
      </c>
      <c r="AG60" s="87">
        <f t="shared" ca="1" si="33"/>
        <v>0</v>
      </c>
      <c r="AH60" s="87">
        <f t="shared" ca="1" si="33"/>
        <v>0</v>
      </c>
      <c r="AI60" s="87">
        <f t="shared" ca="1" si="33"/>
        <v>0</v>
      </c>
      <c r="AJ60" s="87">
        <f t="shared" ca="1" si="33"/>
        <v>0</v>
      </c>
      <c r="AK60" s="87">
        <f t="shared" ca="1" si="33"/>
        <v>0</v>
      </c>
      <c r="AL60" s="87">
        <f t="shared" ca="1" si="33"/>
        <v>0</v>
      </c>
      <c r="AM60" s="87">
        <f t="shared" ca="1" si="33"/>
        <v>0</v>
      </c>
      <c r="AN60" s="87">
        <f t="shared" ca="1" si="33"/>
        <v>0</v>
      </c>
      <c r="AO60" s="87">
        <f t="shared" ca="1" si="34"/>
        <v>0</v>
      </c>
      <c r="AP60" s="87">
        <f t="shared" ca="1" si="34"/>
        <v>0</v>
      </c>
      <c r="AQ60" s="87">
        <f t="shared" ca="1" si="34"/>
        <v>0</v>
      </c>
      <c r="AR60" s="87">
        <f t="shared" ca="1" si="34"/>
        <v>0</v>
      </c>
      <c r="AS60" s="87">
        <f t="shared" ca="1" si="34"/>
        <v>0</v>
      </c>
      <c r="AT60" s="87">
        <f t="shared" ca="1" si="34"/>
        <v>0</v>
      </c>
      <c r="AU60" s="87">
        <f t="shared" ca="1" si="34"/>
        <v>0</v>
      </c>
      <c r="AV60" s="87">
        <f t="shared" ca="1" si="34"/>
        <v>0</v>
      </c>
      <c r="AW60" s="87">
        <f t="shared" ca="1" si="34"/>
        <v>0</v>
      </c>
      <c r="AX60" s="87">
        <f t="shared" ca="1" si="34"/>
        <v>0</v>
      </c>
      <c r="AY60" s="87">
        <f t="shared" ca="1" si="35"/>
        <v>0</v>
      </c>
      <c r="AZ60" s="87">
        <f t="shared" ca="1" si="35"/>
        <v>0</v>
      </c>
      <c r="BA60" s="87">
        <f t="shared" ca="1" si="35"/>
        <v>0</v>
      </c>
      <c r="BB60" s="87">
        <f t="shared" ca="1" si="35"/>
        <v>0</v>
      </c>
      <c r="BC60" s="87">
        <f t="shared" ca="1" si="35"/>
        <v>0</v>
      </c>
      <c r="BD60" s="87">
        <f t="shared" ca="1" si="35"/>
        <v>0</v>
      </c>
      <c r="BE60" s="87">
        <f t="shared" ca="1" si="35"/>
        <v>0</v>
      </c>
      <c r="BF60" s="87">
        <f t="shared" ca="1" si="35"/>
        <v>0</v>
      </c>
      <c r="BG60" s="87">
        <f t="shared" ca="1" si="35"/>
        <v>0</v>
      </c>
      <c r="BH60" s="87">
        <f t="shared" ca="1" si="35"/>
        <v>0</v>
      </c>
      <c r="BI60" s="87">
        <f t="shared" ca="1" si="35"/>
        <v>0</v>
      </c>
      <c r="BJ60" s="87">
        <f t="shared" ca="1" si="35"/>
        <v>0</v>
      </c>
      <c r="BK60" s="87">
        <f t="shared" ca="1" si="35"/>
        <v>0</v>
      </c>
      <c r="BL60" s="87">
        <f t="shared" ca="1" si="35"/>
        <v>0</v>
      </c>
    </row>
    <row r="61" spans="1:64" x14ac:dyDescent="0.25">
      <c r="A61" s="87">
        <f t="shared" ca="1" si="30"/>
        <v>0</v>
      </c>
      <c r="B61" s="87">
        <f t="shared" ca="1" si="30"/>
        <v>0</v>
      </c>
      <c r="C61" s="87">
        <f t="shared" ca="1" si="30"/>
        <v>0</v>
      </c>
      <c r="D61" s="87">
        <f t="shared" ca="1" si="30"/>
        <v>0</v>
      </c>
      <c r="E61" s="87">
        <f t="shared" ca="1" si="30"/>
        <v>0</v>
      </c>
      <c r="F61" s="87">
        <f t="shared" ca="1" si="30"/>
        <v>0</v>
      </c>
      <c r="G61" s="87">
        <f t="shared" ca="1" si="30"/>
        <v>0</v>
      </c>
      <c r="H61" s="87">
        <f t="shared" ca="1" si="30"/>
        <v>0</v>
      </c>
      <c r="I61" s="87">
        <f t="shared" ca="1" si="30"/>
        <v>0</v>
      </c>
      <c r="J61" s="87">
        <f t="shared" ca="1" si="30"/>
        <v>0</v>
      </c>
      <c r="K61" s="87">
        <f t="shared" ca="1" si="31"/>
        <v>0</v>
      </c>
      <c r="L61" s="87">
        <f t="shared" ca="1" si="31"/>
        <v>0</v>
      </c>
      <c r="M61" s="87">
        <f t="shared" ca="1" si="31"/>
        <v>0</v>
      </c>
      <c r="N61" s="87">
        <f t="shared" ca="1" si="31"/>
        <v>0</v>
      </c>
      <c r="O61" s="87">
        <f t="shared" ca="1" si="31"/>
        <v>0</v>
      </c>
      <c r="P61" s="87">
        <f t="shared" ca="1" si="31"/>
        <v>0</v>
      </c>
      <c r="Q61" s="87">
        <f t="shared" ca="1" si="31"/>
        <v>0</v>
      </c>
      <c r="R61" s="87">
        <f t="shared" ca="1" si="31"/>
        <v>0</v>
      </c>
      <c r="S61" s="87">
        <f t="shared" ca="1" si="31"/>
        <v>0</v>
      </c>
      <c r="T61" s="87">
        <f t="shared" ca="1" si="31"/>
        <v>0</v>
      </c>
      <c r="U61" s="87">
        <f t="shared" ca="1" si="32"/>
        <v>0</v>
      </c>
      <c r="V61" s="87">
        <f t="shared" ca="1" si="32"/>
        <v>0</v>
      </c>
      <c r="W61" s="87">
        <f t="shared" ca="1" si="32"/>
        <v>0</v>
      </c>
      <c r="X61" s="87">
        <f t="shared" ca="1" si="32"/>
        <v>0</v>
      </c>
      <c r="Y61" s="87">
        <f t="shared" ca="1" si="32"/>
        <v>0</v>
      </c>
      <c r="Z61" s="87">
        <f t="shared" ca="1" si="32"/>
        <v>0</v>
      </c>
      <c r="AA61" s="87">
        <f t="shared" ca="1" si="32"/>
        <v>0</v>
      </c>
      <c r="AB61" s="87">
        <f t="shared" ca="1" si="32"/>
        <v>0</v>
      </c>
      <c r="AC61" s="87">
        <f t="shared" ca="1" si="32"/>
        <v>0</v>
      </c>
      <c r="AD61" s="87">
        <f t="shared" ca="1" si="32"/>
        <v>0</v>
      </c>
      <c r="AE61" s="87">
        <f t="shared" ca="1" si="33"/>
        <v>0</v>
      </c>
      <c r="AF61" s="87">
        <f t="shared" ca="1" si="33"/>
        <v>0</v>
      </c>
      <c r="AG61" s="87">
        <f t="shared" ca="1" si="33"/>
        <v>0</v>
      </c>
      <c r="AH61" s="87">
        <f t="shared" ca="1" si="33"/>
        <v>0</v>
      </c>
      <c r="AI61" s="87">
        <f t="shared" ca="1" si="33"/>
        <v>0</v>
      </c>
      <c r="AJ61" s="87">
        <f t="shared" ca="1" si="33"/>
        <v>0</v>
      </c>
      <c r="AK61" s="87">
        <f t="shared" ca="1" si="33"/>
        <v>0</v>
      </c>
      <c r="AL61" s="87">
        <f t="shared" ca="1" si="33"/>
        <v>0</v>
      </c>
      <c r="AM61" s="87">
        <f t="shared" ca="1" si="33"/>
        <v>0</v>
      </c>
      <c r="AN61" s="87">
        <f t="shared" ca="1" si="33"/>
        <v>0</v>
      </c>
      <c r="AO61" s="87">
        <f t="shared" ca="1" si="34"/>
        <v>0</v>
      </c>
      <c r="AP61" s="87">
        <f t="shared" ca="1" si="34"/>
        <v>0</v>
      </c>
      <c r="AQ61" s="87">
        <f t="shared" ca="1" si="34"/>
        <v>0</v>
      </c>
      <c r="AR61" s="87">
        <f t="shared" ca="1" si="34"/>
        <v>0</v>
      </c>
      <c r="AS61" s="87">
        <f t="shared" ca="1" si="34"/>
        <v>0</v>
      </c>
      <c r="AT61" s="87">
        <f t="shared" ca="1" si="34"/>
        <v>0</v>
      </c>
      <c r="AU61" s="87">
        <f t="shared" ca="1" si="34"/>
        <v>0</v>
      </c>
      <c r="AV61" s="87">
        <f t="shared" ca="1" si="34"/>
        <v>0</v>
      </c>
      <c r="AW61" s="87">
        <f t="shared" ca="1" si="34"/>
        <v>0</v>
      </c>
      <c r="AX61" s="87">
        <f t="shared" ca="1" si="34"/>
        <v>0</v>
      </c>
      <c r="AY61" s="87">
        <f t="shared" ca="1" si="35"/>
        <v>0</v>
      </c>
      <c r="AZ61" s="87">
        <f t="shared" ca="1" si="35"/>
        <v>0</v>
      </c>
      <c r="BA61" s="87">
        <f t="shared" ca="1" si="35"/>
        <v>0</v>
      </c>
      <c r="BB61" s="87">
        <f t="shared" ca="1" si="35"/>
        <v>0</v>
      </c>
      <c r="BC61" s="87">
        <f t="shared" ca="1" si="35"/>
        <v>0</v>
      </c>
      <c r="BD61" s="87">
        <f t="shared" ca="1" si="35"/>
        <v>0</v>
      </c>
      <c r="BE61" s="87">
        <f t="shared" ca="1" si="35"/>
        <v>0</v>
      </c>
      <c r="BF61" s="87">
        <f t="shared" ca="1" si="35"/>
        <v>0</v>
      </c>
      <c r="BG61" s="87">
        <f t="shared" ca="1" si="35"/>
        <v>0</v>
      </c>
      <c r="BH61" s="87">
        <f t="shared" ca="1" si="35"/>
        <v>0</v>
      </c>
      <c r="BI61" s="87">
        <f t="shared" ca="1" si="35"/>
        <v>0</v>
      </c>
      <c r="BJ61" s="87">
        <f t="shared" ca="1" si="35"/>
        <v>0</v>
      </c>
      <c r="BK61" s="87">
        <f t="shared" ca="1" si="35"/>
        <v>0</v>
      </c>
      <c r="BL61" s="87">
        <f t="shared" ca="1" si="35"/>
        <v>0</v>
      </c>
    </row>
    <row r="62" spans="1:64" x14ac:dyDescent="0.25">
      <c r="A62" s="87">
        <f t="shared" ca="1" si="30"/>
        <v>0</v>
      </c>
      <c r="B62" s="87">
        <f t="shared" ca="1" si="30"/>
        <v>0</v>
      </c>
      <c r="C62" s="87">
        <f t="shared" ca="1" si="30"/>
        <v>0</v>
      </c>
      <c r="D62" s="87">
        <f t="shared" ca="1" si="30"/>
        <v>0</v>
      </c>
      <c r="E62" s="87">
        <f t="shared" ca="1" si="30"/>
        <v>0</v>
      </c>
      <c r="F62" s="87">
        <f t="shared" ca="1" si="30"/>
        <v>0</v>
      </c>
      <c r="G62" s="87">
        <f t="shared" ca="1" si="30"/>
        <v>0</v>
      </c>
      <c r="H62" s="87">
        <f t="shared" ca="1" si="30"/>
        <v>0</v>
      </c>
      <c r="I62" s="87">
        <f t="shared" ca="1" si="30"/>
        <v>0</v>
      </c>
      <c r="J62" s="87">
        <f t="shared" ca="1" si="30"/>
        <v>0</v>
      </c>
      <c r="K62" s="87">
        <f t="shared" ca="1" si="31"/>
        <v>0</v>
      </c>
      <c r="L62" s="87">
        <f t="shared" ca="1" si="31"/>
        <v>0</v>
      </c>
      <c r="M62" s="87">
        <f t="shared" ca="1" si="31"/>
        <v>0</v>
      </c>
      <c r="N62" s="87">
        <f t="shared" ca="1" si="31"/>
        <v>0</v>
      </c>
      <c r="O62" s="87">
        <f t="shared" ca="1" si="31"/>
        <v>0</v>
      </c>
      <c r="P62" s="87">
        <f t="shared" ca="1" si="31"/>
        <v>0</v>
      </c>
      <c r="Q62" s="87">
        <f t="shared" ca="1" si="31"/>
        <v>0</v>
      </c>
      <c r="R62" s="87">
        <f t="shared" ca="1" si="31"/>
        <v>0</v>
      </c>
      <c r="S62" s="87">
        <f t="shared" ca="1" si="31"/>
        <v>0</v>
      </c>
      <c r="T62" s="87">
        <f t="shared" ca="1" si="31"/>
        <v>0</v>
      </c>
      <c r="U62" s="87">
        <f t="shared" ca="1" si="32"/>
        <v>0</v>
      </c>
      <c r="V62" s="87">
        <f t="shared" ca="1" si="32"/>
        <v>0</v>
      </c>
      <c r="W62" s="87">
        <f t="shared" ca="1" si="32"/>
        <v>0</v>
      </c>
      <c r="X62" s="87">
        <f t="shared" ca="1" si="32"/>
        <v>0</v>
      </c>
      <c r="Y62" s="87">
        <f t="shared" ca="1" si="32"/>
        <v>0</v>
      </c>
      <c r="Z62" s="87">
        <f t="shared" ca="1" si="32"/>
        <v>0</v>
      </c>
      <c r="AA62" s="87">
        <f t="shared" ca="1" si="32"/>
        <v>0</v>
      </c>
      <c r="AB62" s="87">
        <f t="shared" ca="1" si="32"/>
        <v>0</v>
      </c>
      <c r="AC62" s="87">
        <f t="shared" ca="1" si="32"/>
        <v>0</v>
      </c>
      <c r="AD62" s="87">
        <f t="shared" ca="1" si="32"/>
        <v>0</v>
      </c>
      <c r="AE62" s="87">
        <f t="shared" ca="1" si="33"/>
        <v>0</v>
      </c>
      <c r="AF62" s="87">
        <f t="shared" ca="1" si="33"/>
        <v>0</v>
      </c>
      <c r="AG62" s="87">
        <f t="shared" ca="1" si="33"/>
        <v>0</v>
      </c>
      <c r="AH62" s="87">
        <f t="shared" ca="1" si="33"/>
        <v>0</v>
      </c>
      <c r="AI62" s="87">
        <f t="shared" ca="1" si="33"/>
        <v>0</v>
      </c>
      <c r="AJ62" s="87">
        <f t="shared" ca="1" si="33"/>
        <v>0</v>
      </c>
      <c r="AK62" s="87">
        <f t="shared" ca="1" si="33"/>
        <v>0</v>
      </c>
      <c r="AL62" s="87">
        <f t="shared" ca="1" si="33"/>
        <v>0</v>
      </c>
      <c r="AM62" s="87">
        <f t="shared" ca="1" si="33"/>
        <v>0</v>
      </c>
      <c r="AN62" s="87">
        <f t="shared" ca="1" si="33"/>
        <v>0</v>
      </c>
      <c r="AO62" s="87">
        <f t="shared" ca="1" si="34"/>
        <v>0</v>
      </c>
      <c r="AP62" s="87">
        <f t="shared" ca="1" si="34"/>
        <v>0</v>
      </c>
      <c r="AQ62" s="87">
        <f t="shared" ca="1" si="34"/>
        <v>0</v>
      </c>
      <c r="AR62" s="87">
        <f t="shared" ca="1" si="34"/>
        <v>0</v>
      </c>
      <c r="AS62" s="87">
        <f t="shared" ca="1" si="34"/>
        <v>0</v>
      </c>
      <c r="AT62" s="87">
        <f t="shared" ca="1" si="34"/>
        <v>0</v>
      </c>
      <c r="AU62" s="87">
        <f t="shared" ca="1" si="34"/>
        <v>0</v>
      </c>
      <c r="AV62" s="87">
        <f t="shared" ca="1" si="34"/>
        <v>0</v>
      </c>
      <c r="AW62" s="87">
        <f t="shared" ca="1" si="34"/>
        <v>0</v>
      </c>
      <c r="AX62" s="87">
        <f t="shared" ca="1" si="34"/>
        <v>0</v>
      </c>
      <c r="AY62" s="87">
        <f t="shared" ca="1" si="35"/>
        <v>0</v>
      </c>
      <c r="AZ62" s="87">
        <f t="shared" ca="1" si="35"/>
        <v>0</v>
      </c>
      <c r="BA62" s="87">
        <f t="shared" ca="1" si="35"/>
        <v>0</v>
      </c>
      <c r="BB62" s="87">
        <f t="shared" ca="1" si="35"/>
        <v>0</v>
      </c>
      <c r="BC62" s="87">
        <f t="shared" ca="1" si="35"/>
        <v>0</v>
      </c>
      <c r="BD62" s="87">
        <f t="shared" ca="1" si="35"/>
        <v>0</v>
      </c>
      <c r="BE62" s="87">
        <f t="shared" ca="1" si="35"/>
        <v>0</v>
      </c>
      <c r="BF62" s="87">
        <f t="shared" ca="1" si="35"/>
        <v>0</v>
      </c>
      <c r="BG62" s="87">
        <f t="shared" ca="1" si="35"/>
        <v>0</v>
      </c>
      <c r="BH62" s="87">
        <f t="shared" ca="1" si="35"/>
        <v>0</v>
      </c>
      <c r="BI62" s="87">
        <f t="shared" ca="1" si="35"/>
        <v>0</v>
      </c>
      <c r="BJ62" s="87">
        <f t="shared" ca="1" si="35"/>
        <v>0</v>
      </c>
      <c r="BK62" s="87">
        <f t="shared" ca="1" si="35"/>
        <v>0</v>
      </c>
      <c r="BL62" s="87">
        <f t="shared" ca="1" si="35"/>
        <v>0</v>
      </c>
    </row>
    <row r="63" spans="1:64" x14ac:dyDescent="0.25">
      <c r="A63" s="87">
        <f t="shared" ca="1" si="30"/>
        <v>0</v>
      </c>
      <c r="B63" s="87">
        <f t="shared" ca="1" si="30"/>
        <v>0</v>
      </c>
      <c r="C63" s="87">
        <f t="shared" ca="1" si="30"/>
        <v>0</v>
      </c>
      <c r="D63" s="87">
        <f t="shared" ca="1" si="30"/>
        <v>0</v>
      </c>
      <c r="E63" s="87">
        <f t="shared" ca="1" si="30"/>
        <v>0</v>
      </c>
      <c r="F63" s="87">
        <f t="shared" ca="1" si="30"/>
        <v>0</v>
      </c>
      <c r="G63" s="87">
        <f t="shared" ca="1" si="30"/>
        <v>0</v>
      </c>
      <c r="H63" s="87">
        <f t="shared" ca="1" si="30"/>
        <v>0</v>
      </c>
      <c r="I63" s="87">
        <f t="shared" ca="1" si="30"/>
        <v>0</v>
      </c>
      <c r="J63" s="87">
        <f t="shared" ca="1" si="30"/>
        <v>0</v>
      </c>
      <c r="K63" s="87">
        <f t="shared" ca="1" si="31"/>
        <v>0</v>
      </c>
      <c r="L63" s="87">
        <f t="shared" ca="1" si="31"/>
        <v>0</v>
      </c>
      <c r="M63" s="87">
        <f t="shared" ca="1" si="31"/>
        <v>0</v>
      </c>
      <c r="N63" s="87">
        <f t="shared" ca="1" si="31"/>
        <v>0</v>
      </c>
      <c r="O63" s="87">
        <f t="shared" ca="1" si="31"/>
        <v>0</v>
      </c>
      <c r="P63" s="87">
        <f t="shared" ca="1" si="31"/>
        <v>0</v>
      </c>
      <c r="Q63" s="87">
        <f t="shared" ca="1" si="31"/>
        <v>0</v>
      </c>
      <c r="R63" s="87">
        <f t="shared" ca="1" si="31"/>
        <v>0</v>
      </c>
      <c r="S63" s="87">
        <f t="shared" ca="1" si="31"/>
        <v>0</v>
      </c>
      <c r="T63" s="87">
        <f t="shared" ca="1" si="31"/>
        <v>0</v>
      </c>
      <c r="U63" s="87">
        <f t="shared" ca="1" si="32"/>
        <v>0</v>
      </c>
      <c r="V63" s="87">
        <f t="shared" ca="1" si="32"/>
        <v>0</v>
      </c>
      <c r="W63" s="87">
        <f t="shared" ca="1" si="32"/>
        <v>0</v>
      </c>
      <c r="X63" s="87">
        <f t="shared" ca="1" si="32"/>
        <v>0</v>
      </c>
      <c r="Y63" s="87">
        <f t="shared" ca="1" si="32"/>
        <v>0</v>
      </c>
      <c r="Z63" s="87">
        <f t="shared" ca="1" si="32"/>
        <v>0</v>
      </c>
      <c r="AA63" s="87">
        <f t="shared" ca="1" si="32"/>
        <v>0</v>
      </c>
      <c r="AB63" s="87">
        <f t="shared" ca="1" si="32"/>
        <v>0</v>
      </c>
      <c r="AC63" s="87">
        <f t="shared" ca="1" si="32"/>
        <v>0</v>
      </c>
      <c r="AD63" s="87">
        <f t="shared" ca="1" si="32"/>
        <v>0</v>
      </c>
      <c r="AE63" s="87">
        <f t="shared" ca="1" si="33"/>
        <v>0</v>
      </c>
      <c r="AF63" s="87">
        <f t="shared" ca="1" si="33"/>
        <v>0</v>
      </c>
      <c r="AG63" s="87">
        <f t="shared" ca="1" si="33"/>
        <v>0</v>
      </c>
      <c r="AH63" s="87">
        <f t="shared" ca="1" si="33"/>
        <v>0</v>
      </c>
      <c r="AI63" s="87">
        <f t="shared" ca="1" si="33"/>
        <v>0</v>
      </c>
      <c r="AJ63" s="87">
        <f t="shared" ca="1" si="33"/>
        <v>0</v>
      </c>
      <c r="AK63" s="87">
        <f t="shared" ca="1" si="33"/>
        <v>0</v>
      </c>
      <c r="AL63" s="87">
        <f t="shared" ca="1" si="33"/>
        <v>0</v>
      </c>
      <c r="AM63" s="87">
        <f t="shared" ca="1" si="33"/>
        <v>0</v>
      </c>
      <c r="AN63" s="87">
        <f t="shared" ca="1" si="33"/>
        <v>0</v>
      </c>
      <c r="AO63" s="87">
        <f t="shared" ca="1" si="34"/>
        <v>0</v>
      </c>
      <c r="AP63" s="87">
        <f t="shared" ca="1" si="34"/>
        <v>0</v>
      </c>
      <c r="AQ63" s="87">
        <f t="shared" ca="1" si="34"/>
        <v>0</v>
      </c>
      <c r="AR63" s="87">
        <f t="shared" ca="1" si="34"/>
        <v>0</v>
      </c>
      <c r="AS63" s="87">
        <f t="shared" ca="1" si="34"/>
        <v>0</v>
      </c>
      <c r="AT63" s="87">
        <f t="shared" ca="1" si="34"/>
        <v>0</v>
      </c>
      <c r="AU63" s="87">
        <f t="shared" ca="1" si="34"/>
        <v>0</v>
      </c>
      <c r="AV63" s="87">
        <f t="shared" ca="1" si="34"/>
        <v>0</v>
      </c>
      <c r="AW63" s="87">
        <f t="shared" ca="1" si="34"/>
        <v>0</v>
      </c>
      <c r="AX63" s="87">
        <f t="shared" ca="1" si="34"/>
        <v>0</v>
      </c>
      <c r="AY63" s="87">
        <f t="shared" ca="1" si="35"/>
        <v>0</v>
      </c>
      <c r="AZ63" s="87">
        <f t="shared" ca="1" si="35"/>
        <v>0</v>
      </c>
      <c r="BA63" s="87">
        <f t="shared" ca="1" si="35"/>
        <v>0</v>
      </c>
      <c r="BB63" s="87">
        <f t="shared" ca="1" si="35"/>
        <v>0</v>
      </c>
      <c r="BC63" s="87">
        <f t="shared" ca="1" si="35"/>
        <v>0</v>
      </c>
      <c r="BD63" s="87">
        <f t="shared" ca="1" si="35"/>
        <v>0</v>
      </c>
      <c r="BE63" s="87">
        <f t="shared" ca="1" si="35"/>
        <v>0</v>
      </c>
      <c r="BF63" s="87">
        <f t="shared" ca="1" si="35"/>
        <v>0</v>
      </c>
      <c r="BG63" s="87">
        <f t="shared" ca="1" si="35"/>
        <v>0</v>
      </c>
      <c r="BH63" s="87">
        <f t="shared" ca="1" si="35"/>
        <v>0</v>
      </c>
      <c r="BI63" s="87">
        <f t="shared" ca="1" si="35"/>
        <v>0</v>
      </c>
      <c r="BJ63" s="87">
        <f t="shared" ca="1" si="35"/>
        <v>0</v>
      </c>
      <c r="BK63" s="87">
        <f t="shared" ca="1" si="35"/>
        <v>0</v>
      </c>
      <c r="BL63" s="87">
        <f t="shared" ca="1" si="35"/>
        <v>0</v>
      </c>
    </row>
    <row r="64" spans="1:64" x14ac:dyDescent="0.25">
      <c r="A64" s="87">
        <f t="shared" ca="1" si="30"/>
        <v>0</v>
      </c>
      <c r="B64" s="87">
        <f t="shared" ca="1" si="30"/>
        <v>0</v>
      </c>
      <c r="C64" s="87">
        <f t="shared" ca="1" si="30"/>
        <v>0</v>
      </c>
      <c r="D64" s="87">
        <f t="shared" ca="1" si="30"/>
        <v>0</v>
      </c>
      <c r="E64" s="87">
        <f t="shared" ca="1" si="30"/>
        <v>0</v>
      </c>
      <c r="F64" s="87">
        <f t="shared" ca="1" si="30"/>
        <v>0</v>
      </c>
      <c r="G64" s="87">
        <f t="shared" ca="1" si="30"/>
        <v>0</v>
      </c>
      <c r="H64" s="87">
        <f t="shared" ca="1" si="30"/>
        <v>0</v>
      </c>
      <c r="I64" s="87">
        <f t="shared" ca="1" si="30"/>
        <v>0</v>
      </c>
      <c r="J64" s="87">
        <f t="shared" ca="1" si="30"/>
        <v>0</v>
      </c>
      <c r="K64" s="87">
        <f t="shared" ca="1" si="31"/>
        <v>0</v>
      </c>
      <c r="L64" s="87">
        <f t="shared" ca="1" si="31"/>
        <v>0</v>
      </c>
      <c r="M64" s="87">
        <f t="shared" ca="1" si="31"/>
        <v>0</v>
      </c>
      <c r="N64" s="87">
        <f t="shared" ca="1" si="31"/>
        <v>0</v>
      </c>
      <c r="O64" s="87">
        <f t="shared" ca="1" si="31"/>
        <v>0</v>
      </c>
      <c r="P64" s="87">
        <f t="shared" ca="1" si="31"/>
        <v>0</v>
      </c>
      <c r="Q64" s="87">
        <f t="shared" ca="1" si="31"/>
        <v>0</v>
      </c>
      <c r="R64" s="87">
        <f t="shared" ca="1" si="31"/>
        <v>0</v>
      </c>
      <c r="S64" s="87">
        <f t="shared" ca="1" si="31"/>
        <v>0</v>
      </c>
      <c r="T64" s="87">
        <f t="shared" ca="1" si="31"/>
        <v>0</v>
      </c>
      <c r="U64" s="87">
        <f t="shared" ca="1" si="32"/>
        <v>0</v>
      </c>
      <c r="V64" s="87">
        <f t="shared" ca="1" si="32"/>
        <v>0</v>
      </c>
      <c r="W64" s="87">
        <f t="shared" ca="1" si="32"/>
        <v>0</v>
      </c>
      <c r="X64" s="87">
        <f t="shared" ca="1" si="32"/>
        <v>0</v>
      </c>
      <c r="Y64" s="87">
        <f t="shared" ca="1" si="32"/>
        <v>0</v>
      </c>
      <c r="Z64" s="87">
        <f t="shared" ca="1" si="32"/>
        <v>0</v>
      </c>
      <c r="AA64" s="87">
        <f t="shared" ca="1" si="32"/>
        <v>0</v>
      </c>
      <c r="AB64" s="87">
        <f t="shared" ca="1" si="32"/>
        <v>0</v>
      </c>
      <c r="AC64" s="87">
        <f t="shared" ca="1" si="32"/>
        <v>0</v>
      </c>
      <c r="AD64" s="87">
        <f t="shared" ca="1" si="32"/>
        <v>0</v>
      </c>
      <c r="AE64" s="87">
        <f t="shared" ca="1" si="33"/>
        <v>0</v>
      </c>
      <c r="AF64" s="87">
        <f t="shared" ca="1" si="33"/>
        <v>0</v>
      </c>
      <c r="AG64" s="87">
        <f t="shared" ca="1" si="33"/>
        <v>0</v>
      </c>
      <c r="AH64" s="87">
        <f t="shared" ca="1" si="33"/>
        <v>0</v>
      </c>
      <c r="AI64" s="87">
        <f t="shared" ca="1" si="33"/>
        <v>0</v>
      </c>
      <c r="AJ64" s="87">
        <f t="shared" ca="1" si="33"/>
        <v>0</v>
      </c>
      <c r="AK64" s="87">
        <f t="shared" ca="1" si="33"/>
        <v>0</v>
      </c>
      <c r="AL64" s="87">
        <f t="shared" ca="1" si="33"/>
        <v>0</v>
      </c>
      <c r="AM64" s="87">
        <f t="shared" ca="1" si="33"/>
        <v>0</v>
      </c>
      <c r="AN64" s="87">
        <f t="shared" ca="1" si="33"/>
        <v>0</v>
      </c>
      <c r="AO64" s="87">
        <f t="shared" ca="1" si="34"/>
        <v>0</v>
      </c>
      <c r="AP64" s="87">
        <f t="shared" ca="1" si="34"/>
        <v>0</v>
      </c>
      <c r="AQ64" s="87">
        <f t="shared" ca="1" si="34"/>
        <v>0</v>
      </c>
      <c r="AR64" s="87">
        <f t="shared" ca="1" si="34"/>
        <v>0</v>
      </c>
      <c r="AS64" s="87">
        <f t="shared" ca="1" si="34"/>
        <v>0</v>
      </c>
      <c r="AT64" s="87">
        <f t="shared" ca="1" si="34"/>
        <v>0</v>
      </c>
      <c r="AU64" s="87">
        <f t="shared" ca="1" si="34"/>
        <v>0</v>
      </c>
      <c r="AV64" s="87">
        <f t="shared" ca="1" si="34"/>
        <v>0</v>
      </c>
      <c r="AW64" s="87">
        <f t="shared" ca="1" si="34"/>
        <v>0</v>
      </c>
      <c r="AX64" s="87">
        <f t="shared" ca="1" si="34"/>
        <v>0</v>
      </c>
      <c r="AY64" s="87">
        <f t="shared" ca="1" si="35"/>
        <v>0</v>
      </c>
      <c r="AZ64" s="87">
        <f t="shared" ca="1" si="35"/>
        <v>0</v>
      </c>
      <c r="BA64" s="87">
        <f t="shared" ca="1" si="35"/>
        <v>0</v>
      </c>
      <c r="BB64" s="87">
        <f t="shared" ca="1" si="35"/>
        <v>0</v>
      </c>
      <c r="BC64" s="87">
        <f t="shared" ca="1" si="35"/>
        <v>0</v>
      </c>
      <c r="BD64" s="87">
        <f t="shared" ca="1" si="35"/>
        <v>0</v>
      </c>
      <c r="BE64" s="87">
        <f t="shared" ca="1" si="35"/>
        <v>0</v>
      </c>
      <c r="BF64" s="87">
        <f t="shared" ca="1" si="35"/>
        <v>0</v>
      </c>
      <c r="BG64" s="87">
        <f t="shared" ca="1" si="35"/>
        <v>0</v>
      </c>
      <c r="BH64" s="87">
        <f t="shared" ca="1" si="35"/>
        <v>0</v>
      </c>
      <c r="BI64" s="87">
        <f t="shared" ca="1" si="35"/>
        <v>0</v>
      </c>
      <c r="BJ64" s="87">
        <f t="shared" ca="1" si="35"/>
        <v>0</v>
      </c>
      <c r="BK64" s="87">
        <f t="shared" ca="1" si="35"/>
        <v>0</v>
      </c>
      <c r="BL64" s="87">
        <f t="shared" ca="1" si="35"/>
        <v>0</v>
      </c>
    </row>
    <row r="66" spans="1:2" x14ac:dyDescent="0.25">
      <c r="A66" t="str">
        <f ca="1">_xlfn.CONCAT('Logic Gate Sheet'!AO82:BD82)</f>
        <v>0000000000000001</v>
      </c>
      <c r="B66" t="s">
        <v>92</v>
      </c>
    </row>
    <row r="67" spans="1:2" x14ac:dyDescent="0.25">
      <c r="A67" t="str">
        <f>'Logic Gate Sheet'!AY90</f>
        <v>10</v>
      </c>
      <c r="B67" t="s">
        <v>94</v>
      </c>
    </row>
    <row r="68" spans="1:2" x14ac:dyDescent="0.25">
      <c r="A68" t="str">
        <f ca="1">'Logic Gate Sheet'!AU88</f>
        <v>00000000</v>
      </c>
      <c r="B68" s="101" t="s">
        <v>96</v>
      </c>
    </row>
    <row r="69" spans="1:2" x14ac:dyDescent="0.25">
      <c r="A69" t="str">
        <f ca="1">'Logic Gate Sheet'!AW88</f>
        <v>00000000</v>
      </c>
      <c r="B69" s="101" t="s">
        <v>95</v>
      </c>
    </row>
  </sheetData>
  <conditionalFormatting sqref="A1:BL64">
    <cfRule type="containsText" dxfId="1" priority="1" operator="containsText" text="0000">
      <formula>NOT(ISERROR(SEARCH("0000",A1)))</formula>
    </cfRule>
    <cfRule type="cellIs" dxfId="0" priority="2" operator="greaterThan">
      <formula>0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O1000"/>
  <sheetViews>
    <sheetView workbookViewId="0"/>
  </sheetViews>
  <sheetFormatPr defaultColWidth="14.42578125" defaultRowHeight="15" customHeight="1" x14ac:dyDescent="0.25"/>
  <cols>
    <col min="1" max="26" width="8.7109375" customWidth="1"/>
  </cols>
  <sheetData>
    <row r="1" spans="1:15" x14ac:dyDescent="0.25">
      <c r="A1" s="22"/>
      <c r="B1" s="22"/>
      <c r="C1" s="22"/>
      <c r="D1" s="22"/>
      <c r="E1" s="22"/>
      <c r="F1" s="22"/>
      <c r="G1" s="22"/>
      <c r="H1" s="22"/>
      <c r="I1" s="22"/>
      <c r="J1" s="22"/>
      <c r="K1" s="22"/>
      <c r="L1" s="22"/>
      <c r="M1" s="22"/>
      <c r="N1" s="22"/>
      <c r="O1" s="22"/>
    </row>
    <row r="2" spans="1:15" x14ac:dyDescent="0.25">
      <c r="A2" s="22"/>
      <c r="B2" s="22"/>
      <c r="C2" s="22"/>
      <c r="D2" s="22"/>
      <c r="E2" s="22"/>
      <c r="F2" s="22"/>
      <c r="G2" s="22"/>
      <c r="H2" s="22"/>
      <c r="I2" s="22"/>
      <c r="J2" s="22"/>
      <c r="K2" s="22"/>
      <c r="L2" s="22"/>
      <c r="M2" s="22"/>
      <c r="N2" s="22"/>
      <c r="O2" s="22"/>
    </row>
    <row r="3" spans="1:15" x14ac:dyDescent="0.25">
      <c r="A3" s="22"/>
      <c r="B3" s="22"/>
      <c r="C3" s="22"/>
      <c r="D3" s="22"/>
      <c r="E3" s="22"/>
      <c r="F3" s="22"/>
      <c r="G3" s="22"/>
      <c r="H3" s="22"/>
      <c r="I3" s="22"/>
      <c r="J3" s="22"/>
      <c r="K3" s="22"/>
      <c r="L3" s="22"/>
      <c r="M3" s="22"/>
      <c r="N3" s="22"/>
      <c r="O3" s="22"/>
    </row>
    <row r="4" spans="1:15" x14ac:dyDescent="0.25">
      <c r="A4" s="22"/>
      <c r="B4" s="22"/>
      <c r="C4" s="22"/>
      <c r="D4" s="22"/>
      <c r="E4" s="22"/>
      <c r="F4" s="22"/>
      <c r="G4" s="22"/>
      <c r="H4" s="22"/>
      <c r="I4" s="22"/>
      <c r="J4" s="22"/>
      <c r="K4" s="22"/>
      <c r="L4" s="22"/>
      <c r="M4" s="22"/>
      <c r="N4" s="22"/>
      <c r="O4" s="22"/>
    </row>
    <row r="5" spans="1:15" x14ac:dyDescent="0.25">
      <c r="A5" s="22"/>
      <c r="B5" s="22"/>
      <c r="C5" s="22"/>
      <c r="D5" s="22"/>
      <c r="E5" s="22"/>
      <c r="F5" s="22"/>
      <c r="G5" s="22"/>
      <c r="H5" s="22"/>
      <c r="I5" s="22"/>
      <c r="J5" s="22"/>
      <c r="K5" s="22"/>
      <c r="L5" s="22"/>
      <c r="M5" s="22"/>
      <c r="N5" s="22"/>
      <c r="O5" s="22"/>
    </row>
    <row r="6" spans="1:15" x14ac:dyDescent="0.25">
      <c r="A6" s="22"/>
      <c r="B6" s="22"/>
      <c r="C6" s="22"/>
      <c r="D6" s="22"/>
      <c r="E6" s="22"/>
      <c r="F6" s="22"/>
      <c r="G6" s="22"/>
      <c r="H6" s="22"/>
      <c r="I6" s="22"/>
      <c r="J6" s="22"/>
      <c r="K6" s="22"/>
      <c r="L6" s="22"/>
      <c r="M6" s="22"/>
      <c r="N6" s="22"/>
      <c r="O6" s="22"/>
    </row>
    <row r="7" spans="1:15" x14ac:dyDescent="0.25">
      <c r="A7" s="22"/>
      <c r="B7" s="22"/>
      <c r="C7" s="22"/>
      <c r="D7" s="22"/>
      <c r="E7" s="22"/>
      <c r="F7" s="22"/>
      <c r="G7" s="22"/>
      <c r="H7" s="22"/>
      <c r="I7" s="22"/>
      <c r="J7" s="22"/>
      <c r="K7" s="22"/>
      <c r="L7" s="22"/>
      <c r="M7" s="22"/>
      <c r="N7" s="22"/>
      <c r="O7" s="22"/>
    </row>
    <row r="8" spans="1:15" x14ac:dyDescent="0.25">
      <c r="A8" s="22"/>
      <c r="B8" s="22"/>
      <c r="C8" s="22"/>
      <c r="D8" s="22"/>
      <c r="E8" s="22"/>
      <c r="F8" s="22"/>
      <c r="G8" s="22"/>
      <c r="H8" s="22"/>
      <c r="I8" s="22"/>
      <c r="J8" s="22"/>
      <c r="K8" s="22"/>
      <c r="L8" s="22"/>
      <c r="M8" s="22"/>
      <c r="N8" s="22"/>
      <c r="O8" s="22"/>
    </row>
    <row r="9" spans="1:15" x14ac:dyDescent="0.25">
      <c r="A9" s="22"/>
      <c r="B9" s="22"/>
      <c r="C9" s="22"/>
      <c r="D9" s="22"/>
      <c r="E9" s="22"/>
      <c r="F9" s="22"/>
      <c r="G9" s="22"/>
      <c r="H9" s="22"/>
      <c r="I9" s="22"/>
      <c r="J9" s="22"/>
      <c r="K9" s="22"/>
      <c r="L9" s="22"/>
      <c r="M9" s="22"/>
      <c r="N9" s="22"/>
      <c r="O9" s="22"/>
    </row>
    <row r="10" spans="1:15" x14ac:dyDescent="0.25">
      <c r="A10" s="22"/>
      <c r="B10" s="22"/>
      <c r="C10" s="22"/>
      <c r="D10" s="22"/>
      <c r="E10" s="22"/>
      <c r="F10" s="22"/>
      <c r="G10" s="22"/>
      <c r="H10" s="22"/>
      <c r="I10" s="22"/>
      <c r="J10" s="22"/>
      <c r="K10" s="22"/>
      <c r="L10" s="22"/>
      <c r="M10" s="22"/>
      <c r="N10" s="22"/>
      <c r="O10" s="22"/>
    </row>
    <row r="11" spans="1:15" x14ac:dyDescent="0.25">
      <c r="A11" s="22"/>
      <c r="B11" s="22"/>
      <c r="C11" s="22"/>
      <c r="D11" s="22"/>
      <c r="E11" s="22"/>
      <c r="F11" s="22"/>
      <c r="G11" s="22"/>
      <c r="H11" s="22"/>
      <c r="I11" s="22"/>
      <c r="J11" s="22"/>
      <c r="K11" s="22"/>
      <c r="L11" s="22"/>
      <c r="M11" s="22"/>
      <c r="N11" s="22"/>
      <c r="O11" s="22"/>
    </row>
    <row r="12" spans="1:15" x14ac:dyDescent="0.25">
      <c r="A12" s="22"/>
      <c r="B12" s="22"/>
      <c r="C12" s="22"/>
      <c r="D12" s="22"/>
      <c r="E12" s="22"/>
      <c r="F12" s="22"/>
      <c r="G12" s="22"/>
      <c r="H12" s="22"/>
      <c r="I12" s="22"/>
      <c r="J12" s="22"/>
      <c r="K12" s="22"/>
      <c r="L12" s="22"/>
      <c r="M12" s="22"/>
      <c r="N12" s="22"/>
      <c r="O12" s="22"/>
    </row>
    <row r="13" spans="1:15" x14ac:dyDescent="0.25">
      <c r="A13" s="22"/>
      <c r="B13" s="22"/>
      <c r="C13" s="22"/>
      <c r="D13" s="22"/>
      <c r="E13" s="22"/>
      <c r="F13" s="22"/>
      <c r="G13" s="22"/>
      <c r="H13" s="22"/>
      <c r="I13" s="22"/>
      <c r="J13" s="22"/>
      <c r="K13" s="22"/>
      <c r="L13" s="22"/>
      <c r="M13" s="22"/>
      <c r="N13" s="22"/>
      <c r="O13" s="22"/>
    </row>
    <row r="14" spans="1:15" x14ac:dyDescent="0.25">
      <c r="A14" s="22"/>
      <c r="B14" s="22"/>
      <c r="C14" s="22"/>
      <c r="D14" s="22"/>
      <c r="E14" s="22"/>
      <c r="F14" s="22"/>
      <c r="G14" s="22"/>
      <c r="H14" s="22"/>
      <c r="I14" s="22"/>
      <c r="J14" s="22"/>
      <c r="K14" s="22"/>
      <c r="L14" s="22"/>
      <c r="M14" s="22"/>
      <c r="N14" s="22"/>
      <c r="O14" s="22"/>
    </row>
    <row r="15" spans="1:15" x14ac:dyDescent="0.25">
      <c r="A15" s="22"/>
      <c r="B15" s="22"/>
      <c r="C15" s="22"/>
      <c r="D15" s="22"/>
      <c r="E15" s="22"/>
      <c r="F15" s="22"/>
      <c r="G15" s="22"/>
      <c r="H15" s="22"/>
      <c r="I15" s="22"/>
      <c r="J15" s="22"/>
      <c r="K15" s="22"/>
      <c r="L15" s="22"/>
      <c r="M15" s="22"/>
      <c r="N15" s="22"/>
      <c r="O15" s="22"/>
    </row>
    <row r="16" spans="1:15" x14ac:dyDescent="0.25">
      <c r="A16" s="22"/>
      <c r="B16" s="22"/>
      <c r="C16" s="22"/>
      <c r="D16" s="22"/>
      <c r="E16" s="22"/>
      <c r="F16" s="22"/>
      <c r="G16" s="22"/>
      <c r="H16" s="22"/>
      <c r="I16" s="22"/>
      <c r="J16" s="22"/>
      <c r="K16" s="22"/>
      <c r="L16" s="22"/>
      <c r="M16" s="22"/>
      <c r="N16" s="22"/>
      <c r="O16" s="22"/>
    </row>
    <row r="17" spans="1:15" x14ac:dyDescent="0.25">
      <c r="A17" s="22"/>
      <c r="B17" s="22"/>
      <c r="C17" s="22"/>
      <c r="D17" s="22"/>
      <c r="E17" s="22"/>
      <c r="F17" s="22"/>
      <c r="G17" s="22"/>
      <c r="H17" s="22"/>
      <c r="I17" s="22"/>
      <c r="J17" s="22"/>
      <c r="K17" s="22"/>
      <c r="L17" s="22"/>
      <c r="M17" s="22"/>
      <c r="N17" s="22"/>
      <c r="O17" s="22"/>
    </row>
    <row r="18" spans="1:15" x14ac:dyDescent="0.25">
      <c r="A18" s="22"/>
      <c r="B18" s="22"/>
      <c r="C18" s="22"/>
      <c r="D18" s="22"/>
      <c r="E18" s="22"/>
      <c r="F18" s="22"/>
      <c r="G18" s="22"/>
      <c r="H18" s="22"/>
      <c r="I18" s="22"/>
      <c r="J18" s="22"/>
      <c r="K18" s="22"/>
      <c r="L18" s="22"/>
      <c r="M18" s="22"/>
      <c r="N18" s="22"/>
      <c r="O18" s="22"/>
    </row>
    <row r="19" spans="1:15" x14ac:dyDescent="0.25">
      <c r="A19" s="22"/>
      <c r="B19" s="22"/>
      <c r="C19" s="22"/>
      <c r="D19" s="22"/>
      <c r="E19" s="22"/>
      <c r="F19" s="22"/>
      <c r="G19" s="22"/>
      <c r="H19" s="22"/>
      <c r="I19" s="22"/>
      <c r="J19" s="22"/>
      <c r="K19" s="22"/>
      <c r="L19" s="22"/>
      <c r="M19" s="22"/>
      <c r="N19" s="22"/>
      <c r="O19" s="22"/>
    </row>
    <row r="20" spans="1:15" x14ac:dyDescent="0.25">
      <c r="A20" s="22"/>
      <c r="B20" s="22"/>
      <c r="C20" s="22"/>
      <c r="D20" s="22"/>
      <c r="E20" s="22"/>
      <c r="F20" s="22"/>
      <c r="G20" s="22"/>
      <c r="H20" s="22"/>
      <c r="I20" s="22"/>
      <c r="J20" s="22"/>
      <c r="K20" s="22"/>
      <c r="L20" s="22"/>
      <c r="M20" s="22"/>
      <c r="N20" s="22"/>
      <c r="O20" s="22"/>
    </row>
    <row r="21" spans="1:15" ht="15.75" customHeight="1" x14ac:dyDescent="0.25">
      <c r="A21" s="22"/>
      <c r="B21" s="22"/>
      <c r="C21" s="22"/>
      <c r="D21" s="22"/>
      <c r="E21" s="22"/>
      <c r="F21" s="22"/>
      <c r="G21" s="22"/>
      <c r="H21" s="22"/>
      <c r="I21" s="22"/>
      <c r="J21" s="22"/>
      <c r="K21" s="22"/>
      <c r="L21" s="22"/>
      <c r="M21" s="22"/>
      <c r="N21" s="22"/>
      <c r="O21" s="22"/>
    </row>
    <row r="22" spans="1:15" ht="15.75" customHeight="1" x14ac:dyDescent="0.25">
      <c r="A22" s="22"/>
      <c r="B22" s="22"/>
      <c r="C22" s="22"/>
      <c r="D22" s="22"/>
      <c r="E22" s="22"/>
      <c r="F22" s="22"/>
      <c r="G22" s="22"/>
      <c r="H22" s="22"/>
      <c r="I22" s="22"/>
      <c r="J22" s="22"/>
      <c r="K22" s="22"/>
      <c r="L22" s="22"/>
      <c r="M22" s="22"/>
      <c r="N22" s="22"/>
      <c r="O22" s="22"/>
    </row>
    <row r="23" spans="1:15" ht="15.75" customHeight="1" x14ac:dyDescent="0.25">
      <c r="A23" s="22"/>
      <c r="B23" s="22"/>
      <c r="C23" s="22"/>
      <c r="D23" s="22"/>
      <c r="E23" s="22"/>
      <c r="F23" s="22"/>
      <c r="G23" s="22"/>
      <c r="H23" s="22"/>
      <c r="I23" s="22"/>
      <c r="J23" s="22"/>
      <c r="K23" s="22"/>
      <c r="L23" s="22"/>
      <c r="M23" s="22"/>
      <c r="N23" s="22"/>
      <c r="O23" s="22"/>
    </row>
    <row r="24" spans="1:15" ht="15.75" customHeight="1" x14ac:dyDescent="0.25">
      <c r="A24" s="22"/>
      <c r="B24" s="22"/>
      <c r="C24" s="22"/>
      <c r="D24" s="22"/>
      <c r="E24" s="22"/>
      <c r="F24" s="22"/>
      <c r="G24" s="22"/>
      <c r="H24" s="22"/>
      <c r="I24" s="22"/>
      <c r="J24" s="22"/>
      <c r="K24" s="22"/>
      <c r="L24" s="22"/>
      <c r="M24" s="22"/>
      <c r="N24" s="22"/>
      <c r="O24" s="22"/>
    </row>
    <row r="25" spans="1:15" ht="15.75" customHeight="1" x14ac:dyDescent="0.25">
      <c r="A25" s="22"/>
      <c r="B25" s="22"/>
      <c r="C25" s="22"/>
      <c r="D25" s="22"/>
      <c r="E25" s="22"/>
      <c r="F25" s="22"/>
      <c r="G25" s="22"/>
      <c r="H25" s="22"/>
      <c r="I25" s="22"/>
      <c r="J25" s="22"/>
      <c r="K25" s="22"/>
      <c r="L25" s="22"/>
      <c r="M25" s="22"/>
      <c r="N25" s="22"/>
      <c r="O25" s="22"/>
    </row>
    <row r="26" spans="1:15" ht="15.75" customHeight="1" x14ac:dyDescent="0.25">
      <c r="A26" s="22"/>
      <c r="B26" s="22"/>
      <c r="C26" s="22"/>
      <c r="D26" s="22"/>
      <c r="E26" s="22"/>
      <c r="F26" s="22"/>
      <c r="G26" s="22"/>
      <c r="H26" s="22"/>
      <c r="I26" s="22"/>
      <c r="J26" s="22"/>
      <c r="K26" s="22"/>
      <c r="L26" s="22"/>
      <c r="M26" s="22"/>
      <c r="N26" s="22"/>
      <c r="O26" s="22"/>
    </row>
    <row r="27" spans="1:15" ht="15.75" customHeight="1" x14ac:dyDescent="0.25">
      <c r="A27" s="22"/>
      <c r="B27" s="22"/>
      <c r="C27" s="22"/>
      <c r="D27" s="22"/>
      <c r="E27" s="22"/>
      <c r="F27" s="22"/>
      <c r="G27" s="22"/>
      <c r="H27" s="22"/>
      <c r="I27" s="22"/>
      <c r="J27" s="22"/>
      <c r="K27" s="22"/>
      <c r="L27" s="22"/>
      <c r="M27" s="22"/>
      <c r="N27" s="22"/>
      <c r="O27" s="22"/>
    </row>
    <row r="28" spans="1:15" ht="15.75" customHeight="1" x14ac:dyDescent="0.25">
      <c r="A28" s="22"/>
      <c r="B28" s="22"/>
      <c r="C28" s="22"/>
      <c r="D28" s="22"/>
      <c r="E28" s="22"/>
      <c r="F28" s="22"/>
      <c r="G28" s="22"/>
      <c r="H28" s="22"/>
      <c r="I28" s="22"/>
      <c r="J28" s="22"/>
      <c r="K28" s="22"/>
      <c r="L28" s="22"/>
      <c r="M28" s="22"/>
      <c r="N28" s="22"/>
      <c r="O28" s="22"/>
    </row>
    <row r="29" spans="1:15" ht="15.75" customHeight="1" x14ac:dyDescent="0.25">
      <c r="A29" s="22"/>
      <c r="B29" s="22"/>
      <c r="C29" s="22"/>
      <c r="D29" s="22"/>
      <c r="E29" s="22"/>
      <c r="F29" s="22"/>
      <c r="G29" s="22"/>
      <c r="H29" s="22"/>
      <c r="I29" s="22"/>
      <c r="J29" s="22"/>
      <c r="K29" s="22"/>
      <c r="L29" s="22"/>
      <c r="M29" s="22"/>
      <c r="N29" s="22"/>
      <c r="O29" s="22"/>
    </row>
    <row r="30" spans="1:15" ht="15.75" customHeight="1" x14ac:dyDescent="0.25">
      <c r="A30" s="22"/>
      <c r="B30" s="22"/>
      <c r="C30" s="22"/>
      <c r="D30" s="22"/>
      <c r="E30" s="22"/>
      <c r="F30" s="22"/>
      <c r="G30" s="22"/>
      <c r="H30" s="22"/>
      <c r="I30" s="22"/>
      <c r="J30" s="22"/>
      <c r="K30" s="22"/>
      <c r="L30" s="22"/>
      <c r="M30" s="22"/>
      <c r="N30" s="22"/>
      <c r="O30" s="22"/>
    </row>
    <row r="31" spans="1:15" ht="15.75" customHeight="1" x14ac:dyDescent="0.25">
      <c r="A31" s="22"/>
      <c r="B31" s="22"/>
      <c r="C31" s="22"/>
      <c r="D31" s="22"/>
      <c r="E31" s="22"/>
      <c r="F31" s="22"/>
      <c r="G31" s="22"/>
      <c r="H31" s="22"/>
      <c r="I31" s="22"/>
      <c r="J31" s="22"/>
      <c r="K31" s="22"/>
      <c r="L31" s="22"/>
      <c r="M31" s="22"/>
      <c r="N31" s="22"/>
      <c r="O31" s="22"/>
    </row>
    <row r="32" spans="1:15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  <row r="996" ht="15.75" customHeight="1" x14ac:dyDescent="0.25"/>
    <row r="997" ht="15.75" customHeight="1" x14ac:dyDescent="0.25"/>
    <row r="998" ht="15.75" customHeight="1" x14ac:dyDescent="0.25"/>
    <row r="999" ht="15.75" customHeight="1" x14ac:dyDescent="0.25"/>
    <row r="1000" ht="15.75" customHeight="1" x14ac:dyDescent="0.25"/>
  </sheetData>
  <pageMargins left="0.7" right="0.7" top="0.75" bottom="0.75" header="0" footer="0"/>
  <pageSetup orientation="landscape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27</vt:i4>
      </vt:variant>
    </vt:vector>
  </HeadingPairs>
  <TitlesOfParts>
    <vt:vector size="31" baseType="lpstr">
      <vt:lpstr>Logic Gate Sheet</vt:lpstr>
      <vt:lpstr>ROM</vt:lpstr>
      <vt:lpstr>RAM</vt:lpstr>
      <vt:lpstr>Board</vt:lpstr>
      <vt:lpstr>AND.1</vt:lpstr>
      <vt:lpstr>AND.2</vt:lpstr>
      <vt:lpstr>CLOCK</vt:lpstr>
      <vt:lpstr>DATA</vt:lpstr>
      <vt:lpstr>DATABIT1</vt:lpstr>
      <vt:lpstr>DATABIT2</vt:lpstr>
      <vt:lpstr>DATABIT3</vt:lpstr>
      <vt:lpstr>DATABIT4</vt:lpstr>
      <vt:lpstr>HIDDENX</vt:lpstr>
      <vt:lpstr>HIDDENY</vt:lpstr>
      <vt:lpstr>INPUT</vt:lpstr>
      <vt:lpstr>JK.1</vt:lpstr>
      <vt:lpstr>JK.2</vt:lpstr>
      <vt:lpstr>JK.3</vt:lpstr>
      <vt:lpstr>JK.4</vt:lpstr>
      <vt:lpstr>NOT.1</vt:lpstr>
      <vt:lpstr>NOT.2</vt:lpstr>
      <vt:lpstr>NOT.3</vt:lpstr>
      <vt:lpstr>NOT.4</vt:lpstr>
      <vt:lpstr>OP</vt:lpstr>
      <vt:lpstr>OPBIT</vt:lpstr>
      <vt:lpstr>OPBITS</vt:lpstr>
      <vt:lpstr>RAMX</vt:lpstr>
      <vt:lpstr>RAMY</vt:lpstr>
      <vt:lpstr>RESET</vt:lpstr>
      <vt:lpstr>XDEC</vt:lpstr>
      <vt:lpstr>YDEC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Sebastian Nevarez</dc:creator>
  <cp:lastModifiedBy>Sebastian Nevarez</cp:lastModifiedBy>
  <dcterms:created xsi:type="dcterms:W3CDTF">2024-01-30T18:04:00Z</dcterms:created>
  <dcterms:modified xsi:type="dcterms:W3CDTF">2024-09-23T00:57:06Z</dcterms:modified>
</cp:coreProperties>
</file>