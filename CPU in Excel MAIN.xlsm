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Ga\ePU\"/>
    </mc:Choice>
  </mc:AlternateContent>
  <xr:revisionPtr revIDLastSave="0" documentId="13_ncr:1_{5D06548D-246D-4CAE-835B-F62226C7A9AC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Logic Gate Sheet" sheetId="1" r:id="rId1"/>
    <sheet name="MEMORY" sheetId="3" r:id="rId2"/>
    <sheet name="Board" sheetId="2" r:id="rId3"/>
  </sheets>
  <definedNames>
    <definedName name="ADDRESSX">'Logic Gate Sheet'!$AE$86</definedName>
    <definedName name="ADDRESSY">'Logic Gate Sheet'!$AF$86</definedName>
    <definedName name="AND.1">'Logic Gate Sheet'!$K$6</definedName>
    <definedName name="AND.2">'Logic Gate Sheet'!$K$8</definedName>
    <definedName name="CLOCK">'Logic Gate Sheet'!$A$1</definedName>
    <definedName name="DATABIT1">'Logic Gate Sheet'!$AG$82</definedName>
    <definedName name="DATABIT2">'Logic Gate Sheet'!$AF$82</definedName>
    <definedName name="DATABIT3">'Logic Gate Sheet'!$AE$82</definedName>
    <definedName name="DATABIT4">'Logic Gate Sheet'!$AD$82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OPBIT">'Logic Gate Sheet'!$AB$81</definedName>
    <definedName name="RESET">'Logic Gate Sheet'!$E$1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AB81" i="1" l="1"/>
  <c r="J86" i="1"/>
  <c r="M86" i="1" s="1"/>
  <c r="I86" i="1"/>
  <c r="L86" i="1" s="1"/>
  <c r="J102" i="1"/>
  <c r="U87" i="1"/>
  <c r="U88" i="1" s="1"/>
  <c r="H83" i="1"/>
  <c r="H84" i="1"/>
  <c r="H79" i="1" a="1"/>
  <c r="H79" i="1" l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C59" i="1"/>
  <c r="AD59" i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I37" i="1" l="1"/>
  <c r="S116" i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 l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AF80" i="1"/>
  <c r="AG80" i="1"/>
  <c r="AI80" i="1"/>
  <c r="AJ80" i="1"/>
  <c r="V81" i="1" a="1"/>
  <c r="V81" i="1"/>
  <c r="AD82" i="1"/>
  <c r="AE82" i="1"/>
  <c r="AF82" i="1"/>
  <c r="AG82" i="1"/>
  <c r="AD83" i="1" a="1"/>
  <c r="AD83" i="1"/>
  <c r="AE83" i="1" a="1"/>
  <c r="AE83" i="1"/>
  <c r="AF83" i="1" a="1"/>
  <c r="AF83" i="1"/>
  <c r="AG83" i="1" a="1"/>
  <c r="AG83" i="1"/>
  <c r="P85" i="1"/>
  <c r="R85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H89" i="1" a="1"/>
  <c r="H89" i="1"/>
  <c r="I89" i="1" a="1"/>
  <c r="I89" i="1"/>
  <c r="J89" i="1" a="1"/>
  <c r="J89" i="1"/>
  <c r="K89" i="1" a="1"/>
  <c r="K89" i="1"/>
  <c r="P89" i="1"/>
  <c r="R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F91" i="1"/>
  <c r="G91" i="1"/>
  <c r="H91" i="1"/>
  <c r="I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F92" i="1"/>
  <c r="G92" i="1"/>
  <c r="H92" i="1"/>
  <c r="I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F93" i="1"/>
  <c r="G93" i="1"/>
  <c r="H93" i="1"/>
  <c r="I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F94" i="1"/>
  <c r="G94" i="1"/>
  <c r="H94" i="1"/>
  <c r="I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<sst xmlns="http://schemas.openxmlformats.org/spreadsheetml/2006/main" count="278" uniqueCount="108">
  <si>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</si>
  <si>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</si>
  <si>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</si>
  <si>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</si>
  <si>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</si>
  <si>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</si>
  <si>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</si>
  <si>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</si>
  <si>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</si>
  <si>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</si>
  <si>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</si>
  <si>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</si>
  <si>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</si>
  <si>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</si>
  <si>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</si>
  <si>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</si>
  <si>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</si>
  <si>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</si>
  <si>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</si>
  <si>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</si>
  <si>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</si>
  <si>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</si>
  <si>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</si>
  <si>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</si>
  <si>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</si>
  <si>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</si>
  <si>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</si>
  <si>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</si>
  <si>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</si>
  <si>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</si>
  <si>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</si>
  <si>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</si>
  <si>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</si>
  <si>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</si>
  <si>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</si>
  <si>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</si>
  <si>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</si>
  <si>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</si>
  <si>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</si>
  <si>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</si>
  <si>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</si>
  <si>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</si>
  <si>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</si>
  <si>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</si>
  <si>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</si>
  <si>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</si>
  <si>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</si>
  <si>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</si>
  <si>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</si>
  <si>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</si>
  <si>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</si>
  <si>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</si>
  <si>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</si>
  <si>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</si>
  <si>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</si>
  <si>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</si>
  <si>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</si>
  <si>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</si>
  <si>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</si>
  <si>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</si>
  <si>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</si>
  <si>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</si>
  <si>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</si>
  <si>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</si>
  <si>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</si>
  <si>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</si>
  <si>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</si>
  <si>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</si>
  <si>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</si>
  <si>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</si>
  <si>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</si>
  <si>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</si>
  <si>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</si>
  <si>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</si>
  <si>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</si>
  <si>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</si>
  <si>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</si>
  <si>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INDATA</t>
  </si>
  <si>
    <t>OUTDATA</t>
  </si>
  <si>
    <t>TO DECIMAL</t>
  </si>
  <si>
    <t>SUBADDRESS</t>
  </si>
  <si>
    <t>TODEC</t>
  </si>
  <si>
    <t>X ADDRESS</t>
  </si>
  <si>
    <t>Y ADDRESS</t>
  </si>
  <si>
    <t>READ</t>
  </si>
  <si>
    <t>WRITE</t>
  </si>
  <si>
    <t>00</t>
  </si>
  <si>
    <t>01</t>
  </si>
  <si>
    <t>10</t>
  </si>
  <si>
    <t>11</t>
  </si>
  <si>
    <t>CONCAT</t>
  </si>
  <si>
    <t>HIDDEN IN</t>
  </si>
  <si>
    <t>DATA</t>
  </si>
  <si>
    <t>HIDDEN OUT</t>
  </si>
  <si>
    <t>0000</t>
  </si>
  <si>
    <t>0100</t>
  </si>
  <si>
    <t>0101</t>
  </si>
  <si>
    <t>1000</t>
  </si>
  <si>
    <t>1010</t>
  </si>
  <si>
    <t>1011</t>
  </si>
  <si>
    <t>1101</t>
  </si>
  <si>
    <t>1110</t>
  </si>
  <si>
    <t>1111</t>
  </si>
  <si>
    <t>OP</t>
  </si>
  <si>
    <t>Y</t>
  </si>
  <si>
    <t>X</t>
  </si>
  <si>
    <t>DONE</t>
  </si>
  <si>
    <t>DEPRECIATED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</si>
</sst>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  <font>
      <sz val="10.9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6" fillId="0" borderId="0" xfId="0" applyFont="1" applyAlignment="1">
      <alignment horizontal="center"/>
    </xf>
    <xf numFmtId="0" fontId="7" fillId="0" borderId="0" xfId="0" applyFont="1"/>
    <xf numFmtId="0" fontId="6" fillId="2" borderId="1" xfId="0" applyFont="1" applyFill="1" applyBorder="1"/>
    <xf numFmtId="0" fontId="6" fillId="2" borderId="2" xfId="0" applyFont="1" applyFill="1" applyBorder="1"/>
    <xf numFmtId="0" fontId="6" fillId="3" borderId="2" xfId="0" applyFont="1" applyFill="1" applyBorder="1"/>
    <xf numFmtId="0" fontId="6" fillId="0" borderId="3" xfId="0" applyFont="1" applyBorder="1" applyAlignment="1">
      <alignment horizontal="center"/>
    </xf>
    <xf numFmtId="0" fontId="6" fillId="2" borderId="4" xfId="0" applyFont="1" applyFill="1" applyBorder="1"/>
    <xf numFmtId="0" fontId="6" fillId="2" borderId="5" xfId="0" applyFont="1" applyFill="1" applyBorder="1"/>
    <xf numFmtId="0" fontId="6" fillId="0" borderId="6" xfId="0" applyFont="1" applyBorder="1" applyAlignment="1">
      <alignment horizontal="center"/>
    </xf>
    <xf numFmtId="0" fontId="6" fillId="2" borderId="7" xfId="0" applyFont="1" applyFill="1" applyBorder="1"/>
    <xf numFmtId="0" fontId="6" fillId="2" borderId="8" xfId="0" applyFont="1" applyFill="1" applyBorder="1"/>
    <xf numFmtId="0" fontId="6" fillId="3" borderId="9" xfId="0" applyFont="1" applyFill="1" applyBorder="1"/>
    <xf numFmtId="0" fontId="6" fillId="2" borderId="10" xfId="0" applyFont="1" applyFill="1" applyBorder="1"/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6" fillId="2" borderId="15" xfId="0" applyFont="1" applyFill="1" applyBorder="1"/>
    <xf numFmtId="0" fontId="6" fillId="2" borderId="18" xfId="0" applyFont="1" applyFill="1" applyBorder="1"/>
    <xf numFmtId="0" fontId="6" fillId="2" borderId="19" xfId="0" applyFont="1" applyFill="1" applyBorder="1"/>
    <xf numFmtId="0" fontId="6" fillId="2" borderId="22" xfId="0" applyFont="1" applyFill="1" applyBorder="1"/>
    <xf numFmtId="0" fontId="6" fillId="2" borderId="27" xfId="0" applyFont="1" applyFill="1" applyBorder="1"/>
    <xf numFmtId="0" fontId="6" fillId="2" borderId="9" xfId="0" applyFont="1" applyFill="1" applyBorder="1"/>
    <xf numFmtId="0" fontId="6" fillId="2" borderId="28" xfId="0" applyFont="1" applyFill="1" applyBorder="1"/>
    <xf numFmtId="0" fontId="6" fillId="2" borderId="29" xfId="0" applyFont="1" applyFill="1" applyBorder="1"/>
    <xf numFmtId="0" fontId="6" fillId="0" borderId="30" xfId="0" applyFont="1" applyBorder="1" applyAlignment="1">
      <alignment horizontal="center"/>
    </xf>
    <xf numFmtId="0" fontId="6" fillId="2" borderId="34" xfId="0" applyFont="1" applyFill="1" applyBorder="1"/>
    <xf numFmtId="0" fontId="6" fillId="3" borderId="35" xfId="0" applyFont="1" applyFill="1" applyBorder="1"/>
    <xf numFmtId="0" fontId="6" fillId="0" borderId="36" xfId="0" applyFont="1" applyBorder="1" applyAlignment="1">
      <alignment horizontal="center"/>
    </xf>
    <xf numFmtId="0" fontId="6" fillId="2" borderId="37" xfId="0" applyFont="1" applyFill="1" applyBorder="1"/>
    <xf numFmtId="0" fontId="6" fillId="0" borderId="40" xfId="0" applyFont="1" applyBorder="1" applyAlignment="1">
      <alignment horizontal="center"/>
    </xf>
    <xf numFmtId="0" fontId="6" fillId="2" borderId="43" xfId="0" applyFont="1" applyFill="1" applyBorder="1"/>
    <xf numFmtId="0" fontId="6" fillId="2" borderId="44" xfId="0" applyFont="1" applyFill="1" applyBorder="1"/>
    <xf numFmtId="0" fontId="6" fillId="2" borderId="45" xfId="0" applyFont="1" applyFill="1" applyBorder="1"/>
    <xf numFmtId="0" fontId="6" fillId="2" borderId="46" xfId="0" applyFont="1" applyFill="1" applyBorder="1"/>
    <xf numFmtId="0" fontId="6" fillId="2" borderId="48" xfId="0" applyFont="1" applyFill="1" applyBorder="1"/>
    <xf numFmtId="0" fontId="6" fillId="2" borderId="49" xfId="0" applyFont="1" applyFill="1" applyBorder="1"/>
    <xf numFmtId="0" fontId="6" fillId="2" borderId="51" xfId="0" applyFont="1" applyFill="1" applyBorder="1"/>
    <xf numFmtId="0" fontId="6" fillId="2" borderId="54" xfId="0" applyFont="1" applyFill="1" applyBorder="1"/>
    <xf numFmtId="0" fontId="6" fillId="2" borderId="35" xfId="0" applyFont="1" applyFill="1" applyBorder="1"/>
    <xf numFmtId="0" fontId="6" fillId="2" borderId="56" xfId="0" applyFont="1" applyFill="1" applyBorder="1"/>
    <xf numFmtId="0" fontId="6" fillId="2" borderId="57" xfId="0" applyFont="1" applyFill="1" applyBorder="1"/>
    <xf numFmtId="0" fontId="6" fillId="2" borderId="58" xfId="0" applyFont="1" applyFill="1" applyBorder="1"/>
    <xf numFmtId="0" fontId="6" fillId="2" borderId="59" xfId="0" applyFont="1" applyFill="1" applyBorder="1"/>
    <xf numFmtId="0" fontId="6" fillId="2" borderId="60" xfId="0" applyFont="1" applyFill="1" applyBorder="1"/>
    <xf numFmtId="0" fontId="8" fillId="3" borderId="57" xfId="0" applyFont="1" applyFill="1" applyBorder="1"/>
    <xf numFmtId="0" fontId="6" fillId="0" borderId="64" xfId="0" applyFont="1" applyBorder="1" applyAlignment="1">
      <alignment horizontal="center"/>
    </xf>
    <xf numFmtId="0" fontId="6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6" fillId="0" borderId="65" xfId="0" applyFont="1" applyBorder="1" applyAlignment="1">
      <alignment horizontal="center"/>
    </xf>
    <xf numFmtId="0" fontId="6" fillId="0" borderId="61" xfId="0" applyFont="1" applyBorder="1" applyAlignment="1">
      <alignment horizontal="center"/>
    </xf>
    <xf numFmtId="0" fontId="6" fillId="2" borderId="72" xfId="0" applyFont="1" applyFill="1" applyBorder="1"/>
    <xf numFmtId="0" fontId="6" fillId="2" borderId="73" xfId="0" applyFont="1" applyFill="1" applyBorder="1"/>
    <xf numFmtId="0" fontId="6" fillId="3" borderId="74" xfId="0" applyFont="1" applyFill="1" applyBorder="1"/>
    <xf numFmtId="0" fontId="6" fillId="3" borderId="47" xfId="0" applyFont="1" applyFill="1" applyBorder="1"/>
    <xf numFmtId="0" fontId="6" fillId="0" borderId="58" xfId="0" applyFont="1" applyBorder="1" applyAlignment="1">
      <alignment horizontal="center"/>
    </xf>
    <xf numFmtId="0" fontId="6" fillId="2" borderId="76" xfId="0" applyFont="1" applyFill="1" applyBorder="1"/>
    <xf numFmtId="0" fontId="6" fillId="2" borderId="65" xfId="0" applyFont="1" applyFill="1" applyBorder="1"/>
    <xf numFmtId="0" fontId="6" fillId="2" borderId="30" xfId="0" applyFont="1" applyFill="1" applyBorder="1"/>
    <xf numFmtId="0" fontId="6" fillId="2" borderId="61" xfId="0" applyFont="1" applyFill="1" applyBorder="1"/>
    <xf numFmtId="0" fontId="6" fillId="2" borderId="75" xfId="0" applyFont="1" applyFill="1" applyBorder="1"/>
    <xf numFmtId="0" fontId="6" fillId="2" borderId="77" xfId="0" applyFont="1" applyFill="1" applyBorder="1"/>
    <xf numFmtId="0" fontId="5" fillId="0" borderId="0" xfId="0" applyFont="1"/>
    <xf numFmtId="0" fontId="10" fillId="0" borderId="65" xfId="0" applyFont="1" applyBorder="1" applyAlignment="1">
      <alignment horizontal="center"/>
    </xf>
    <xf numFmtId="0" fontId="4" fillId="0" borderId="61" xfId="0" applyFont="1" applyBorder="1"/>
    <xf numFmtId="0" fontId="3" fillId="0" borderId="61" xfId="0" applyFont="1" applyBorder="1"/>
    <xf numFmtId="0" fontId="3" fillId="0" borderId="0" xfId="0" applyFont="1"/>
    <xf numFmtId="0" fontId="3" fillId="0" borderId="69" xfId="0" applyFont="1" applyBorder="1"/>
    <xf numFmtId="0" fontId="3" fillId="0" borderId="67" xfId="0" applyFont="1" applyBorder="1"/>
    <xf numFmtId="0" fontId="4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3" fillId="0" borderId="70" xfId="0" applyNumberFormat="1" applyFont="1" applyBorder="1"/>
    <xf numFmtId="49" fontId="3" fillId="0" borderId="64" xfId="0" applyNumberFormat="1" applyFont="1" applyBorder="1"/>
    <xf numFmtId="49" fontId="0" fillId="0" borderId="68" xfId="0" applyNumberFormat="1" applyBorder="1"/>
    <xf numFmtId="0" fontId="6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2" fillId="0" borderId="61" xfId="0" applyFont="1" applyBorder="1"/>
    <xf numFmtId="0" fontId="13" fillId="3" borderId="61" xfId="0" applyFont="1" applyFill="1" applyBorder="1"/>
    <xf numFmtId="0" fontId="0" fillId="0" borderId="64" xfId="0" applyBorder="1" applyAlignment="1">
      <alignment horizontal="center" vertical="center"/>
    </xf>
    <xf numFmtId="49" fontId="0" fillId="0" borderId="0" xfId="0" applyNumberFormat="1"/>
    <xf numFmtId="49" fontId="1" fillId="0" borderId="0" xfId="0" quotePrefix="1" applyNumberFormat="1" applyFont="1"/>
    <xf numFmtId="0" fontId="3" fillId="0" borderId="65" xfId="0" applyFont="1" applyBorder="1"/>
    <xf numFmtId="49" fontId="0" fillId="0" borderId="65" xfId="0" applyNumberFormat="1" applyBorder="1"/>
    <xf numFmtId="0" fontId="1" fillId="0" borderId="61" xfId="0" applyFont="1" applyBorder="1"/>
    <xf numFmtId="0" fontId="1" fillId="0" borderId="66" xfId="0" applyFont="1" applyBorder="1"/>
    <xf numFmtId="0" fontId="6" fillId="3" borderId="69" xfId="0" applyFont="1" applyFill="1" applyBorder="1"/>
    <xf numFmtId="0" fontId="2" fillId="0" borderId="69" xfId="0" applyFont="1" applyBorder="1"/>
    <xf numFmtId="0" fontId="0" fillId="0" borderId="0" xfId="0" quotePrefix="1"/>
    <xf numFmtId="0" fontId="0" fillId="0" borderId="61" xfId="0" quotePrefix="1" applyBorder="1"/>
    <xf numFmtId="0" fontId="6" fillId="4" borderId="61" xfId="0" applyFont="1" applyFill="1" applyBorder="1" applyAlignment="1">
      <alignment horizontal="center"/>
    </xf>
    <xf numFmtId="16" fontId="6" fillId="3" borderId="53" xfId="0" applyNumberFormat="1" applyFont="1" applyFill="1" applyBorder="1" applyAlignment="1">
      <alignment horizontal="center" vertical="center" wrapText="1"/>
    </xf>
    <xf numFmtId="0" fontId="9" fillId="0" borderId="25" xfId="0" applyFont="1" applyBorder="1"/>
    <xf numFmtId="0" fontId="9" fillId="0" borderId="55" xfId="0" applyFont="1" applyBorder="1"/>
    <xf numFmtId="0" fontId="8" fillId="3" borderId="75" xfId="0" applyFont="1" applyFill="1" applyBorder="1" applyAlignment="1">
      <alignment horizontal="center" vertical="center" wrapText="1"/>
    </xf>
    <xf numFmtId="0" fontId="9" fillId="0" borderId="26" xfId="0" applyFont="1" applyBorder="1"/>
    <xf numFmtId="0" fontId="6" fillId="3" borderId="17" xfId="0" applyFont="1" applyFill="1" applyBorder="1" applyAlignment="1">
      <alignment horizontal="center" vertical="center" wrapText="1"/>
    </xf>
    <xf numFmtId="0" fontId="9" fillId="0" borderId="21" xfId="0" applyFont="1" applyBorder="1"/>
    <xf numFmtId="0" fontId="9" fillId="0" borderId="23" xfId="0" applyFont="1" applyBorder="1"/>
    <xf numFmtId="0" fontId="11" fillId="3" borderId="68" xfId="0" applyFont="1" applyFill="1" applyBorder="1" applyAlignment="1">
      <alignment horizontal="center" vertical="center" wrapText="1"/>
    </xf>
    <xf numFmtId="0" fontId="11" fillId="3" borderId="66" xfId="0" applyFont="1" applyFill="1" applyBorder="1" applyAlignment="1">
      <alignment horizontal="center" vertical="center" wrapText="1"/>
    </xf>
    <xf numFmtId="0" fontId="10" fillId="3" borderId="68" xfId="0" applyFont="1" applyFill="1" applyBorder="1" applyAlignment="1">
      <alignment horizontal="center" vertical="center" wrapText="1"/>
    </xf>
    <xf numFmtId="0" fontId="10" fillId="3" borderId="66" xfId="0" applyFont="1" applyFill="1" applyBorder="1" applyAlignment="1">
      <alignment horizontal="center" vertical="center" wrapText="1"/>
    </xf>
    <xf numFmtId="0" fontId="6" fillId="3" borderId="31" xfId="0" applyFont="1" applyFill="1" applyBorder="1" applyAlignment="1">
      <alignment horizontal="center" vertical="center"/>
    </xf>
    <xf numFmtId="0" fontId="9" fillId="0" borderId="61" xfId="0" applyFont="1" applyBorder="1"/>
    <xf numFmtId="0" fontId="6" fillId="3" borderId="62" xfId="0" applyFont="1" applyFill="1" applyBorder="1" applyAlignment="1">
      <alignment horizontal="center" vertical="center" wrapText="1"/>
    </xf>
    <xf numFmtId="0" fontId="9" fillId="0" borderId="63" xfId="0" applyFont="1" applyBorder="1"/>
    <xf numFmtId="0" fontId="6" fillId="3" borderId="24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9" fillId="0" borderId="16" xfId="0" applyFont="1" applyBorder="1"/>
    <xf numFmtId="0" fontId="9" fillId="0" borderId="20" xfId="0" applyFont="1" applyBorder="1"/>
    <xf numFmtId="0" fontId="6" fillId="3" borderId="31" xfId="0" applyFont="1" applyFill="1" applyBorder="1" applyAlignment="1">
      <alignment horizontal="center" vertical="center" wrapText="1"/>
    </xf>
    <xf numFmtId="0" fontId="9" fillId="0" borderId="32" xfId="0" applyFont="1" applyBorder="1"/>
    <xf numFmtId="0" fontId="9" fillId="0" borderId="33" xfId="0" applyFont="1" applyBorder="1"/>
    <xf numFmtId="0" fontId="9" fillId="0" borderId="38" xfId="0" applyFont="1" applyBorder="1"/>
    <xf numFmtId="0" fontId="0" fillId="0" borderId="0" xfId="0"/>
    <xf numFmtId="0" fontId="9" fillId="0" borderId="39" xfId="0" applyFont="1" applyBorder="1"/>
    <xf numFmtId="0" fontId="9" fillId="0" borderId="41" xfId="0" applyFont="1" applyBorder="1"/>
    <xf numFmtId="0" fontId="9" fillId="0" borderId="36" xfId="0" applyFont="1" applyBorder="1"/>
    <xf numFmtId="0" fontId="9" fillId="0" borderId="42" xfId="0" applyFont="1" applyBorder="1"/>
    <xf numFmtId="0" fontId="6" fillId="3" borderId="47" xfId="0" applyFont="1" applyFill="1" applyBorder="1" applyAlignment="1">
      <alignment horizontal="center" vertical="center" wrapText="1"/>
    </xf>
    <xf numFmtId="0" fontId="9" fillId="0" borderId="50" xfId="0" applyFont="1" applyBorder="1"/>
    <xf numFmtId="0" fontId="9" fillId="0" borderId="52" xfId="0" applyFont="1" applyBorder="1"/>
    <xf numFmtId="0" fontId="6" fillId="3" borderId="53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1" fillId="3" borderId="66" xfId="0" applyFont="1" applyFill="1" applyBorder="1" applyAlignment="1">
      <alignment vertical="center" wrapText="1"/>
    </xf>
    <xf numFmtId="0" fontId="3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6" fillId="3" borderId="64" xfId="0" applyFont="1" applyFill="1" applyBorder="1" applyAlignment="1">
      <alignment horizontal="center"/>
    </xf>
    <xf numFmtId="0" fontId="6" fillId="3" borderId="61" xfId="0" applyFont="1" applyFill="1" applyBorder="1" applyAlignment="1">
      <alignment horizontal="center"/>
    </xf>
    <xf numFmtId="0" fontId="6" fillId="3" borderId="27" xfId="0" applyFont="1" applyFill="1" applyBorder="1" applyAlignment="1">
      <alignment horizontal="center"/>
    </xf>
    <xf numFmtId="0" fontId="12" fillId="3" borderId="65" xfId="0" applyFont="1" applyFill="1" applyBorder="1" applyAlignment="1">
      <alignment horizontal="center" vertical="center" wrapText="1"/>
    </xf>
    <xf numFmtId="0" fontId="12" fillId="3" borderId="61" xfId="0" applyFont="1" applyFill="1" applyBorder="1" applyAlignment="1">
      <alignment horizontal="center" vertical="center" wrapText="1"/>
    </xf>
  </cellXfs>
  <cellStyles count="1">
    <cellStyle name="Normal" xfId="0" builtinId="0"/>
  </cellStyles>
  <dxfs count="488"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53"/>
  <sheetViews>
    <sheetView tabSelected="1" topLeftCell="Q76" zoomScale="90" zoomScaleNormal="90" workbookViewId="0">
      <selection activeCell="D19" sqref="D19"/>
    </sheetView>
  </sheetViews>
  <sheetFormatPr defaultColWidth="8.6640625" defaultRowHeight="15" customHeight="1" x14ac:dyDescent="0.3"/>
  <cols>
    <col min="10" max="11" width="8.6640625" customWidth="1"/>
  </cols>
  <sheetData>
    <row r="1" spans="1:32" ht="15" customHeight="1" x14ac:dyDescent="0.3">
      <c r="A1" s="1">
        <f ca="1">IF(A1 = 1, 0, IF(A1 = 0, 1))</f>
        <v>1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3">
      <c r="A2" s="1"/>
      <c r="C2" s="1"/>
    </row>
    <row r="3" spans="1:32" ht="15" customHeight="1" x14ac:dyDescent="0.3">
      <c r="A3" s="1">
        <f ca="1">IF(A1=1, 1, 0)</f>
        <v>1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3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0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3">
      <c r="A5" s="1">
        <f ca="1">IF(A3 = 1, 0, 1)</f>
        <v>0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1</v>
      </c>
      <c r="K5" s="12"/>
      <c r="L5" s="13"/>
      <c r="M5" s="120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3">
      <c r="A6" s="1"/>
      <c r="G6" s="15"/>
      <c r="H6" s="11"/>
      <c r="I6" s="12"/>
      <c r="J6" s="12"/>
      <c r="K6" s="1">
        <f ca="1">IF(AND(JK.1 = 1, JK.2 = 1), 1, 0)</f>
        <v>0</v>
      </c>
      <c r="L6" s="13"/>
      <c r="M6" s="121"/>
      <c r="N6" s="13"/>
      <c r="O6" s="13"/>
      <c r="P6" s="13"/>
      <c r="Q6" s="14"/>
      <c r="S6" s="15"/>
      <c r="T6" s="13"/>
      <c r="U6" s="13"/>
      <c r="V6" s="13"/>
      <c r="W6" s="13"/>
      <c r="X6" s="107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3">
      <c r="A7" s="1">
        <f ca="1">IF(AND(A3 = 1, C3 = 1), 1, 0)</f>
        <v>1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0</v>
      </c>
      <c r="K7" s="12"/>
      <c r="L7" s="13"/>
      <c r="M7" s="122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08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3">
      <c r="A8" s="1"/>
      <c r="G8" s="20"/>
      <c r="H8" s="19"/>
      <c r="I8" s="12"/>
      <c r="J8" s="12"/>
      <c r="K8" s="1">
        <f t="array" aca="1" ref="K8" ca="1">IF(AND(AND.1 = 1, JK.3 = 1), 1, 0)</f>
        <v>0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09"/>
      <c r="Z8" s="18"/>
      <c r="AA8" s="12"/>
      <c r="AB8" s="12"/>
      <c r="AC8" s="1">
        <f>IF(AC6 = 1, 0, 1)</f>
        <v>1</v>
      </c>
      <c r="AD8" s="12"/>
      <c r="AE8" s="17"/>
      <c r="AF8" s="118" t="s">
        <v>12</v>
      </c>
    </row>
    <row r="9" spans="1:32" ht="15" customHeight="1" x14ac:dyDescent="0.3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0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03"/>
    </row>
    <row r="10" spans="1:32" ht="15" customHeight="1" x14ac:dyDescent="0.3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06"/>
    </row>
    <row r="11" spans="1:32" ht="15" customHeight="1" x14ac:dyDescent="0.3">
      <c r="A11" s="1">
        <f ca="1">IF(_xlfn.XOR(A3 = 1, C3 = 1), 1, 0)</f>
        <v>0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3">
      <c r="A12" s="1"/>
      <c r="G12" s="25">
        <f ca="1">IF(JK.4 = 1, 0, 1)</f>
        <v>1</v>
      </c>
      <c r="H12" s="12" t="s">
        <v>8</v>
      </c>
      <c r="I12" s="1">
        <f ca="1">IF(JK.3 = 1, 0, 1)</f>
        <v>1</v>
      </c>
      <c r="J12" s="12" t="s">
        <v>8</v>
      </c>
      <c r="K12" s="1">
        <f ca="1">IF(JK.2 = 1, 0, 1)</f>
        <v>0</v>
      </c>
      <c r="L12" s="12" t="s">
        <v>8</v>
      </c>
      <c r="M12" s="1">
        <f ca="1">IF(JK.1 = 1, 0, 1)</f>
        <v>1</v>
      </c>
      <c r="N12" s="12" t="s">
        <v>8</v>
      </c>
      <c r="O12" s="123" t="s">
        <v>15</v>
      </c>
      <c r="P12" s="124"/>
      <c r="Q12" s="125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3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26"/>
      <c r="P13" s="127"/>
      <c r="Q13" s="128"/>
      <c r="Z13" s="16"/>
      <c r="AA13" s="17"/>
      <c r="AB13" s="17"/>
      <c r="AC13" s="17"/>
      <c r="AD13" s="17"/>
      <c r="AE13" s="17"/>
      <c r="AF13" s="14"/>
    </row>
    <row r="14" spans="1:32" ht="15" customHeight="1" x14ac:dyDescent="0.3">
      <c r="A14" s="1"/>
      <c r="G14" s="30">
        <f ca="1">NOT.4</f>
        <v>1</v>
      </c>
      <c r="H14" s="27" t="s">
        <v>18</v>
      </c>
      <c r="I14" s="28">
        <f ca="1">NOT.3</f>
        <v>1</v>
      </c>
      <c r="J14" s="27" t="s">
        <v>19</v>
      </c>
      <c r="K14" s="28">
        <f ca="1">NOT.2</f>
        <v>0</v>
      </c>
      <c r="L14" s="27" t="s">
        <v>20</v>
      </c>
      <c r="M14" s="28">
        <f ca="1">NOT.1</f>
        <v>1</v>
      </c>
      <c r="N14" s="27" t="s">
        <v>21</v>
      </c>
      <c r="O14" s="129"/>
      <c r="P14" s="130"/>
      <c r="Q14" s="131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3">
      <c r="A15" s="1">
        <f ca="1">IF(AND(A3 = 1, C3 = 1), 0, 1)</f>
        <v>0</v>
      </c>
      <c r="B15" s="2" t="s">
        <v>22</v>
      </c>
    </row>
    <row r="16" spans="1:32" ht="15" customHeight="1" x14ac:dyDescent="0.3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32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3">
      <c r="A17" s="1">
        <f ca="1">IF(OR(AND(A3 = 1, C3 = 1), AND(A3 = 0, C3 = 0)), 1, 0)</f>
        <v>1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33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3">
      <c r="G18" s="16"/>
      <c r="H18" s="17"/>
      <c r="I18" s="17"/>
      <c r="J18" s="17"/>
      <c r="K18" s="17"/>
      <c r="L18" s="17"/>
      <c r="M18" s="17"/>
      <c r="N18" s="134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07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35" t="s">
        <v>26</v>
      </c>
    </row>
    <row r="19" spans="1:34" ht="15" customHeight="1" x14ac:dyDescent="0.3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08"/>
      <c r="Y19" s="18"/>
      <c r="Z19" s="1">
        <f>IF(Z16 = 1, 0, 1)</f>
        <v>1</v>
      </c>
      <c r="AA19" s="12"/>
      <c r="AB19" s="12"/>
      <c r="AC19" s="12"/>
      <c r="AD19" s="22"/>
      <c r="AE19" s="103"/>
    </row>
    <row r="20" spans="1:34" ht="15" customHeight="1" x14ac:dyDescent="0.3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09"/>
      <c r="Y20" s="18"/>
      <c r="Z20" s="12"/>
      <c r="AA20" s="12"/>
      <c r="AB20" s="12"/>
      <c r="AC20" s="12"/>
      <c r="AD20" s="22"/>
      <c r="AE20" s="104"/>
    </row>
    <row r="21" spans="1:34" ht="15" customHeight="1" x14ac:dyDescent="0.3">
      <c r="A21" s="1">
        <f ca="1">IF(A1 = 0, A21, IF(AND(A1 = 1, C1 = 1, E1 = 0), 1, IF(AND(A1 = 1, C1 = 0, E1 = 1), 0, IF(AND(A1 = 1, C1 = 0, E1 = 0), A21, IF(AND(A1 = 1, C1 = 1, E1 = 1), IF(A21 = 1, 0, 1))))))</f>
        <v>1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3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3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3">
      <c r="G24" s="16"/>
      <c r="H24" s="18"/>
      <c r="I24" s="12"/>
      <c r="J24" s="12"/>
      <c r="K24" s="1">
        <f>IF(K22 = 1, 0, 1)</f>
        <v>1</v>
      </c>
      <c r="L24" s="12"/>
      <c r="M24" s="17"/>
      <c r="N24" s="118" t="s">
        <v>12</v>
      </c>
      <c r="O24" s="14"/>
    </row>
    <row r="25" spans="1:34" ht="15" customHeight="1" x14ac:dyDescent="0.3">
      <c r="G25" s="16"/>
      <c r="H25" s="18"/>
      <c r="I25" s="1">
        <f>IF(AND(J20 = 1, I23 = 1), 1, 0)</f>
        <v>0</v>
      </c>
      <c r="J25" s="12"/>
      <c r="K25" s="12"/>
      <c r="L25" s="12"/>
      <c r="M25" s="17"/>
      <c r="N25" s="103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3">
      <c r="G26" s="16"/>
      <c r="H26" s="18"/>
      <c r="I26" s="12"/>
      <c r="J26" s="1">
        <f>IF(AND(H20 = 1, K24 = 1), 1, 0)</f>
        <v>0</v>
      </c>
      <c r="K26" s="12"/>
      <c r="L26" s="12"/>
      <c r="M26" s="17"/>
      <c r="N26" s="106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3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02" t="s">
        <v>51</v>
      </c>
    </row>
    <row r="28" spans="1:34" ht="15" customHeight="1" x14ac:dyDescent="0.3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19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03"/>
    </row>
    <row r="29" spans="1:34" ht="15" customHeight="1" x14ac:dyDescent="0.3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03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04"/>
    </row>
    <row r="30" spans="1:34" ht="15" customHeight="1" x14ac:dyDescent="0.3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06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3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07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3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08"/>
      <c r="X32" s="17"/>
      <c r="Y32" s="14"/>
    </row>
    <row r="33" spans="7:35" ht="15" customHeight="1" x14ac:dyDescent="0.3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09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3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3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13" t="s">
        <v>35</v>
      </c>
    </row>
    <row r="36" spans="7:35" ht="15" customHeight="1" x14ac:dyDescent="0.3">
      <c r="G36" s="16"/>
      <c r="H36" s="18"/>
      <c r="I36" s="12"/>
      <c r="J36" s="12"/>
      <c r="K36" s="1">
        <f>IF(K34 = 1, 0, 1)</f>
        <v>1</v>
      </c>
      <c r="L36" s="12"/>
      <c r="M36" s="17"/>
      <c r="N36" s="118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13"/>
    </row>
    <row r="37" spans="7:35" ht="15" customHeight="1" x14ac:dyDescent="0.3">
      <c r="G37" s="16"/>
      <c r="H37" s="18"/>
      <c r="I37" s="1">
        <f>IF(AND(J32 = 1, I35 = 1), 1, 0)</f>
        <v>0</v>
      </c>
      <c r="J37" s="12"/>
      <c r="K37" s="12"/>
      <c r="L37" s="12"/>
      <c r="M37" s="17"/>
      <c r="N37" s="103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13"/>
    </row>
    <row r="38" spans="7:35" ht="15" customHeight="1" x14ac:dyDescent="0.3">
      <c r="G38" s="16"/>
      <c r="H38" s="18"/>
      <c r="I38" s="12"/>
      <c r="J38" s="1">
        <f>IF(AND(H32 = 1, K36 = 1), 1, 0)</f>
        <v>0</v>
      </c>
      <c r="K38" s="12"/>
      <c r="L38" s="12"/>
      <c r="M38" s="17"/>
      <c r="N38" s="106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3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3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3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07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3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08"/>
      <c r="X42" s="17"/>
      <c r="Y42" s="14"/>
      <c r="AA42" s="18"/>
      <c r="AB42" s="22"/>
      <c r="AC42" s="22"/>
      <c r="AD42" s="22"/>
      <c r="AE42" s="22"/>
      <c r="AF42" s="22"/>
      <c r="AG42" s="139" t="s">
        <v>36</v>
      </c>
    </row>
    <row r="43" spans="7:35" ht="15" customHeight="1" x14ac:dyDescent="0.3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09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39"/>
    </row>
    <row r="44" spans="7:35" ht="15" customHeight="1" x14ac:dyDescent="0.3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39"/>
    </row>
    <row r="45" spans="7:35" ht="15" customHeight="1" x14ac:dyDescent="0.3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3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3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3">
      <c r="G48" s="16"/>
      <c r="H48" s="18"/>
      <c r="I48" s="12"/>
      <c r="J48" s="12"/>
      <c r="K48" s="1">
        <f>IF(K46 = 1, 0, 1)</f>
        <v>1</v>
      </c>
      <c r="L48" s="12"/>
      <c r="M48" s="17"/>
      <c r="N48" s="118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3">
      <c r="G49" s="16"/>
      <c r="H49" s="18"/>
      <c r="I49" s="1">
        <f>IF(AND(J44 = 1, I47 = 1), 1, 0)</f>
        <v>0</v>
      </c>
      <c r="J49" s="12"/>
      <c r="K49" s="12"/>
      <c r="L49" s="12"/>
      <c r="M49" s="17"/>
      <c r="N49" s="103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3">
      <c r="G50" s="16"/>
      <c r="H50" s="18"/>
      <c r="I50" s="12"/>
      <c r="J50" s="1">
        <f>IF(AND(H44 = 1, K48 = 1), 1, 0)</f>
        <v>0</v>
      </c>
      <c r="K50" s="12"/>
      <c r="L50" s="12"/>
      <c r="M50" s="17"/>
      <c r="N50" s="106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3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07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3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08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3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09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3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3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3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02" t="s">
        <v>50</v>
      </c>
    </row>
    <row r="57" spans="7:35" ht="15" customHeight="1" x14ac:dyDescent="0.3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03"/>
    </row>
    <row r="58" spans="7:35" ht="15" customHeight="1" x14ac:dyDescent="0.3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04"/>
    </row>
    <row r="59" spans="7:35" ht="15" customHeight="1" x14ac:dyDescent="0.3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3">
      <c r="G60" s="16"/>
      <c r="H60" s="18"/>
      <c r="I60" s="12"/>
      <c r="J60" s="12"/>
      <c r="K60" s="1">
        <f>IF(K58 = 1, 0, 1)</f>
        <v>1</v>
      </c>
      <c r="L60" s="12"/>
      <c r="M60" s="17"/>
      <c r="N60" s="118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3">
      <c r="G61" s="16"/>
      <c r="H61" s="18"/>
      <c r="I61" s="1">
        <f>IF(AND(J56 = 1, I59 = 1), 1, 0)</f>
        <v>0</v>
      </c>
      <c r="J61" s="12"/>
      <c r="K61" s="12"/>
      <c r="L61" s="12"/>
      <c r="M61" s="17"/>
      <c r="N61" s="103"/>
      <c r="O61" s="14"/>
      <c r="Q61" s="16"/>
      <c r="R61" s="15"/>
      <c r="S61" s="13"/>
      <c r="T61" s="13"/>
      <c r="U61" s="13"/>
      <c r="V61" s="13"/>
      <c r="W61" s="107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3">
      <c r="G62" s="16"/>
      <c r="H62" s="18"/>
      <c r="I62" s="12"/>
      <c r="J62" s="1">
        <f>IF(AND(H56 = 1, K60 = 1), 1, 0)</f>
        <v>0</v>
      </c>
      <c r="K62" s="12"/>
      <c r="L62" s="12"/>
      <c r="M62" s="17"/>
      <c r="N62" s="106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08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3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09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3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6" ht="15" customHeight="1" x14ac:dyDescent="0.3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6" ht="15" customHeight="1" x14ac:dyDescent="0.3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6" ht="15" customHeight="1" x14ac:dyDescent="0.3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6" ht="15" customHeight="1" x14ac:dyDescent="0.3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6" ht="15" customHeight="1" x14ac:dyDescent="0.3">
      <c r="Q69" s="16"/>
      <c r="R69" s="17"/>
      <c r="S69" s="17"/>
      <c r="T69" s="17"/>
      <c r="U69" s="17"/>
      <c r="V69" s="17"/>
      <c r="W69" s="17"/>
      <c r="X69" s="17"/>
      <c r="Y69" s="14"/>
    </row>
    <row r="70" spans="4:36" ht="15" customHeight="1" x14ac:dyDescent="0.3">
      <c r="Q70" s="16"/>
      <c r="R70" s="17"/>
      <c r="S70" s="17"/>
      <c r="T70" s="17"/>
      <c r="U70" s="17"/>
      <c r="V70" s="17"/>
      <c r="W70" s="17"/>
      <c r="X70" s="17"/>
      <c r="Y70" s="14"/>
    </row>
    <row r="71" spans="4:36" ht="15" customHeight="1" x14ac:dyDescent="0.3">
      <c r="Q71" s="16"/>
      <c r="R71" s="1">
        <f>IF(_xlfn.XOR(T67 = 1, T57 = 1), 1, 0)</f>
        <v>0</v>
      </c>
      <c r="S71" s="114" t="s">
        <v>32</v>
      </c>
      <c r="T71" s="115"/>
      <c r="U71" s="17"/>
      <c r="V71" s="17"/>
      <c r="W71" s="17"/>
      <c r="X71" s="17"/>
      <c r="Y71" s="14"/>
    </row>
    <row r="72" spans="4:36" ht="15" customHeight="1" x14ac:dyDescent="0.3">
      <c r="Q72" s="31"/>
      <c r="R72" s="28">
        <f>T67</f>
        <v>0</v>
      </c>
      <c r="S72" s="116" t="s">
        <v>33</v>
      </c>
      <c r="T72" s="117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6" ht="15" customHeight="1" x14ac:dyDescent="0.3">
      <c r="E78" s="74" t="s">
        <v>66</v>
      </c>
      <c r="G78" t="s">
        <v>107</v>
      </c>
    </row>
    <row r="79" spans="4:36" ht="15" customHeight="1" x14ac:dyDescent="0.3">
      <c r="D79" s="52"/>
      <c r="E79" s="48"/>
      <c r="F79" s="49"/>
      <c r="G79" s="93" t="s">
        <v>64</v>
      </c>
      <c r="H79" s="94" cm="1">
        <f t="array" aca="1" ref="H79" ca="1">INDIRECT(ADDRESS(J83 + H83, J84 + H84))</f>
        <v>1011</v>
      </c>
      <c r="I79" s="49"/>
      <c r="J79" s="49"/>
      <c r="K79" s="49"/>
      <c r="L79" s="49"/>
      <c r="M79" s="50"/>
      <c r="N79" s="52" t="s">
        <v>42</v>
      </c>
      <c r="AF79" t="s">
        <v>104</v>
      </c>
      <c r="AG79" t="s">
        <v>105</v>
      </c>
    </row>
    <row r="80" spans="4:36" ht="15" customHeight="1" x14ac:dyDescent="0.3">
      <c r="D80" s="52"/>
      <c r="E80" s="51"/>
      <c r="F80" s="52"/>
      <c r="G80" s="141" t="s">
        <v>49</v>
      </c>
      <c r="H80" s="142"/>
      <c r="I80" s="142"/>
      <c r="J80" s="143"/>
      <c r="K80" s="52"/>
      <c r="L80" s="52"/>
      <c r="M80" s="53"/>
      <c r="N80" s="49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  <c r="AD80" s="95" t="s">
        <v>80</v>
      </c>
      <c r="AE80" s="95"/>
      <c r="AF80" s="95" t="str">
        <f ca="1">AF86</f>
        <v>0000</v>
      </c>
      <c r="AG80" s="95" t="str">
        <f ca="1">AE86</f>
        <v>0010</v>
      </c>
      <c r="AH80" s="95" t="s">
        <v>81</v>
      </c>
      <c r="AI80" s="95">
        <f ca="1">VALUE(BIN2DEC(AF80))</f>
        <v>0</v>
      </c>
      <c r="AJ80" s="95">
        <f ca="1">VALUE(BIN2DEC(AG80))</f>
        <v>2</v>
      </c>
    </row>
    <row r="81" spans="4:46" ht="15" customHeight="1" x14ac:dyDescent="0.3">
      <c r="D81" s="52"/>
      <c r="E81" s="51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M81" s="53"/>
      <c r="N81" s="52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1</v>
      </c>
      <c r="W81" s="52" t="s">
        <v>46</v>
      </c>
      <c r="X81" s="53"/>
      <c r="AA81" s="86" t="s">
        <v>90</v>
      </c>
      <c r="AB81" t="str">
        <f>_xlfn.CONCAT(AA82,AB82)</f>
        <v>10</v>
      </c>
      <c r="AD81">
        <v>1</v>
      </c>
      <c r="AE81">
        <v>1</v>
      </c>
      <c r="AF81">
        <v>1</v>
      </c>
      <c r="AG81">
        <v>1</v>
      </c>
      <c r="AH81" s="86" t="s">
        <v>91</v>
      </c>
    </row>
    <row r="82" spans="4:46" ht="15" customHeight="1" x14ac:dyDescent="0.3">
      <c r="E82" s="51"/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M82" s="53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3"/>
      <c r="Z82" s="86" t="s">
        <v>103</v>
      </c>
      <c r="AA82" s="58">
        <v>1</v>
      </c>
      <c r="AB82" s="58">
        <v>0</v>
      </c>
      <c r="AD82" s="58" t="str">
        <f ca="1">IF(AB81 = "10", AD83, IF(AB81 = "00", AD81, IF(AB81 = "01", AD81, IF(AB81 = "11", AD81, AD82))))</f>
        <v>1</v>
      </c>
      <c r="AE82" s="58" t="str">
        <f ca="1">IF(AB81 = "10", AE83, IF(AB81 = "00", AE81, IF(AB81 = "01", AE81, IF(AB81 = "11", AE81, AE82))))</f>
        <v>1</v>
      </c>
      <c r="AF82" s="58" t="str">
        <f ca="1">IF(AB81 = "10", AF83, IF(AB81 = "00", AF81, IF(AB81 = "01", AF81, IF(AB81 = "11", AF81, AF82))))</f>
        <v>1</v>
      </c>
      <c r="AG82" s="58" t="str">
        <f ca="1">IF(AB81 = "10", AG83, IF(AB81 = "00", AG81, IF(AB81 = "01", AG81, IF(AB81 = "11", AG81, AG82))))</f>
        <v>1</v>
      </c>
      <c r="AH82" s="86" t="s">
        <v>92</v>
      </c>
    </row>
    <row r="83" spans="4:46" ht="15" customHeight="1" x14ac:dyDescent="0.3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M83" s="53"/>
      <c r="N83" s="52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  <c r="AD83" s="58" t="str" cm="1">
        <f t="array" aca="1" ref="AD83" ca="1">LEFT(INDIRECT(ADDRESS(AI80 + 86,AJ80 + 31)))</f>
        <v>1</v>
      </c>
      <c r="AE83" s="58" t="str" cm="1">
        <f t="array" aca="1" ref="AE83" ca="1">MID(INDIRECT(ADDRESS(AI80 + 86,AJ80 + 31)), 2, 1)</f>
        <v>1</v>
      </c>
      <c r="AF83" s="58" t="str" cm="1">
        <f t="array" aca="1" ref="AF83" ca="1">MID(INDIRECT(ADDRESS(AI80 + 86,AJ80 + 31)), 3, 1)</f>
        <v>1</v>
      </c>
      <c r="AG83" s="58" t="str" cm="1">
        <f t="array" aca="1" ref="AG83" ca="1">MID(INDIRECT(ADDRESS(AI80 + 86,AJ80 + 31)), 4, 1)</f>
        <v>1</v>
      </c>
      <c r="AH83" s="86" t="s">
        <v>93</v>
      </c>
    </row>
    <row r="84" spans="4:46" ht="15" customHeight="1" x14ac:dyDescent="0.3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M84" s="53"/>
      <c r="N84" s="52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4:46" ht="15" customHeight="1" x14ac:dyDescent="0.3">
      <c r="E85" s="136" t="s">
        <v>62</v>
      </c>
      <c r="F85" s="140"/>
      <c r="G85" s="136" t="s">
        <v>63</v>
      </c>
      <c r="H85" s="137"/>
      <c r="I85" s="137"/>
      <c r="J85" s="138"/>
      <c r="K85" s="52"/>
      <c r="L85" s="52"/>
      <c r="M85" s="53"/>
      <c r="N85" s="52" t="s">
        <v>47</v>
      </c>
      <c r="O85" s="52"/>
      <c r="P85" s="52" t="str">
        <f ca="1">MID(P83, R85, 1)</f>
        <v>1</v>
      </c>
      <c r="Q85" s="52"/>
      <c r="R85" s="52">
        <f ca="1">IF(CLOCK = 1, IF(R85 = (LEN(P83) + 1), 1, R85 + 1),  R85)</f>
        <v>4</v>
      </c>
      <c r="S85" s="52" t="s">
        <v>48</v>
      </c>
      <c r="T85" s="52"/>
      <c r="U85" s="52"/>
      <c r="V85" s="52"/>
      <c r="W85" s="52"/>
      <c r="X85" s="53"/>
      <c r="AE85" s="99" t="s">
        <v>94</v>
      </c>
      <c r="AF85" s="99" t="s">
        <v>73</v>
      </c>
      <c r="AG85" s="99" t="s">
        <v>74</v>
      </c>
      <c r="AH85" s="100" t="s">
        <v>68</v>
      </c>
      <c r="AI85" s="100" t="s">
        <v>95</v>
      </c>
      <c r="AJ85" s="100" t="s">
        <v>96</v>
      </c>
      <c r="AK85" s="100" t="s">
        <v>67</v>
      </c>
      <c r="AL85" s="100" t="s">
        <v>70</v>
      </c>
      <c r="AM85" s="100" t="s">
        <v>97</v>
      </c>
      <c r="AN85" s="100" t="s">
        <v>71</v>
      </c>
      <c r="AO85" s="100" t="s">
        <v>98</v>
      </c>
      <c r="AP85" s="100" t="s">
        <v>99</v>
      </c>
      <c r="AQ85" s="100" t="s">
        <v>72</v>
      </c>
      <c r="AR85" s="100" t="s">
        <v>100</v>
      </c>
      <c r="AS85" s="100" t="s">
        <v>101</v>
      </c>
      <c r="AT85" s="100" t="s">
        <v>102</v>
      </c>
    </row>
    <row r="86" spans="4:46" ht="15" customHeight="1" x14ac:dyDescent="0.3">
      <c r="D86" s="52"/>
      <c r="E86" s="51"/>
      <c r="F86" s="52"/>
      <c r="G86" s="95" t="s">
        <v>80</v>
      </c>
      <c r="H86" s="95"/>
      <c r="I86" s="95">
        <f>VALUE(_xlfn.CONCAT(H87,I87))</f>
        <v>0</v>
      </c>
      <c r="J86" s="95">
        <f>VALUE(_xlfn.CONCAT(J87,K87))</f>
        <v>0</v>
      </c>
      <c r="K86" s="95" t="s">
        <v>81</v>
      </c>
      <c r="L86" s="95">
        <f>VALUE(BIN2DEC(I86))</f>
        <v>0</v>
      </c>
      <c r="M86" s="96">
        <f>VALUE(BIN2DEC(J86))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3"/>
      <c r="AD86" s="99" t="s">
        <v>94</v>
      </c>
      <c r="AE86" s="101" t="str">
        <f ca="1">IF(AND(AA82 = 0, AB82 = 0), _xlfn.CONCAT(AD82,AE82,AF82,AG82), AE86)</f>
        <v>0010</v>
      </c>
      <c r="AF86" s="101" t="str">
        <f ca="1">IF(AND(AA82 = 0, AB82 = 1), _xlfn.CONCAT(AD82,AE82,AF82,AG82), AF86)</f>
        <v>0000</v>
      </c>
      <c r="AG86" s="87" t="str">
        <f ca="1">IF(AND(OPBIT = "11", ADDRESSX = AG85, ADDRESSY = AD86), _xlfn.CONCAT(DATABIT4, DATABIT3, DATABIT2, DATABIT1), AG86)</f>
        <v>1111</v>
      </c>
      <c r="AH86" s="87">
        <f ca="1">IF(AND(OPBIT = "11", ADDRESSX = AH85, ADDRESSY = AD86), _xlfn.CONCAT(DATABIT4, DATABIT3, DATABIT2, DATABIT1), AH86)</f>
        <v>0</v>
      </c>
      <c r="AI86" s="87">
        <f ca="1">IF(AND(OPBIT = "11", ADDRESSX = AI85, ADDRESSY = AD86), _xlfn.CONCAT(DATABIT4, DATABIT3, DATABIT2, DATABIT1), AI86)</f>
        <v>0</v>
      </c>
      <c r="AJ86" s="87">
        <f ca="1">IF(AND(OPBIT = "11", ADDRESSX = AJ85, ADDRESSY = AD86), _xlfn.CONCAT(DATABIT4, DATABIT3, DATABIT2, DATABIT1), AJ86)</f>
        <v>0</v>
      </c>
      <c r="AK86" s="87">
        <f ca="1">IF(AND(OPBIT = "11", ADDRESSX = AK85, ADDRESSY = AD86), _xlfn.CONCAT(DATABIT4, DATABIT3, DATABIT2, DATABIT1), AK86)</f>
        <v>0</v>
      </c>
      <c r="AL86" s="87">
        <f ca="1">IF(AND(OPBIT = "11", ADDRESSX = AL85, ADDRESSY = AD86), _xlfn.CONCAT(DATABIT4, DATABIT3, DATABIT2, DATABIT1), AL86)</f>
        <v>0</v>
      </c>
      <c r="AM86" s="87">
        <f t="shared" ref="AM86:AM101" ca="1" si="0">IF(AND(OPBIT = "11", ADDRESSX = AM85, ADDRESSY = AJ86), _xlfn.CONCAT(DATABIT4, DATABIT3, DATABIT2, DATABIT1), AM86)</f>
        <v>0</v>
      </c>
      <c r="AN86" s="87">
        <f t="shared" ref="AN86:AN101" ca="1" si="1">IF(AND(OPBIT = "11", ADDRESSX = AN85, ADDRESSY = AK86), _xlfn.CONCAT(DATABIT4, DATABIT3, DATABIT2, DATABIT1), AN86)</f>
        <v>0</v>
      </c>
      <c r="AO86" s="87">
        <f t="shared" ref="AO86:AO101" ca="1" si="2">IF(AND(OPBIT = "11", ADDRESSX = AO85, ADDRESSY = AL86), _xlfn.CONCAT(DATABIT4, DATABIT3, DATABIT2, DATABIT1), AO86)</f>
        <v>0</v>
      </c>
      <c r="AP86" s="87">
        <f t="shared" ref="AP86:AP101" ca="1" si="3">IF(AND(OPBIT = "11", ADDRESSX = AP85, ADDRESSY = AM86), _xlfn.CONCAT(DATABIT4, DATABIT3, DATABIT2, DATABIT1), AP86)</f>
        <v>0</v>
      </c>
      <c r="AQ86" s="87">
        <f t="shared" ref="AQ86:AQ101" ca="1" si="4">IF(AND(OPBIT = "11", ADDRESSX = AQ85, ADDRESSY = AN86), _xlfn.CONCAT(DATABIT4, DATABIT3, DATABIT2, DATABIT1), AQ86)</f>
        <v>0</v>
      </c>
      <c r="AR86" s="87">
        <f t="shared" ref="AR86:AR101" ca="1" si="5">IF(AND(OPBIT = "11", ADDRESSX = AR85, ADDRESSY = AO86), _xlfn.CONCAT(DATABIT4, DATABIT3, DATABIT2, DATABIT1), AR86)</f>
        <v>0</v>
      </c>
      <c r="AS86" s="87">
        <f t="shared" ref="AS86:AS101" ca="1" si="6">IF(AND(OPBIT = "11", ADDRESSX = AS85, ADDRESSY = AP86), _xlfn.CONCAT(DATABIT4, DATABIT3, DATABIT2, DATABIT1), AS86)</f>
        <v>0</v>
      </c>
      <c r="AT86" s="87">
        <f t="shared" ref="AT86:AT101" ca="1" si="7">IF(AND(OPBIT = "11", ADDRESSX = AT85, ADDRESSY = AQ86), _xlfn.CONCAT(DATABIT4, DATABIT3, DATABIT2, DATABIT1), AT86)</f>
        <v>0</v>
      </c>
    </row>
    <row r="87" spans="4:46" ht="15" customHeight="1" x14ac:dyDescent="0.3">
      <c r="D87" s="52"/>
      <c r="E87" s="97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M87" s="53"/>
      <c r="N87" s="52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  <c r="Z87" s="99" t="s">
        <v>86</v>
      </c>
      <c r="AA87" t="s">
        <v>82</v>
      </c>
      <c r="AD87" s="99" t="s">
        <v>73</v>
      </c>
      <c r="AE87" s="87">
        <f ca="1">IF(AND(OPBIT = "11", ADDRESSX = AE85, ADDRESSY = AD87), _xlfn.CONCAT(DATABIT4, DATABIT3, DATABIT2, DATABIT1), AE87)</f>
        <v>0</v>
      </c>
      <c r="AF87" s="87">
        <f ca="1">IF(AND(OPBIT = "11", ADDRESSX = AF85, ADDRESSY = AD87), _xlfn.CONCAT(DATABIT4, DATABIT3, DATABIT2, DATABIT1), AF87)</f>
        <v>0</v>
      </c>
      <c r="AG87" s="87">
        <f ca="1">IF(AND(OPBIT = "11", ADDRESSX = AG85, ADDRESSY = AD87), _xlfn.CONCAT(DATABIT4, DATABIT3, DATABIT2, DATABIT1), AG87)</f>
        <v>0</v>
      </c>
      <c r="AH87" s="87">
        <f ca="1">IF(AND(OPBIT = "11", ADDRESSX = AH85, ADDRESSY = AD87), _xlfn.CONCAT(DATABIT4, DATABIT3, DATABIT2, DATABIT1), AH87)</f>
        <v>0</v>
      </c>
      <c r="AI87" s="87">
        <f ca="1">IF(AND(OPBIT = "11", ADDRESSX = AI86, ADDRESSY = AD87), _xlfn.CONCAT(DATABIT4, DATABIT3, DATABIT2, DATABIT1), AI87)</f>
        <v>0</v>
      </c>
      <c r="AJ87" s="87">
        <f ca="1">IF(AND(OPBIT = "11", ADDRESSX = AJ85, ADDRESSY = AD87), _xlfn.CONCAT(DATABIT4, DATABIT3, DATABIT2, DATABIT1), AJ87)</f>
        <v>0</v>
      </c>
      <c r="AK87" s="87">
        <f ca="1">IF(AND(OPBIT = "11", ADDRESSX = AK85, ADDRESSY = AD87), _xlfn.CONCAT(DATABIT4, DATABIT3, DATABIT2, DATABIT1), AK87)</f>
        <v>0</v>
      </c>
      <c r="AL87" s="87">
        <f ca="1">IF(AND(OPBIT = "11", ADDRESSX = AL85, ADDRESSY = AD87), _xlfn.CONCAT(DATABIT4, DATABIT3, DATABIT2, DATABIT1), AL87)</f>
        <v>0</v>
      </c>
      <c r="AM87" s="87">
        <f t="shared" ca="1" si="0"/>
        <v>0</v>
      </c>
      <c r="AN87" s="87">
        <f t="shared" ca="1" si="1"/>
        <v>0</v>
      </c>
      <c r="AO87" s="87">
        <f t="shared" ca="1" si="2"/>
        <v>0</v>
      </c>
      <c r="AP87" s="87">
        <f t="shared" ca="1" si="3"/>
        <v>0</v>
      </c>
      <c r="AQ87" s="87">
        <f t="shared" ca="1" si="4"/>
        <v>0</v>
      </c>
      <c r="AR87" s="87">
        <f t="shared" ca="1" si="5"/>
        <v>0</v>
      </c>
      <c r="AS87" s="87">
        <f t="shared" ca="1" si="6"/>
        <v>0</v>
      </c>
      <c r="AT87" s="87">
        <f t="shared" ca="1" si="7"/>
        <v>0</v>
      </c>
    </row>
    <row r="88" spans="4:46" ht="15" customHeight="1" x14ac:dyDescent="0.3">
      <c r="D88" s="52"/>
      <c r="E88" s="51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M88" s="53"/>
      <c r="N88" s="52"/>
      <c r="O88" s="52"/>
      <c r="P88" s="52"/>
      <c r="Q88" s="52"/>
      <c r="R88" s="52"/>
      <c r="S88" s="52"/>
      <c r="T88" s="52"/>
      <c r="U88" s="52">
        <f>BIN2DEC(U87)</f>
        <v>14</v>
      </c>
      <c r="V88" s="88" t="s">
        <v>79</v>
      </c>
      <c r="W88" s="52"/>
      <c r="X88" s="53"/>
      <c r="Z88" s="99" t="s">
        <v>87</v>
      </c>
      <c r="AA88" t="s">
        <v>83</v>
      </c>
      <c r="AD88" s="99" t="s">
        <v>74</v>
      </c>
      <c r="AE88" s="87">
        <f ca="1">IF(AND(OPBIT = "11", ADDRESSX = AE85, ADDRESSY = AD88), _xlfn.CONCAT(DATABIT4, DATABIT3, DATABIT2, DATABIT1), AE88)</f>
        <v>0</v>
      </c>
      <c r="AF88" s="87">
        <f ca="1">IF(AND(OPBIT = "11", ADDRESSX = AF85, ADDRESSY = AD88), _xlfn.CONCAT(DATABIT4, DATABIT3, DATABIT2, DATABIT1), AF88)</f>
        <v>0</v>
      </c>
      <c r="AG88" s="87">
        <f ca="1">IF(AND(OPBIT = "11", ADDRESSX = AG85, ADDRESSY = AD88), _xlfn.CONCAT(DATABIT4, DATABIT3, DATABIT2, DATABIT1), AG88)</f>
        <v>0</v>
      </c>
      <c r="AH88" s="87">
        <f ca="1">IF(AND(OPBIT = "11", ADDRESSX = AH85, ADDRESSY = AD88), _xlfn.CONCAT(DATABIT4, DATABIT3, DATABIT2, DATABIT1), AH88)</f>
        <v>0</v>
      </c>
      <c r="AI88" s="87">
        <f ca="1">IF(AND(OPBIT = "11", ADDRESSX = AI85, ADDRESSY = AD88), _xlfn.CONCAT(DATABIT4, DATABIT3, DATABIT2, DATABIT1), AI88)</f>
        <v>0</v>
      </c>
      <c r="AJ88" s="87">
        <f ca="1">IF(AND(OPBIT = "11", ADDRESSX = AJ85, ADDRESSY = AD88), _xlfn.CONCAT(DATABIT4, DATABIT3, DATABIT2, DATABIT1), AJ88)</f>
        <v>0</v>
      </c>
      <c r="AK88" s="87">
        <f ca="1">IF(AND(OPBIT = "11", ADDRESSX = AK85, ADDRESSY = AD88), _xlfn.CONCAT(DATABIT4, DATABIT3, DATABIT2, DATABIT1), AK88)</f>
        <v>0</v>
      </c>
      <c r="AL88" s="87">
        <f ca="1">IF(AND(OPBIT = "11", ADDRESSX = AL85, ADDRESSY = AD88), _xlfn.CONCAT(DATABIT4, DATABIT3, DATABIT2, DATABIT1), AL88)</f>
        <v>0</v>
      </c>
      <c r="AM88" s="87">
        <f t="shared" ca="1" si="0"/>
        <v>0</v>
      </c>
      <c r="AN88" s="87">
        <f t="shared" ca="1" si="1"/>
        <v>0</v>
      </c>
      <c r="AO88" s="87">
        <f t="shared" ca="1" si="2"/>
        <v>0</v>
      </c>
      <c r="AP88" s="87">
        <f t="shared" ca="1" si="3"/>
        <v>0</v>
      </c>
      <c r="AQ88" s="87">
        <f t="shared" ca="1" si="4"/>
        <v>0</v>
      </c>
      <c r="AR88" s="87">
        <f t="shared" ca="1" si="5"/>
        <v>0</v>
      </c>
      <c r="AS88" s="87">
        <f t="shared" ca="1" si="6"/>
        <v>0</v>
      </c>
      <c r="AT88" s="87">
        <f t="shared" ca="1" si="7"/>
        <v>0</v>
      </c>
    </row>
    <row r="89" spans="4:46" ht="15" customHeight="1" x14ac:dyDescent="0.3">
      <c r="D89" s="52"/>
      <c r="E89" s="98"/>
      <c r="F89" s="52"/>
      <c r="G89" s="89" t="s">
        <v>78</v>
      </c>
      <c r="H89" s="58" t="str" cm="1">
        <f t="array" aca="1" ref="H89" ca="1">LEFT(INDIRECT(ADDRESS(L86 + 91,M86 + 6)))</f>
        <v>0</v>
      </c>
      <c r="I89" s="58" t="str" cm="1">
        <f t="array" aca="1" ref="I89" ca="1">MID(INDIRECT(ADDRESS(L86 + 91,M86 + 6)), 2, 1)</f>
        <v>0</v>
      </c>
      <c r="J89" s="58" t="str" cm="1">
        <f t="array" aca="1" ref="J89" ca="1">MID(INDIRECT(ADDRESS(L86 + 91,M86 + 6)), 3, 1)</f>
        <v>0</v>
      </c>
      <c r="K89" s="58" t="str" cm="1">
        <f t="array" aca="1" ref="K89" ca="1">MID(INDIRECT(ADDRESS(L86 + 91,M86 + 6)), 4, 1)</f>
        <v>0</v>
      </c>
      <c r="L89" s="52"/>
      <c r="M89" s="53"/>
      <c r="N89" s="52"/>
      <c r="O89" s="52"/>
      <c r="P89" s="52">
        <f ca="1">IF(CLOCK = 1, IF(P89 &gt;= P87, 0, P89 + 1), P89)</f>
        <v>1</v>
      </c>
      <c r="Q89" s="52"/>
      <c r="R89" s="52" t="str">
        <f ca="1">IF(P89 = P87, IF(LEN(R89) = LEN(P83), "", R89 &amp; P85), R89)</f>
        <v>101</v>
      </c>
      <c r="S89" s="52"/>
      <c r="T89" s="52"/>
      <c r="U89" s="52"/>
      <c r="V89" s="52"/>
      <c r="W89" s="52"/>
      <c r="X89" s="53"/>
      <c r="Z89" s="99" t="s">
        <v>88</v>
      </c>
      <c r="AA89" t="s">
        <v>84</v>
      </c>
      <c r="AD89" s="99" t="s">
        <v>68</v>
      </c>
      <c r="AE89" s="87">
        <f ca="1">IF(AND(OPBIT = "11", ADDRESSX = AE85, ADDRESSY = AD89), _xlfn.CONCAT(DATABIT4, DATABIT3, DATABIT2, DATABIT1), AE89)</f>
        <v>0</v>
      </c>
      <c r="AF89" s="87">
        <f ca="1">IF(AND(OPBIT = "11", ADDRESSX = AF85, ADDRESSY = AD89), _xlfn.CONCAT(DATABIT4, DATABIT3, DATABIT2, DATABIT1), AF89)</f>
        <v>0</v>
      </c>
      <c r="AG89" s="87">
        <f ca="1">IF(AND(OPBIT = "11", ADDRESSX = AG85, ADDRESSY = AD89), _xlfn.CONCAT(DATABIT4, DATABIT3, DATABIT2, DATABIT1), AG89)</f>
        <v>0</v>
      </c>
      <c r="AH89" s="87">
        <f ca="1">IF(AND(OPBIT = "11", ADDRESSX = AH85, ADDRESSY = AD89), _xlfn.CONCAT(DATABIT4, DATABIT3, DATABIT2, DATABIT1), AH89)</f>
        <v>0</v>
      </c>
      <c r="AI89" s="87">
        <f ca="1">IF(AND(OPBIT = "11", ADDRESSX = AI81, ADDRESSY = AD89), _xlfn.CONCAT(DATABIT4, DATABIT3, DATABIT2, DATABIT1), AI89)</f>
        <v>0</v>
      </c>
      <c r="AJ89" s="87">
        <f ca="1">IF(AND(OPBIT = "11", ADDRESSX = AJ85, ADDRESSY = AD89), _xlfn.CONCAT(DATABIT4, DATABIT3, DATABIT2, DATABIT1), AJ89)</f>
        <v>0</v>
      </c>
      <c r="AK89" s="87">
        <f ca="1">IF(AND(OPBIT = "11", ADDRESSX = AK85, ADDRESSY = AD89), _xlfn.CONCAT(DATABIT4, DATABIT3, DATABIT2, DATABIT1), AK89)</f>
        <v>0</v>
      </c>
      <c r="AL89" s="87">
        <f ca="1">IF(AND(OPBIT = "11", ADDRESSX = AL85, ADDRESSY = AD89), _xlfn.CONCAT(DATABIT4, DATABIT3, DATABIT2, DATABIT1), AL89)</f>
        <v>0</v>
      </c>
      <c r="AM89" s="87">
        <f t="shared" ca="1" si="0"/>
        <v>0</v>
      </c>
      <c r="AN89" s="87">
        <f t="shared" ca="1" si="1"/>
        <v>0</v>
      </c>
      <c r="AO89" s="87">
        <f t="shared" ca="1" si="2"/>
        <v>0</v>
      </c>
      <c r="AP89" s="87">
        <f t="shared" ca="1" si="3"/>
        <v>0</v>
      </c>
      <c r="AQ89" s="87">
        <f t="shared" ca="1" si="4"/>
        <v>0</v>
      </c>
      <c r="AR89" s="87">
        <f t="shared" ca="1" si="5"/>
        <v>0</v>
      </c>
      <c r="AS89" s="87">
        <f t="shared" ca="1" si="6"/>
        <v>0</v>
      </c>
      <c r="AT89" s="87">
        <f t="shared" ca="1" si="7"/>
        <v>0</v>
      </c>
    </row>
    <row r="90" spans="4:46" ht="15" customHeight="1" x14ac:dyDescent="0.3">
      <c r="D90" s="52"/>
      <c r="E90" s="51"/>
      <c r="F90" s="52"/>
      <c r="G90" s="52"/>
      <c r="H90" s="52"/>
      <c r="I90" s="52"/>
      <c r="J90" s="52"/>
      <c r="K90" s="52"/>
      <c r="L90" s="52"/>
      <c r="M90" s="53"/>
      <c r="N90" s="55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  <c r="Z90" s="99" t="s">
        <v>89</v>
      </c>
      <c r="AA90" t="s">
        <v>85</v>
      </c>
      <c r="AD90" s="99" t="s">
        <v>95</v>
      </c>
      <c r="AE90" s="87">
        <f ca="1">IF(AND(OPBIT = "11", ADDRESSX = AE85, ADDRESSY = AD90), _xlfn.CONCAT(DATABIT4, DATABIT3, DATABIT2, DATABIT1), AE90)</f>
        <v>0</v>
      </c>
      <c r="AF90" s="87">
        <f ca="1">IF(AND(OPBIT = "11", ADDRESSX = AF85, ADDRESSY = AD90), _xlfn.CONCAT(DATABIT4, DATABIT3, DATABIT2, DATABIT1), AF90)</f>
        <v>0</v>
      </c>
      <c r="AG90" s="87">
        <f ca="1">IF(AND(OPBIT = "11", ADDRESSX = AG85, ADDRESSY = AD90), _xlfn.CONCAT(DATABIT4, DATABIT3, DATABIT2, DATABIT1), AG90)</f>
        <v>0</v>
      </c>
      <c r="AH90" s="87">
        <f ca="1">IF(AND(OPBIT = "11", ADDRESSX = AH85, ADDRESSY = AD90), _xlfn.CONCAT(DATABIT4, DATABIT3, DATABIT2, DATABIT1), AH90)</f>
        <v>0</v>
      </c>
      <c r="AI90" s="87">
        <f ca="1">IF(AND(OPBIT = "11", ADDRESSX = AI85, ADDRESSY = AD90), _xlfn.CONCAT(DATABIT4, DATABIT3, DATABIT2, DATABIT1), AI90)</f>
        <v>0</v>
      </c>
      <c r="AJ90" s="87">
        <f ca="1">IF(AND(OPBIT = "11", ADDRESSX = AJ85, ADDRESSY = AD90), _xlfn.CONCAT(DATABIT4, DATABIT3, DATABIT2, DATABIT1), AJ90)</f>
        <v>0</v>
      </c>
      <c r="AK90" s="87">
        <f ca="1">IF(AND(OPBIT = "11", ADDRESSX = AK85, ADDRESSY = AD90), _xlfn.CONCAT(DATABIT4, DATABIT3, DATABIT2, DATABIT1), AK90)</f>
        <v>0</v>
      </c>
      <c r="AL90" s="87">
        <f ca="1">IF(AND(OPBIT = "11", ADDRESSX = AL85, ADDRESSY = AD90), _xlfn.CONCAT(DATABIT4, DATABIT3, DATABIT2, DATABIT1), AL90)</f>
        <v>0</v>
      </c>
      <c r="AM90" s="87">
        <f t="shared" ca="1" si="0"/>
        <v>0</v>
      </c>
      <c r="AN90" s="87">
        <f t="shared" ca="1" si="1"/>
        <v>0</v>
      </c>
      <c r="AO90" s="87">
        <f t="shared" ca="1" si="2"/>
        <v>0</v>
      </c>
      <c r="AP90" s="87">
        <f t="shared" ca="1" si="3"/>
        <v>0</v>
      </c>
      <c r="AQ90" s="87">
        <f t="shared" ca="1" si="4"/>
        <v>0</v>
      </c>
      <c r="AR90" s="87">
        <f t="shared" ca="1" si="5"/>
        <v>0</v>
      </c>
      <c r="AS90" s="87">
        <f t="shared" ca="1" si="6"/>
        <v>0</v>
      </c>
      <c r="AT90" s="87">
        <f t="shared" ca="1" si="7"/>
        <v>0</v>
      </c>
    </row>
    <row r="91" spans="4:46" ht="15" customHeight="1" x14ac:dyDescent="0.3">
      <c r="D91" s="52"/>
      <c r="E91" s="51"/>
      <c r="F91" s="87" t="str">
        <f ca="1">IF(AND(F87 = 1, _xlfn.CONCAT(H87, I87, J87, K87) = "0000"), _xlfn.CONCAT(H88, I88, J88, K88), F91)</f>
        <v>0000</v>
      </c>
      <c r="G91" s="87" t="str">
        <f ca="1">IF(AND(F87 = 1, _xlfn.CONCAT(H87, I87, J87, K87) = "0001"), _xlfn.CONCAT(H88, I88, J88, K88), G91)</f>
        <v>0001</v>
      </c>
      <c r="H91" s="87" t="str">
        <f ca="1">IF(AND(F87 = 1, _xlfn.CONCAT(H87, I87, J87, K87) = "0010"), _xlfn.CONCAT(H88, I88, J88, K88), H91)</f>
        <v>0010</v>
      </c>
      <c r="I91" s="87" t="str">
        <f ca="1">IF(AND(F87 = 1, _xlfn.CONCAT(H87, I87, J87, K87) = "0011"), _xlfn.CONCAT(H88, I88, J88, K88), I91)</f>
        <v>0011</v>
      </c>
      <c r="J91" s="52"/>
      <c r="K91" s="52"/>
      <c r="L91" s="52"/>
      <c r="M91" s="53"/>
      <c r="N91" s="52"/>
      <c r="AD91" s="99" t="s">
        <v>96</v>
      </c>
      <c r="AE91" s="87">
        <f ca="1">IF(AND(OPBIT = "11", ADDRESSX = AE85, ADDRESSY = AD91), _xlfn.CONCAT(DATABIT4, DATABIT3, DATABIT2, DATABIT1), AE91)</f>
        <v>0</v>
      </c>
      <c r="AF91" s="87">
        <f ca="1">IF(AND(OPBIT = "11", ADDRESSX = AF85, ADDRESSY = AD91), _xlfn.CONCAT(DATABIT4, DATABIT3, DATABIT2, DATABIT1), AF91)</f>
        <v>0</v>
      </c>
      <c r="AG91" s="87">
        <f ca="1">IF(AND(OPBIT = "11", ADDRESSX = AG85, ADDRESSY = AD91), _xlfn.CONCAT(DATABIT4, DATABIT3, DATABIT2, DATABIT1), AG91)</f>
        <v>0</v>
      </c>
      <c r="AH91" s="87">
        <f ca="1">IF(AND(OPBIT = "11", ADDRESSX = AH85, ADDRESSY = AD91), _xlfn.CONCAT(DATABIT4, DATABIT3, DATABIT2, DATABIT1), AH91)</f>
        <v>0</v>
      </c>
      <c r="AI91" s="87">
        <f ca="1">IF(AND(OPBIT = "11", ADDRESSX = AI85, ADDRESSY = AD91), _xlfn.CONCAT(DATABIT4, DATABIT3, DATABIT2, DATABIT1), AI91)</f>
        <v>0</v>
      </c>
      <c r="AJ91" s="87">
        <f ca="1">IF(AND(OPBIT = "11", ADDRESSX = AJ85, ADDRESSY = AD91), _xlfn.CONCAT(DATABIT4, DATABIT3, DATABIT2, DATABIT1), AJ91)</f>
        <v>0</v>
      </c>
      <c r="AK91" s="87">
        <f ca="1">IF(AND(OPBIT = "11", ADDRESSX = AK85, ADDRESSY = AD91), _xlfn.CONCAT(DATABIT4, DATABIT3, DATABIT2, DATABIT1), AK91)</f>
        <v>0</v>
      </c>
      <c r="AL91" s="87">
        <f ca="1">IF(AND(OPBIT = "11", ADDRESSX = AL85, ADDRESSY = AD91), _xlfn.CONCAT(DATABIT4, DATABIT3, DATABIT2, DATABIT1), AL91)</f>
        <v>0</v>
      </c>
      <c r="AM91" s="87">
        <f t="shared" ca="1" si="0"/>
        <v>0</v>
      </c>
      <c r="AN91" s="87">
        <f t="shared" ca="1" si="1"/>
        <v>0</v>
      </c>
      <c r="AO91" s="87">
        <f t="shared" ca="1" si="2"/>
        <v>0</v>
      </c>
      <c r="AP91" s="87">
        <f t="shared" ca="1" si="3"/>
        <v>0</v>
      </c>
      <c r="AQ91" s="87">
        <f t="shared" ca="1" si="4"/>
        <v>0</v>
      </c>
      <c r="AR91" s="87">
        <f t="shared" ca="1" si="5"/>
        <v>0</v>
      </c>
      <c r="AS91" s="87">
        <f t="shared" ca="1" si="6"/>
        <v>0</v>
      </c>
      <c r="AT91" s="87">
        <f t="shared" ca="1" si="7"/>
        <v>0</v>
      </c>
    </row>
    <row r="92" spans="4:46" ht="15" customHeight="1" x14ac:dyDescent="0.3">
      <c r="D92" s="52"/>
      <c r="E92" s="51"/>
      <c r="F92" s="87" t="str">
        <f ca="1">IF(AND(F87 = 1, _xlfn.CONCAT(H87, I87, J87, K87) = "0100"), _xlfn.CONCAT(H88, I88, J88, K88), F92)</f>
        <v>0100</v>
      </c>
      <c r="G92" s="87" t="str">
        <f ca="1">IF(AND(F87 = 1, _xlfn.CONCAT(H87, I87, J87, K87) = "0101"), _xlfn.CONCAT(H88, I88, J88, K88), G92)</f>
        <v>0101</v>
      </c>
      <c r="H92" s="87" t="str">
        <f ca="1">IF(AND(F87 = 1, _xlfn.CONCAT(H87, I87, J87, K87) = "0110"), _xlfn.CONCAT(H88, I88, J88, K88), H92)</f>
        <v>0110</v>
      </c>
      <c r="I92" s="87" t="str">
        <f ca="1">IF(AND(F87 = 1, _xlfn.CONCAT(H87, I87, J87, K87) = "0111"), _xlfn.CONCAT(H88, I88, J88, K88), I92)</f>
        <v>0111</v>
      </c>
      <c r="J92" s="52"/>
      <c r="K92" s="52"/>
      <c r="L92" s="52"/>
      <c r="M92" s="53"/>
      <c r="N92" s="52"/>
      <c r="AD92" s="99" t="s">
        <v>67</v>
      </c>
      <c r="AE92" s="87">
        <f ca="1">IF(AND(OPBIT = "11", ADDRESSX = AE85, ADDRESSY = AD92), _xlfn.CONCAT(DATABIT4, DATABIT3, DATABIT2, DATABIT1), AE92)</f>
        <v>0</v>
      </c>
      <c r="AF92" s="87">
        <f ca="1">IF(AND(OPBIT = "11", ADDRESSX = AF85, ADDRESSY = AD92), _xlfn.CONCAT(DATABIT4, DATABIT3, DATABIT2, DATABIT1), AF92)</f>
        <v>0</v>
      </c>
      <c r="AG92" s="87">
        <f ca="1">IF(AND(OPBIT = "11", ADDRESSX = AG85, ADDRESSY = AD92), _xlfn.CONCAT(DATABIT4, DATABIT3, DATABIT2, DATABIT1), AG92)</f>
        <v>0</v>
      </c>
      <c r="AH92" s="87">
        <f ca="1">IF(AND(OPBIT = "11", ADDRESSX = AH85, ADDRESSY = AD92), _xlfn.CONCAT(DATABIT4, DATABIT3, DATABIT2, DATABIT1), AH92)</f>
        <v>0</v>
      </c>
      <c r="AI92" s="87">
        <f ca="1">IF(AND(OPBIT = "11", ADDRESSX = AI85, ADDRESSY = AD92), _xlfn.CONCAT(DATABIT4, DATABIT3, DATABIT2, DATABIT1), AI92)</f>
        <v>0</v>
      </c>
      <c r="AJ92" s="87">
        <f ca="1">IF(AND(OPBIT = "11", ADDRESSX = AJ85, ADDRESSY = AD92), _xlfn.CONCAT(DATABIT4, DATABIT3, DATABIT2, DATABIT1), AJ92)</f>
        <v>0</v>
      </c>
      <c r="AK92" s="87">
        <f ca="1">IF(AND(OPBIT = "11", ADDRESSX = AK85, ADDRESSY = AD92), _xlfn.CONCAT(DATABIT4, DATABIT3, DATABIT2, DATABIT1), AK92)</f>
        <v>0</v>
      </c>
      <c r="AL92" s="87">
        <f ca="1">IF(AND(OPBIT = "11", ADDRESSX = AL85, ADDRESSY = AD92), _xlfn.CONCAT(DATABIT4, DATABIT3, DATABIT2, DATABIT1), AL92)</f>
        <v>0</v>
      </c>
      <c r="AM92" s="87">
        <f t="shared" ca="1" si="0"/>
        <v>0</v>
      </c>
      <c r="AN92" s="87">
        <f t="shared" ca="1" si="1"/>
        <v>0</v>
      </c>
      <c r="AO92" s="87">
        <f t="shared" ca="1" si="2"/>
        <v>0</v>
      </c>
      <c r="AP92" s="87">
        <f t="shared" ca="1" si="3"/>
        <v>0</v>
      </c>
      <c r="AQ92" s="87">
        <f t="shared" ca="1" si="4"/>
        <v>0</v>
      </c>
      <c r="AR92" s="87">
        <f t="shared" ca="1" si="5"/>
        <v>0</v>
      </c>
      <c r="AS92" s="87">
        <f t="shared" ca="1" si="6"/>
        <v>0</v>
      </c>
      <c r="AT92" s="87">
        <f t="shared" ca="1" si="7"/>
        <v>0</v>
      </c>
    </row>
    <row r="93" spans="4:46" ht="15" customHeight="1" x14ac:dyDescent="0.3">
      <c r="D93" s="52"/>
      <c r="E93" s="51"/>
      <c r="F93" s="87" t="str">
        <f ca="1">IF(AND(F87 = 1, _xlfn.CONCAT(H87, I87, J87, K87) = "1000"), _xlfn.CONCAT(H88, I88, J88, K88), F93)</f>
        <v>1000</v>
      </c>
      <c r="G93" s="87" t="str">
        <f ca="1">IF(AND(F87 = 1, _xlfn.CONCAT(H87, I87, J87, K87) = "1001"), _xlfn.CONCAT(H88, I88, J88, K88), G93)</f>
        <v>1001</v>
      </c>
      <c r="H93" s="87" t="str">
        <f ca="1">IF(AND(F87 = 1, _xlfn.CONCAT(H87, I87, J87, K87) = "1010"), _xlfn.CONCAT(H88, I88, J88, K88), H93)</f>
        <v>1010</v>
      </c>
      <c r="I93" s="87" t="str">
        <f ca="1">IF(AND(F87 = 1, _xlfn.CONCAT(H87, I87, J87, K87) = "1011"), _xlfn.CONCAT(H88, I88, J88, K88), I93)</f>
        <v>1011</v>
      </c>
      <c r="J93" s="52"/>
      <c r="K93" s="52"/>
      <c r="L93" s="52"/>
      <c r="M93" s="53"/>
      <c r="N93" s="52"/>
      <c r="AD93" s="99" t="s">
        <v>70</v>
      </c>
      <c r="AE93" s="87">
        <f ca="1">IF(AND(OPBIT = "11", ADDRESSX = AE85, ADDRESSY = AD93), _xlfn.CONCAT(DATABIT4, DATABIT3, DATABIT2, DATABIT1), AE93)</f>
        <v>0</v>
      </c>
      <c r="AF93" s="87">
        <f ca="1">IF(AND(OPBIT = "11", ADDRESSX = AF85, ADDRESSY = AD93), _xlfn.CONCAT(DATABIT4, DATABIT3, DATABIT2, DATABIT1), AF93)</f>
        <v>0</v>
      </c>
      <c r="AG93" s="87">
        <f ca="1">IF(AND(OPBIT = "11", ADDRESSX = AG85, ADDRESSY = AD93), _xlfn.CONCAT(DATABIT4, DATABIT3, DATABIT2, DATABIT1), AG93)</f>
        <v>0</v>
      </c>
      <c r="AH93" s="87">
        <f ca="1">IF(AND(OPBIT = "11", ADDRESSX = AH85, ADDRESSY = AD93), _xlfn.CONCAT(DATABIT4, DATABIT3, DATABIT2, DATABIT1), AH93)</f>
        <v>0</v>
      </c>
      <c r="AI93" s="87">
        <f ca="1">IF(AND(OPBIT = "11", ADDRESSX = AI85, ADDRESSY = AD93), _xlfn.CONCAT(DATABIT4, DATABIT3, DATABIT2, DATABIT1), AI93)</f>
        <v>0</v>
      </c>
      <c r="AJ93" s="87">
        <f ca="1">IF(AND(OPBIT = "11", ADDRESSX = AJ85, ADDRESSY = AD93), _xlfn.CONCAT(DATABIT4, DATABIT3, DATABIT2, DATABIT1), AJ93)</f>
        <v>0</v>
      </c>
      <c r="AK93" s="87">
        <f ca="1">IF(AND(OPBIT = "11", ADDRESSX = AK85, ADDRESSY = AD93), _xlfn.CONCAT(DATABIT4, DATABIT3, DATABIT2, DATABIT1), AK93)</f>
        <v>0</v>
      </c>
      <c r="AL93" s="87">
        <f ca="1">IF(AND(OPBIT = "11", ADDRESSX = AL85, ADDRESSY = AD93), _xlfn.CONCAT(DATABIT4, DATABIT3, DATABIT2, DATABIT1), AL93)</f>
        <v>0</v>
      </c>
      <c r="AM93" s="87">
        <f t="shared" ca="1" si="0"/>
        <v>0</v>
      </c>
      <c r="AN93" s="87">
        <f t="shared" ca="1" si="1"/>
        <v>0</v>
      </c>
      <c r="AO93" s="87">
        <f t="shared" ca="1" si="2"/>
        <v>0</v>
      </c>
      <c r="AP93" s="87">
        <f t="shared" ca="1" si="3"/>
        <v>0</v>
      </c>
      <c r="AQ93" s="87">
        <f t="shared" ca="1" si="4"/>
        <v>0</v>
      </c>
      <c r="AR93" s="87">
        <f t="shared" ca="1" si="5"/>
        <v>0</v>
      </c>
      <c r="AS93" s="87">
        <f t="shared" ca="1" si="6"/>
        <v>0</v>
      </c>
      <c r="AT93" s="87">
        <f t="shared" ca="1" si="7"/>
        <v>0</v>
      </c>
    </row>
    <row r="94" spans="4:46" ht="15" customHeight="1" x14ac:dyDescent="0.3">
      <c r="E94" s="54"/>
      <c r="F94" s="90" t="str">
        <f ca="1">IF(AND(F87 = 1, _xlfn.CONCAT(H87, I87, J87, K87) = "1100"), _xlfn.CONCAT(H88, I88, J88, K88), F94)</f>
        <v>1100</v>
      </c>
      <c r="G94" s="90" t="str">
        <f ca="1">IF(AND(F87 = 1, _xlfn.CONCAT(H87, I87, J87, K87) = "1101"), _xlfn.CONCAT(H88, I88, J88, K88), G94)</f>
        <v>1101</v>
      </c>
      <c r="H94" s="90" t="str">
        <f ca="1">IF(AND(F87 = 1, _xlfn.CONCAT(H87, I87, J87, K87) = "1110"), _xlfn.CONCAT(H88, I88, J88, K88), H94)</f>
        <v>1110</v>
      </c>
      <c r="I94" s="90" t="str">
        <f ca="1">IF(AND(F87 = 1, _xlfn.CONCAT(H87, I87, J87, K87) = "1111"), _xlfn.CONCAT(H88, I88, J88, K88), I94)</f>
        <v>1111</v>
      </c>
      <c r="J94" s="55"/>
      <c r="K94" s="55"/>
      <c r="L94" s="55"/>
      <c r="M94" s="56"/>
      <c r="N94" s="52"/>
      <c r="AD94" s="100" t="s">
        <v>97</v>
      </c>
      <c r="AE94" s="87">
        <f ca="1">IF(AND(OPBIT = "11", ADDRESSX = AE85, ADDRESSY = AD94), _xlfn.CONCAT(DATABIT4, DATABIT3, DATABIT2, DATABIT1), AE94)</f>
        <v>0</v>
      </c>
      <c r="AF94" s="87">
        <f ca="1">IF(AND(OPBIT = "11", ADDRESSX = AF85, ADDRESSY = AD94), _xlfn.CONCAT(DATABIT4, DATABIT3, DATABIT2, DATABIT1), AF94)</f>
        <v>0</v>
      </c>
      <c r="AG94" s="87">
        <f ca="1">IF(AND(OPBIT = "11", ADDRESSX = AG85, ADDRESSY = AD94), _xlfn.CONCAT(DATABIT4, DATABIT3, DATABIT2, DATABIT1), AG94)</f>
        <v>0</v>
      </c>
      <c r="AH94" s="87">
        <f ca="1">IF(AND(OPBIT = "11", ADDRESSX = AH85, ADDRESSY = AD94), _xlfn.CONCAT(DATABIT4, DATABIT3, DATABIT2, DATABIT1), AH94)</f>
        <v>0</v>
      </c>
      <c r="AI94" s="87">
        <f ca="1">IF(AND(OPBIT = "11", ADDRESSX = AI85, ADDRESSY = AD94), _xlfn.CONCAT(DATABIT4, DATABIT3, DATABIT2, DATABIT1), AI94)</f>
        <v>0</v>
      </c>
      <c r="AJ94" s="87">
        <f ca="1">IF(AND(OPBIT = "11", ADDRESSX = AJ85, ADDRESSY = AD94), _xlfn.CONCAT(DATABIT4, DATABIT3, DATABIT2, DATABIT1), AJ94)</f>
        <v>0</v>
      </c>
      <c r="AK94" s="87">
        <f ca="1">IF(AND(OPBIT = "11", ADDRESSX = AK85, ADDRESSY = AD94), _xlfn.CONCAT(DATABIT4, DATABIT3, DATABIT2, DATABIT1), AK94)</f>
        <v>0</v>
      </c>
      <c r="AL94" s="87">
        <f ca="1">IF(AND(OPBIT = "11", ADDRESSX = AL85, ADDRESSY = AD94), _xlfn.CONCAT(DATABIT4, DATABIT3, DATABIT2, DATABIT1), AL94)</f>
        <v>0</v>
      </c>
      <c r="AM94" s="87">
        <f t="shared" ca="1" si="0"/>
        <v>0</v>
      </c>
      <c r="AN94" s="87">
        <f t="shared" ca="1" si="1"/>
        <v>0</v>
      </c>
      <c r="AO94" s="87">
        <f t="shared" ca="1" si="2"/>
        <v>0</v>
      </c>
      <c r="AP94" s="87">
        <f t="shared" ca="1" si="3"/>
        <v>0</v>
      </c>
      <c r="AQ94" s="87">
        <f t="shared" ca="1" si="4"/>
        <v>0</v>
      </c>
      <c r="AR94" s="87">
        <f t="shared" ca="1" si="5"/>
        <v>0</v>
      </c>
      <c r="AS94" s="87">
        <f t="shared" ca="1" si="6"/>
        <v>0</v>
      </c>
      <c r="AT94" s="87">
        <f t="shared" ca="1" si="7"/>
        <v>0</v>
      </c>
    </row>
    <row r="95" spans="4:46" ht="15" customHeight="1" x14ac:dyDescent="0.3">
      <c r="N95" s="70"/>
      <c r="AD95" s="100" t="s">
        <v>71</v>
      </c>
      <c r="AE95" s="87">
        <f ca="1">IF(AND(OPBIT = "11", ADDRESSX = AE85, ADDRESSY = AD95), _xlfn.CONCAT(DATABIT4, DATABIT3, DATABIT2, DATABIT1), AE95)</f>
        <v>0</v>
      </c>
      <c r="AF95" s="87">
        <f ca="1">IF(AND(OPBIT = "11", ADDRESSX = AF85, ADDRESSY = AD95), _xlfn.CONCAT(DATABIT4, DATABIT3, DATABIT2, DATABIT1), AF95)</f>
        <v>0</v>
      </c>
      <c r="AG95" s="87">
        <f ca="1">IF(AND(OPBIT = "11", ADDRESSX = AG85, ADDRESSY = AD95), _xlfn.CONCAT(DATABIT4, DATABIT3, DATABIT2, DATABIT1), AG95)</f>
        <v>0</v>
      </c>
      <c r="AH95" s="87">
        <f ca="1">IF(AND(OPBIT = "11", ADDRESSX = AH85, ADDRESSY = AD95), _xlfn.CONCAT(DATABIT4, DATABIT3, DATABIT2, DATABIT1), AH95)</f>
        <v>0</v>
      </c>
      <c r="AI95" s="87">
        <f ca="1">IF(AND(OPBIT = "11", ADDRESSX = AI85, ADDRESSY = AD95), _xlfn.CONCAT(DATABIT4, DATABIT3, DATABIT2, DATABIT1), AI95)</f>
        <v>0</v>
      </c>
      <c r="AJ95" s="87">
        <f ca="1">IF(AND(OPBIT = "11", ADDRESSX = AJ85, ADDRESSY = AD95), _xlfn.CONCAT(DATABIT4, DATABIT3, DATABIT2, DATABIT1), AJ95)</f>
        <v>0</v>
      </c>
      <c r="AK95" s="87">
        <f ca="1">IF(AND(OPBIT = "11", ADDRESSX = AK85, ADDRESSY = AD95), _xlfn.CONCAT(DATABIT4, DATABIT3, DATABIT2, DATABIT1), AK95)</f>
        <v>0</v>
      </c>
      <c r="AL95" s="87">
        <f ca="1">IF(AND(OPBIT = "11", ADDRESSX = AL85, ADDRESSY = AD95), _xlfn.CONCAT(DATABIT4, DATABIT3, DATABIT2, DATABIT1), AL95)</f>
        <v>0</v>
      </c>
      <c r="AM95" s="87">
        <f t="shared" ca="1" si="0"/>
        <v>0</v>
      </c>
      <c r="AN95" s="87">
        <f t="shared" ca="1" si="1"/>
        <v>0</v>
      </c>
      <c r="AO95" s="87">
        <f t="shared" ca="1" si="2"/>
        <v>0</v>
      </c>
      <c r="AP95" s="87">
        <f t="shared" ca="1" si="3"/>
        <v>0</v>
      </c>
      <c r="AQ95" s="87">
        <f t="shared" ca="1" si="4"/>
        <v>0</v>
      </c>
      <c r="AR95" s="87">
        <f t="shared" ca="1" si="5"/>
        <v>0</v>
      </c>
      <c r="AS95" s="87">
        <f t="shared" ca="1" si="6"/>
        <v>0</v>
      </c>
      <c r="AT95" s="87">
        <f t="shared" ca="1" si="7"/>
        <v>0</v>
      </c>
    </row>
    <row r="96" spans="4:46" ht="15" customHeight="1" x14ac:dyDescent="0.3">
      <c r="AD96" s="100" t="s">
        <v>98</v>
      </c>
      <c r="AE96" s="87">
        <f ca="1">IF(AND(OPBIT = "11", ADDRESSX = AE85, ADDRESSY = AD96), _xlfn.CONCAT(DATABIT4, DATABIT3, DATABIT2, DATABIT1), AE96)</f>
        <v>0</v>
      </c>
      <c r="AF96" s="87">
        <f ca="1">IF(AND(OPBIT = "11", ADDRESSX = AF85, ADDRESSY = AD96), _xlfn.CONCAT(DATABIT4, DATABIT3, DATABIT2, DATABIT1), AF96)</f>
        <v>0</v>
      </c>
      <c r="AG96" s="87">
        <f ca="1">IF(AND(OPBIT = "11", ADDRESSX = AG85, ADDRESSY = AD96), _xlfn.CONCAT(DATABIT4, DATABIT3, DATABIT2, DATABIT1), AG96)</f>
        <v>0</v>
      </c>
      <c r="AH96" s="87">
        <f ca="1">IF(AND(OPBIT = "11", ADDRESSX = AH85, ADDRESSY = AD96), _xlfn.CONCAT(DATABIT4, DATABIT3, DATABIT2, DATABIT1), AH96)</f>
        <v>0</v>
      </c>
      <c r="AI96" s="87">
        <f ca="1">IF(AND(OPBIT = "11", ADDRESSX = AI85, ADDRESSY = AD96), _xlfn.CONCAT(DATABIT4, DATABIT3, DATABIT2, DATABIT1), AI96)</f>
        <v>0</v>
      </c>
      <c r="AJ96" s="87">
        <f ca="1">IF(AND(OPBIT = "11", ADDRESSX = AJ85, ADDRESSY = AD96), _xlfn.CONCAT(DATABIT4, DATABIT3, DATABIT2, DATABIT1), AJ96)</f>
        <v>0</v>
      </c>
      <c r="AK96" s="87">
        <f ca="1">IF(AND(OPBIT = "11", ADDRESSX = AK85, ADDRESSY = AD96), _xlfn.CONCAT(DATABIT4, DATABIT3, DATABIT2, DATABIT1), AK96)</f>
        <v>0</v>
      </c>
      <c r="AL96" s="87">
        <f ca="1">IF(AND(OPBIT = "11", ADDRESSX = AL85, ADDRESSY = AD96), _xlfn.CONCAT(DATABIT4, DATABIT3, DATABIT2, DATABIT1), AL96)</f>
        <v>0</v>
      </c>
      <c r="AM96" s="87">
        <f t="shared" ca="1" si="0"/>
        <v>0</v>
      </c>
      <c r="AN96" s="87">
        <f t="shared" ca="1" si="1"/>
        <v>0</v>
      </c>
      <c r="AO96" s="87">
        <f t="shared" ca="1" si="2"/>
        <v>0</v>
      </c>
      <c r="AP96" s="87">
        <f t="shared" ca="1" si="3"/>
        <v>0</v>
      </c>
      <c r="AQ96" s="87">
        <f t="shared" ca="1" si="4"/>
        <v>0</v>
      </c>
      <c r="AR96" s="87">
        <f t="shared" ca="1" si="5"/>
        <v>0</v>
      </c>
      <c r="AS96" s="87">
        <f t="shared" ca="1" si="6"/>
        <v>0</v>
      </c>
      <c r="AT96" s="87">
        <f t="shared" ca="1" si="7"/>
        <v>0</v>
      </c>
    </row>
    <row r="97" spans="7:46" ht="15" customHeight="1" x14ac:dyDescent="0.3">
      <c r="G97" s="59"/>
      <c r="H97" s="71">
        <v>0</v>
      </c>
      <c r="I97" s="65"/>
      <c r="J97" s="57">
        <v>0</v>
      </c>
      <c r="K97" s="147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  <c r="AD97" s="100" t="s">
        <v>99</v>
      </c>
      <c r="AE97" s="87">
        <f ca="1">IF(AND(OPBIT = "11", ADDRESSX = AE85, ADDRESSY = AD97), _xlfn.CONCAT(DATABIT4, DATABIT3, DATABIT2, DATABIT1), AE97)</f>
        <v>0</v>
      </c>
      <c r="AF97" s="87">
        <f ca="1">IF(AND(OPBIT = "11", ADDRESSX = AF85, ADDRESSY = AD97), _xlfn.CONCAT(DATABIT4, DATABIT3, DATABIT2, DATABIT1), AF97)</f>
        <v>0</v>
      </c>
      <c r="AG97" s="87">
        <f ca="1">IF(AND(OPBIT = "11", ADDRESSX = AG85, ADDRESSY = AD97), _xlfn.CONCAT(DATABIT4, DATABIT3, DATABIT2, DATABIT1), AG97)</f>
        <v>0</v>
      </c>
      <c r="AH97" s="87">
        <f ca="1">IF(AND(OPBIT = "11", ADDRESSX = AH85, ADDRESSY = AD97), _xlfn.CONCAT(DATABIT4, DATABIT3, DATABIT2, DATABIT1), AH97)</f>
        <v>0</v>
      </c>
      <c r="AI97" s="87">
        <f ca="1">IF(AND(OPBIT = "11", ADDRESSX = AI85, ADDRESSY = AD97), _xlfn.CONCAT(DATABIT4, DATABIT3, DATABIT2, DATABIT1), AI97)</f>
        <v>0</v>
      </c>
      <c r="AJ97" s="87">
        <f ca="1">IF(AND(OPBIT = "11", ADDRESSX = AJ85, ADDRESSY = AD97), _xlfn.CONCAT(DATABIT4, DATABIT3, DATABIT2, DATABIT1), AJ97)</f>
        <v>0</v>
      </c>
      <c r="AK97" s="87">
        <f ca="1">IF(AND(OPBIT = "11", ADDRESSX = AK85, ADDRESSY = AD97), _xlfn.CONCAT(DATABIT4, DATABIT3, DATABIT2, DATABIT1), AK97)</f>
        <v>0</v>
      </c>
      <c r="AL97" s="87">
        <f ca="1">IF(AND(OPBIT = "11", ADDRESSX = AL85, ADDRESSY = AD97), _xlfn.CONCAT(DATABIT4, DATABIT3, DATABIT2, DATABIT1), AL97)</f>
        <v>0</v>
      </c>
      <c r="AM97" s="87">
        <f t="shared" ca="1" si="0"/>
        <v>0</v>
      </c>
      <c r="AN97" s="87">
        <f t="shared" ca="1" si="1"/>
        <v>0</v>
      </c>
      <c r="AO97" s="87">
        <f t="shared" ca="1" si="2"/>
        <v>0</v>
      </c>
      <c r="AP97" s="87">
        <f t="shared" ca="1" si="3"/>
        <v>0</v>
      </c>
      <c r="AQ97" s="87">
        <f t="shared" ca="1" si="4"/>
        <v>0</v>
      </c>
      <c r="AR97" s="87">
        <f t="shared" ca="1" si="5"/>
        <v>0</v>
      </c>
      <c r="AS97" s="87">
        <f t="shared" ca="1" si="6"/>
        <v>0</v>
      </c>
      <c r="AT97" s="87">
        <f t="shared" ca="1" si="7"/>
        <v>0</v>
      </c>
    </row>
    <row r="98" spans="7:46" ht="15" customHeight="1" x14ac:dyDescent="0.3">
      <c r="G98" s="16"/>
      <c r="H98" s="145" t="s">
        <v>54</v>
      </c>
      <c r="I98" s="146"/>
      <c r="J98" s="17"/>
      <c r="K98" s="148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  <c r="AD98" s="100" t="s">
        <v>72</v>
      </c>
      <c r="AE98" s="87">
        <f ca="1">IF(AND(OPBIT = "11", ADDRESSX = AE85, ADDRESSY = AD98), _xlfn.CONCAT(DATABIT4, DATABIT3, DATABIT2, DATABIT1), AE98)</f>
        <v>0</v>
      </c>
      <c r="AF98" s="87">
        <f ca="1">IF(AND(OPBIT = "11", ADDRESSX = AF85, ADDRESSY = AD98), _xlfn.CONCAT(DATABIT4, DATABIT3, DATABIT2, DATABIT1), AF98)</f>
        <v>0</v>
      </c>
      <c r="AG98" s="87">
        <f ca="1">IF(AND(OPBIT = "11", ADDRESSX = AG85, ADDRESSY = AD98), _xlfn.CONCAT(DATABIT4, DATABIT3, DATABIT2, DATABIT1), AG98)</f>
        <v>0</v>
      </c>
      <c r="AH98" s="87">
        <f ca="1">IF(AND(OPBIT = "11", ADDRESSX = AH85, ADDRESSY = AD98), _xlfn.CONCAT(DATABIT4, DATABIT3, DATABIT2, DATABIT1), AH98)</f>
        <v>0</v>
      </c>
      <c r="AI98" s="87">
        <f ca="1">IF(AND(OPBIT = "11", ADDRESSX = AI85, ADDRESSY = AD98), _xlfn.CONCAT(DATABIT4, DATABIT3, DATABIT2, DATABIT1), AI98)</f>
        <v>0</v>
      </c>
      <c r="AJ98" s="87">
        <f ca="1">IF(AND(OPBIT = "11", ADDRESSX = AJ85, ADDRESSY = AD98), _xlfn.CONCAT(DATABIT4, DATABIT3, DATABIT2, DATABIT1), AJ98)</f>
        <v>0</v>
      </c>
      <c r="AK98" s="87">
        <f ca="1">IF(AND(OPBIT = "11", ADDRESSX = AK85, ADDRESSY = AD98), _xlfn.CONCAT(DATABIT4, DATABIT3, DATABIT2, DATABIT1), AK98)</f>
        <v>0</v>
      </c>
      <c r="AL98" s="87">
        <f ca="1">IF(AND(OPBIT = "11", ADDRESSX = AL85, ADDRESSY = AD98), _xlfn.CONCAT(DATABIT4, DATABIT3, DATABIT2, DATABIT1), AL98)</f>
        <v>0</v>
      </c>
      <c r="AM98" s="87">
        <f t="shared" ca="1" si="0"/>
        <v>0</v>
      </c>
      <c r="AN98" s="87">
        <f t="shared" ca="1" si="1"/>
        <v>0</v>
      </c>
      <c r="AO98" s="87">
        <f t="shared" ca="1" si="2"/>
        <v>0</v>
      </c>
      <c r="AP98" s="87">
        <f t="shared" ca="1" si="3"/>
        <v>0</v>
      </c>
      <c r="AQ98" s="87">
        <f t="shared" ca="1" si="4"/>
        <v>0</v>
      </c>
      <c r="AR98" s="87">
        <f t="shared" ca="1" si="5"/>
        <v>0</v>
      </c>
      <c r="AS98" s="87">
        <f t="shared" ca="1" si="6"/>
        <v>0</v>
      </c>
      <c r="AT98" s="87">
        <f t="shared" ca="1" si="7"/>
        <v>0</v>
      </c>
    </row>
    <row r="99" spans="7:46" ht="15" customHeight="1" x14ac:dyDescent="0.3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  <c r="AD99" s="100" t="s">
        <v>100</v>
      </c>
      <c r="AE99" s="87">
        <f ca="1">IF(AND(OPBIT = "11", ADDRESSX = AE85, ADDRESSY = AD99), _xlfn.CONCAT(DATABIT4, DATABIT3, DATABIT2, DATABIT1), AE99)</f>
        <v>0</v>
      </c>
      <c r="AF99" s="87">
        <f ca="1">IF(AND(OPBIT = "11", ADDRESSX = AF85, ADDRESSY = AD99), _xlfn.CONCAT(DATABIT4, DATABIT3, DATABIT2, DATABIT1), AF99)</f>
        <v>0</v>
      </c>
      <c r="AG99" s="87">
        <f ca="1">IF(AND(OPBIT = "11", ADDRESSX = AG85, ADDRESSY = AD99), _xlfn.CONCAT(DATABIT4, DATABIT3, DATABIT2, DATABIT1), AG99)</f>
        <v>0</v>
      </c>
      <c r="AH99" s="87">
        <f ca="1">IF(AND(OPBIT = "11", ADDRESSX = AH85, ADDRESSY = AD99), _xlfn.CONCAT(DATABIT4, DATABIT3, DATABIT2, DATABIT1), AH99)</f>
        <v>0</v>
      </c>
      <c r="AI99" s="87">
        <f ca="1">IF(AND(OPBIT = "11", ADDRESSX = AI85, ADDRESSY = AD99), _xlfn.CONCAT(DATABIT4, DATABIT3, DATABIT2, DATABIT1), AI99)</f>
        <v>0</v>
      </c>
      <c r="AJ99" s="87">
        <f ca="1">IF(AND(OPBIT = "11", ADDRESSX = AJ85, ADDRESSY = AD99), _xlfn.CONCAT(DATABIT4, DATABIT3, DATABIT2, DATABIT1), AJ99)</f>
        <v>0</v>
      </c>
      <c r="AK99" s="87">
        <f ca="1">IF(AND(OPBIT = "11", ADDRESSX = AK85, ADDRESSY = AD99), _xlfn.CONCAT(DATABIT4, DATABIT3, DATABIT2, DATABIT1), AK99)</f>
        <v>0</v>
      </c>
      <c r="AL99" s="87">
        <f ca="1">IF(AND(OPBIT = "11", ADDRESSX = AL85, ADDRESSY = AD99), _xlfn.CONCAT(DATABIT4, DATABIT3, DATABIT2, DATABIT1), AL99)</f>
        <v>0</v>
      </c>
      <c r="AM99" s="87">
        <f t="shared" ca="1" si="0"/>
        <v>0</v>
      </c>
      <c r="AN99" s="87">
        <f t="shared" ca="1" si="1"/>
        <v>0</v>
      </c>
      <c r="AO99" s="87">
        <f t="shared" ca="1" si="2"/>
        <v>0</v>
      </c>
      <c r="AP99" s="87">
        <f t="shared" ca="1" si="3"/>
        <v>0</v>
      </c>
      <c r="AQ99" s="87">
        <f t="shared" ca="1" si="4"/>
        <v>0</v>
      </c>
      <c r="AR99" s="87">
        <f t="shared" ca="1" si="5"/>
        <v>0</v>
      </c>
      <c r="AS99" s="87">
        <f t="shared" ca="1" si="6"/>
        <v>0</v>
      </c>
      <c r="AT99" s="87">
        <f t="shared" ca="1" si="7"/>
        <v>0</v>
      </c>
    </row>
    <row r="100" spans="7:46" ht="15" customHeight="1" x14ac:dyDescent="0.3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05" t="s">
        <v>30</v>
      </c>
      <c r="Q100" s="13"/>
      <c r="R100" s="64"/>
      <c r="S100" s="65"/>
      <c r="T100" s="65"/>
      <c r="U100" s="65"/>
      <c r="V100" s="65"/>
      <c r="W100" s="65"/>
      <c r="X100" s="110" t="s">
        <v>36</v>
      </c>
      <c r="Y100" s="13"/>
      <c r="Z100" s="22"/>
      <c r="AA100" s="37"/>
      <c r="AD100" s="100" t="s">
        <v>101</v>
      </c>
      <c r="AE100" s="87">
        <f ca="1">IF(AND(OPBIT = "11", ADDRESSX = AE85, ADDRESSY = AD100), _xlfn.CONCAT(DATABIT4, DATABIT3, DATABIT2, DATABIT1), AE100)</f>
        <v>0</v>
      </c>
      <c r="AF100" s="87">
        <f ca="1">IF(AND(OPBIT = "11", ADDRESSX = AF85, ADDRESSY = AD100), _xlfn.CONCAT(DATABIT4, DATABIT3, DATABIT2, DATABIT1), AF100)</f>
        <v>0</v>
      </c>
      <c r="AG100" s="87">
        <f ca="1">IF(AND(OPBIT = "11", ADDRESSX = AG85, ADDRESSY = AD100), _xlfn.CONCAT(DATABIT4, DATABIT3, DATABIT2, DATABIT1), AG100)</f>
        <v>0</v>
      </c>
      <c r="AH100" s="87">
        <f ca="1">IF(AND(OPBIT = "11", ADDRESSX = AH85, ADDRESSY = AD100), _xlfn.CONCAT(DATABIT4, DATABIT3, DATABIT2, DATABIT1), AH100)</f>
        <v>0</v>
      </c>
      <c r="AI100" s="87">
        <f ca="1">IF(AND(OPBIT = "11", ADDRESSX = AI85, ADDRESSY = AD100), _xlfn.CONCAT(DATABIT4, DATABIT3, DATABIT2, DATABIT1), AI100)</f>
        <v>0</v>
      </c>
      <c r="AJ100" s="87">
        <f ca="1">IF(AND(OPBIT = "11", ADDRESSX = AJ85, ADDRESSY = AD100), _xlfn.CONCAT(DATABIT4, DATABIT3, DATABIT2, DATABIT1), AJ100)</f>
        <v>0</v>
      </c>
      <c r="AK100" s="87">
        <f ca="1">IF(AND(OPBIT = "11", ADDRESSX = AK85, ADDRESSY = AD100), _xlfn.CONCAT(DATABIT4, DATABIT3, DATABIT2, DATABIT1), AK100)</f>
        <v>0</v>
      </c>
      <c r="AL100" s="87">
        <f ca="1">IF(AND(OPBIT = "11", ADDRESSX = AL85, ADDRESSY = AD100), _xlfn.CONCAT(DATABIT4, DATABIT3, DATABIT2, DATABIT1), AL100)</f>
        <v>0</v>
      </c>
      <c r="AM100" s="87">
        <f t="shared" ca="1" si="0"/>
        <v>0</v>
      </c>
      <c r="AN100" s="87">
        <f t="shared" ca="1" si="1"/>
        <v>0</v>
      </c>
      <c r="AO100" s="87">
        <f t="shared" ca="1" si="2"/>
        <v>0</v>
      </c>
      <c r="AP100" s="87">
        <f t="shared" ca="1" si="3"/>
        <v>0</v>
      </c>
      <c r="AQ100" s="87">
        <f t="shared" ca="1" si="4"/>
        <v>0</v>
      </c>
      <c r="AR100" s="87">
        <f t="shared" ca="1" si="5"/>
        <v>0</v>
      </c>
      <c r="AS100" s="87">
        <f t="shared" ca="1" si="6"/>
        <v>0</v>
      </c>
      <c r="AT100" s="87">
        <f t="shared" ca="1" si="7"/>
        <v>0</v>
      </c>
    </row>
    <row r="101" spans="7:46" ht="15" customHeight="1" x14ac:dyDescent="0.3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04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11"/>
      <c r="Y101" s="13"/>
      <c r="Z101" s="22"/>
      <c r="AA101" s="37"/>
      <c r="AD101" s="100" t="s">
        <v>102</v>
      </c>
      <c r="AE101" s="87">
        <f ca="1">IF(AND(OPBIT = "11", ADDRESSX = AE85, ADDRESSY = AD101), _xlfn.CONCAT(DATABIT4, DATABIT3, DATABIT2, DATABIT1), AE101)</f>
        <v>0</v>
      </c>
      <c r="AF101" s="87">
        <f ca="1">IF(AND(OPBIT = "11", ADDRESSX = AF85, ADDRESSY = AD101), _xlfn.CONCAT(DATABIT4, DATABIT3, DATABIT2, DATABIT1), AF101)</f>
        <v>0</v>
      </c>
      <c r="AG101" s="87">
        <f ca="1">IF(AND(OPBIT = "11", ADDRESSX = AG85, ADDRESSY = AD101), _xlfn.CONCAT(DATABIT4, DATABIT3, DATABIT2, DATABIT1), AG101)</f>
        <v>0</v>
      </c>
      <c r="AH101" s="87">
        <f ca="1">IF(AND(OPBIT = "11", ADDRESSX = AH85, ADDRESSY = AD101), _xlfn.CONCAT(DATABIT4, DATABIT3, DATABIT2, DATABIT1), AH101)</f>
        <v>0</v>
      </c>
      <c r="AI101" s="87">
        <f ca="1">IF(AND(OPBIT = "11", ADDRESSX = AI85, ADDRESSY = AD101), _xlfn.CONCAT(DATABIT4, DATABIT3, DATABIT2, DATABIT1), AI101)</f>
        <v>0</v>
      </c>
      <c r="AJ101" s="87">
        <f ca="1">IF(AND(OPBIT = "11", ADDRESSX = AJ85, ADDRESSY = AD101), _xlfn.CONCAT(DATABIT4, DATABIT3, DATABIT2, DATABIT1), AJ101)</f>
        <v>0</v>
      </c>
      <c r="AK101" s="87">
        <f ca="1">IF(AND(OPBIT = "11", ADDRESSX = AK85, ADDRESSY = AD101), _xlfn.CONCAT(DATABIT4, DATABIT3, DATABIT2, DATABIT1), AK101)</f>
        <v>0</v>
      </c>
      <c r="AL101" s="87">
        <f ca="1">IF(AND(OPBIT = "11", ADDRESSX = AL85, ADDRESSY = AD101), _xlfn.CONCAT(DATABIT4, DATABIT3, DATABIT2, DATABIT1), AL101)</f>
        <v>0</v>
      </c>
      <c r="AM101" s="87">
        <f t="shared" ca="1" si="0"/>
        <v>0</v>
      </c>
      <c r="AN101" s="87">
        <f t="shared" ca="1" si="1"/>
        <v>0</v>
      </c>
      <c r="AO101" s="87">
        <f t="shared" ca="1" si="2"/>
        <v>0</v>
      </c>
      <c r="AP101" s="87">
        <f t="shared" ca="1" si="3"/>
        <v>0</v>
      </c>
      <c r="AQ101" s="87">
        <f t="shared" ca="1" si="4"/>
        <v>0</v>
      </c>
      <c r="AR101" s="87">
        <f t="shared" ca="1" si="5"/>
        <v>0</v>
      </c>
      <c r="AS101" s="87">
        <f t="shared" ca="1" si="6"/>
        <v>0</v>
      </c>
      <c r="AT101" s="87">
        <f t="shared" ca="1" si="7"/>
        <v>0</v>
      </c>
    </row>
    <row r="102" spans="7:46" ht="15" customHeight="1" x14ac:dyDescent="0.3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06"/>
      <c r="Q102" s="13"/>
      <c r="R102" s="66"/>
      <c r="S102" s="67"/>
      <c r="T102" s="67"/>
      <c r="U102" s="67"/>
      <c r="V102" s="67"/>
      <c r="W102" s="67"/>
      <c r="X102" s="111"/>
      <c r="Y102" s="13"/>
      <c r="Z102" s="22"/>
      <c r="AA102" s="37"/>
      <c r="AE102" t="s">
        <v>106</v>
      </c>
      <c r="AF102" t="s">
        <v>106</v>
      </c>
      <c r="AG102" t="s">
        <v>106</v>
      </c>
      <c r="AH102" t="s">
        <v>106</v>
      </c>
      <c r="AI102" t="s">
        <v>106</v>
      </c>
      <c r="AJ102" t="s">
        <v>106</v>
      </c>
      <c r="AK102" t="s">
        <v>106</v>
      </c>
      <c r="AL102" t="s">
        <v>106</v>
      </c>
    </row>
    <row r="103" spans="7:46" ht="15" customHeight="1" x14ac:dyDescent="0.3">
      <c r="G103" s="16"/>
      <c r="H103" s="16"/>
      <c r="I103" s="15"/>
      <c r="J103" s="13"/>
      <c r="K103" s="13"/>
      <c r="L103" s="13"/>
      <c r="M103" s="13"/>
      <c r="N103" s="107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13" t="s">
        <v>53</v>
      </c>
    </row>
    <row r="104" spans="7:46" ht="15" customHeight="1" x14ac:dyDescent="0.3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08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13"/>
    </row>
    <row r="105" spans="7:46" ht="15" customHeight="1" x14ac:dyDescent="0.3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09"/>
      <c r="O105" s="17"/>
      <c r="P105" s="14"/>
      <c r="Q105" s="13"/>
      <c r="R105" s="64"/>
      <c r="S105" s="65"/>
      <c r="T105" s="65"/>
      <c r="U105" s="65"/>
      <c r="V105" s="65"/>
      <c r="W105" s="65"/>
      <c r="X105" s="112" t="s">
        <v>35</v>
      </c>
      <c r="Y105" s="13"/>
      <c r="Z105" s="22"/>
      <c r="AA105" s="113"/>
    </row>
    <row r="106" spans="7:46" ht="15" customHeight="1" x14ac:dyDescent="0.3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13"/>
      <c r="Y106" s="13"/>
      <c r="Z106" s="22"/>
      <c r="AA106" s="37"/>
    </row>
    <row r="107" spans="7:46" ht="15" customHeight="1" x14ac:dyDescent="0.3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13"/>
      <c r="Y107" s="13"/>
      <c r="Z107" s="22"/>
      <c r="AA107" s="37"/>
    </row>
    <row r="108" spans="7:46" ht="15" customHeight="1" x14ac:dyDescent="0.3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46" ht="15" customHeight="1" x14ac:dyDescent="0.3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46" ht="15" customHeight="1" x14ac:dyDescent="0.3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46" ht="15" customHeight="1" x14ac:dyDescent="0.3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46" ht="15" customHeight="1" x14ac:dyDescent="0.3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3">
      <c r="G113" s="16"/>
      <c r="H113" s="16"/>
      <c r="I113" s="15"/>
      <c r="J113" s="13"/>
      <c r="K113" s="13"/>
      <c r="L113" s="13"/>
      <c r="M113" s="13"/>
      <c r="N113" s="107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3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08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3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09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3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02" t="s">
        <v>50</v>
      </c>
      <c r="AA116" s="37"/>
    </row>
    <row r="117" spans="7:27" ht="15" customHeight="1" x14ac:dyDescent="0.3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03"/>
      <c r="AA117" s="37"/>
    </row>
    <row r="118" spans="7:27" ht="15" customHeight="1" x14ac:dyDescent="0.3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04"/>
      <c r="AA118" s="37"/>
    </row>
    <row r="119" spans="7:27" ht="15" customHeight="1" x14ac:dyDescent="0.3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3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3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3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3">
      <c r="G123" s="16"/>
      <c r="H123" s="16"/>
      <c r="I123" s="15"/>
      <c r="J123" s="13"/>
      <c r="K123" s="13"/>
      <c r="L123" s="13"/>
      <c r="M123" s="13"/>
      <c r="N123" s="107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3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08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3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09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3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3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3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3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3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3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3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3">
      <c r="G133" s="16"/>
      <c r="H133" s="16"/>
      <c r="I133" s="15"/>
      <c r="J133" s="13"/>
      <c r="K133" s="13"/>
      <c r="L133" s="13"/>
      <c r="M133" s="13"/>
      <c r="N133" s="107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3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08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02" t="s">
        <v>50</v>
      </c>
      <c r="AA134" s="37"/>
    </row>
    <row r="135" spans="7:27" ht="15" customHeight="1" x14ac:dyDescent="0.3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09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03"/>
      <c r="AA135" s="37"/>
    </row>
    <row r="136" spans="7:27" ht="15" customHeight="1" x14ac:dyDescent="0.3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04"/>
      <c r="AA136" s="37"/>
    </row>
    <row r="137" spans="7:27" ht="15" customHeight="1" x14ac:dyDescent="0.3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3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3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3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3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3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3">
      <c r="G143" s="16"/>
      <c r="H143" s="16"/>
      <c r="I143" s="1">
        <f>IF(_xlfn.XOR(K139 = 1, K129 = 1), 1, 0)</f>
        <v>0</v>
      </c>
      <c r="J143" s="114" t="s">
        <v>32</v>
      </c>
      <c r="K143" s="115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3">
      <c r="G144" s="16"/>
      <c r="H144" s="31"/>
      <c r="I144" s="28">
        <f>K139</f>
        <v>0</v>
      </c>
      <c r="J144" s="116" t="s">
        <v>33</v>
      </c>
      <c r="K144" s="117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3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3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3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3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3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3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3">
      <c r="G151" s="40"/>
      <c r="H151" s="39"/>
      <c r="I151" s="39"/>
      <c r="J151" s="46">
        <f>S144</f>
        <v>0</v>
      </c>
      <c r="K151" s="144" t="s">
        <v>52</v>
      </c>
      <c r="L151" s="144"/>
      <c r="M151" s="28">
        <f>I144</f>
        <v>0</v>
      </c>
      <c r="N151" s="116" t="s">
        <v>33</v>
      </c>
      <c r="O151" s="117"/>
      <c r="P151" s="28">
        <f>I143</f>
        <v>0</v>
      </c>
      <c r="Q151" s="116" t="s">
        <v>32</v>
      </c>
      <c r="R151" s="117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3">
      <c r="P153" s="70" t="s">
        <v>45</v>
      </c>
    </row>
  </sheetData>
  <mergeCells count="42"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  <mergeCell ref="Z134:Z136"/>
    <mergeCell ref="N133:N135"/>
    <mergeCell ref="G85:J85"/>
    <mergeCell ref="W51:W53"/>
    <mergeCell ref="AG42:AG44"/>
    <mergeCell ref="W41:W43"/>
    <mergeCell ref="N48:N50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</mergeCells>
  <conditionalFormatting sqref="A1 U12:V12">
    <cfRule type="cellIs" dxfId="487" priority="422" operator="equal">
      <formula>0</formula>
    </cfRule>
    <cfRule type="cellIs" dxfId="486" priority="423" operator="equal">
      <formula>1</formula>
    </cfRule>
  </conditionalFormatting>
  <conditionalFormatting sqref="A3">
    <cfRule type="cellIs" dxfId="485" priority="425" operator="equal">
      <formula>1</formula>
    </cfRule>
    <cfRule type="cellIs" dxfId="484" priority="424" operator="equal">
      <formula>0</formula>
    </cfRule>
  </conditionalFormatting>
  <conditionalFormatting sqref="A5">
    <cfRule type="cellIs" dxfId="483" priority="427" operator="equal">
      <formula>1</formula>
    </cfRule>
    <cfRule type="cellIs" dxfId="482" priority="426" operator="equal">
      <formula>0</formula>
    </cfRule>
  </conditionalFormatting>
  <conditionalFormatting sqref="A7">
    <cfRule type="cellIs" dxfId="481" priority="428" operator="equal">
      <formula>0</formula>
    </cfRule>
    <cfRule type="cellIs" dxfId="480" priority="429" operator="equal">
      <formula>1</formula>
    </cfRule>
  </conditionalFormatting>
  <conditionalFormatting sqref="A9">
    <cfRule type="cellIs" dxfId="479" priority="430" operator="equal">
      <formula>0</formula>
    </cfRule>
    <cfRule type="cellIs" dxfId="478" priority="431" operator="equal">
      <formula>1</formula>
    </cfRule>
  </conditionalFormatting>
  <conditionalFormatting sqref="A11 R71:R72">
    <cfRule type="cellIs" dxfId="477" priority="432" operator="equal">
      <formula>0</formula>
    </cfRule>
    <cfRule type="cellIs" dxfId="476" priority="433" operator="equal">
      <formula>1</formula>
    </cfRule>
  </conditionalFormatting>
  <conditionalFormatting sqref="A13">
    <cfRule type="cellIs" dxfId="475" priority="434" operator="equal">
      <formula>0</formula>
    </cfRule>
    <cfRule type="cellIs" dxfId="474" priority="435" operator="equal">
      <formula>1</formula>
    </cfRule>
  </conditionalFormatting>
  <conditionalFormatting sqref="A15">
    <cfRule type="cellIs" dxfId="473" priority="436" operator="equal">
      <formula>0</formula>
    </cfRule>
    <cfRule type="cellIs" dxfId="472" priority="437" operator="equal">
      <formula>1</formula>
    </cfRule>
  </conditionalFormatting>
  <conditionalFormatting sqref="A17">
    <cfRule type="cellIs" dxfId="471" priority="439" operator="equal">
      <formula>1</formula>
    </cfRule>
    <cfRule type="cellIs" dxfId="470" priority="438" operator="equal">
      <formula>0</formula>
    </cfRule>
  </conditionalFormatting>
  <conditionalFormatting sqref="A19">
    <cfRule type="cellIs" dxfId="469" priority="441" operator="equal">
      <formula>1</formula>
    </cfRule>
    <cfRule type="cellIs" dxfId="468" priority="440" operator="equal">
      <formula>0</formula>
    </cfRule>
  </conditionalFormatting>
  <conditionalFormatting sqref="A21">
    <cfRule type="cellIs" dxfId="467" priority="443" operator="equal">
      <formula>1</formula>
    </cfRule>
    <cfRule type="cellIs" dxfId="466" priority="442" operator="equal">
      <formula>0</formula>
    </cfRule>
  </conditionalFormatting>
  <conditionalFormatting sqref="C1">
    <cfRule type="cellIs" dxfId="465" priority="445" operator="equal">
      <formula>1</formula>
    </cfRule>
    <cfRule type="cellIs" dxfId="464" priority="444" operator="equal">
      <formula>0</formula>
    </cfRule>
  </conditionalFormatting>
  <conditionalFormatting sqref="C3">
    <cfRule type="cellIs" dxfId="463" priority="447" operator="equal">
      <formula>1</formula>
    </cfRule>
    <cfRule type="cellIs" dxfId="462" priority="446" operator="equal">
      <formula>0</formula>
    </cfRule>
  </conditionalFormatting>
  <conditionalFormatting sqref="E1">
    <cfRule type="cellIs" dxfId="461" priority="449" operator="equal">
      <formula>1</formula>
    </cfRule>
    <cfRule type="cellIs" dxfId="460" priority="448" operator="equal">
      <formula>0</formula>
    </cfRule>
  </conditionalFormatting>
  <conditionalFormatting sqref="F87">
    <cfRule type="cellIs" dxfId="459" priority="56" operator="equal">
      <formula>0</formula>
    </cfRule>
    <cfRule type="cellIs" dxfId="458" priority="57" operator="equal">
      <formula>1</formula>
    </cfRule>
  </conditionalFormatting>
  <conditionalFormatting sqref="F91:I94">
    <cfRule type="containsText" dxfId="457" priority="39" operator="containsText" text="0000">
      <formula>NOT(ISERROR(SEARCH("0000",F91)))</formula>
    </cfRule>
    <cfRule type="cellIs" dxfId="456" priority="40" operator="greaterThan">
      <formula>0</formula>
    </cfRule>
  </conditionalFormatting>
  <conditionalFormatting sqref="G12">
    <cfRule type="cellIs" dxfId="455" priority="450" operator="equal">
      <formula>0</formula>
    </cfRule>
    <cfRule type="cellIs" dxfId="454" priority="451" operator="equal">
      <formula>1</formula>
    </cfRule>
  </conditionalFormatting>
  <conditionalFormatting sqref="G14">
    <cfRule type="cellIs" dxfId="453" priority="453" operator="equal">
      <formula>1</formula>
    </cfRule>
    <cfRule type="cellIs" dxfId="452" priority="452" operator="equal">
      <formula>0</formula>
    </cfRule>
  </conditionalFormatting>
  <conditionalFormatting sqref="H20">
    <cfRule type="cellIs" dxfId="451" priority="513" operator="equal">
      <formula>1</formula>
    </cfRule>
    <cfRule type="cellIs" dxfId="450" priority="512" operator="equal">
      <formula>0</formula>
    </cfRule>
  </conditionalFormatting>
  <conditionalFormatting sqref="H32">
    <cfRule type="cellIs" dxfId="449" priority="536" operator="equal">
      <formula>0</formula>
    </cfRule>
    <cfRule type="cellIs" dxfId="448" priority="537" operator="equal">
      <formula>1</formula>
    </cfRule>
  </conditionalFormatting>
  <conditionalFormatting sqref="H44">
    <cfRule type="cellIs" dxfId="447" priority="561" operator="equal">
      <formula>1</formula>
    </cfRule>
    <cfRule type="cellIs" dxfId="446" priority="560" operator="equal">
      <formula>0</formula>
    </cfRule>
  </conditionalFormatting>
  <conditionalFormatting sqref="H56">
    <cfRule type="cellIs" dxfId="445" priority="584" operator="equal">
      <formula>0</formula>
    </cfRule>
    <cfRule type="cellIs" dxfId="444" priority="585" operator="equal">
      <formula>1</formula>
    </cfRule>
  </conditionalFormatting>
  <conditionalFormatting sqref="H68">
    <cfRule type="cellIs" dxfId="443" priority="601" operator="equal">
      <formula>1</formula>
    </cfRule>
    <cfRule type="cellIs" dxfId="442" priority="600" operator="equal">
      <formula>0</formula>
    </cfRule>
  </conditionalFormatting>
  <conditionalFormatting sqref="H97">
    <cfRule type="cellIs" dxfId="441" priority="211" operator="equal">
      <formula>1</formula>
    </cfRule>
    <cfRule type="cellIs" dxfId="440" priority="210" operator="equal">
      <formula>0</formula>
    </cfRule>
  </conditionalFormatting>
  <conditionalFormatting sqref="H16:K17">
    <cfRule type="cellIs" dxfId="439" priority="598" operator="equal">
      <formula>0</formula>
    </cfRule>
    <cfRule type="cellIs" dxfId="438" priority="599" operator="equal">
      <formula>1</formula>
    </cfRule>
  </conditionalFormatting>
  <conditionalFormatting sqref="H87:K89">
    <cfRule type="cellIs" dxfId="437" priority="32" operator="greaterThanOrEqual">
      <formula>1</formula>
    </cfRule>
    <cfRule type="cellIs" dxfId="436" priority="31" operator="equal">
      <formula>0</formula>
    </cfRule>
  </conditionalFormatting>
  <conditionalFormatting sqref="I12">
    <cfRule type="cellIs" dxfId="435" priority="459" operator="equal">
      <formula>1</formula>
    </cfRule>
    <cfRule type="cellIs" dxfId="434" priority="458" operator="equal">
      <formula>0</formula>
    </cfRule>
  </conditionalFormatting>
  <conditionalFormatting sqref="I14">
    <cfRule type="cellIs" dxfId="433" priority="461" operator="equal">
      <formula>1</formula>
    </cfRule>
    <cfRule type="cellIs" dxfId="432" priority="460" operator="equal">
      <formula>0</formula>
    </cfRule>
  </conditionalFormatting>
  <conditionalFormatting sqref="I23">
    <cfRule type="cellIs" dxfId="431" priority="503" operator="equal">
      <formula>1</formula>
    </cfRule>
    <cfRule type="cellIs" dxfId="430" priority="502" operator="equal">
      <formula>0</formula>
    </cfRule>
  </conditionalFormatting>
  <conditionalFormatting sqref="I25">
    <cfRule type="cellIs" dxfId="429" priority="511" operator="equal">
      <formula>1</formula>
    </cfRule>
    <cfRule type="cellIs" dxfId="428" priority="510" operator="equal">
      <formula>0</formula>
    </cfRule>
  </conditionalFormatting>
  <conditionalFormatting sqref="I28">
    <cfRule type="cellIs" dxfId="427" priority="518" operator="equal">
      <formula>0</formula>
    </cfRule>
    <cfRule type="cellIs" dxfId="426" priority="519" operator="equal">
      <formula>1</formula>
    </cfRule>
  </conditionalFormatting>
  <conditionalFormatting sqref="I30">
    <cfRule type="cellIs" dxfId="425" priority="524" operator="equal">
      <formula>0</formula>
    </cfRule>
    <cfRule type="cellIs" dxfId="424" priority="525" operator="equal">
      <formula>1</formula>
    </cfRule>
  </conditionalFormatting>
  <conditionalFormatting sqref="I35">
    <cfRule type="cellIs" dxfId="423" priority="527" operator="equal">
      <formula>1</formula>
    </cfRule>
    <cfRule type="cellIs" dxfId="422" priority="526" operator="equal">
      <formula>0</formula>
    </cfRule>
  </conditionalFormatting>
  <conditionalFormatting sqref="I37">
    <cfRule type="cellIs" dxfId="421" priority="535" operator="equal">
      <formula>1</formula>
    </cfRule>
    <cfRule type="cellIs" dxfId="420" priority="534" operator="equal">
      <formula>0</formula>
    </cfRule>
  </conditionalFormatting>
  <conditionalFormatting sqref="I40">
    <cfRule type="cellIs" dxfId="419" priority="543" operator="equal">
      <formula>1</formula>
    </cfRule>
    <cfRule type="cellIs" dxfId="418" priority="542" operator="equal">
      <formula>0</formula>
    </cfRule>
  </conditionalFormatting>
  <conditionalFormatting sqref="I42">
    <cfRule type="cellIs" dxfId="417" priority="549" operator="equal">
      <formula>1</formula>
    </cfRule>
    <cfRule type="cellIs" dxfId="416" priority="548" operator="equal">
      <formula>0</formula>
    </cfRule>
  </conditionalFormatting>
  <conditionalFormatting sqref="I47">
    <cfRule type="cellIs" dxfId="415" priority="551" operator="equal">
      <formula>1</formula>
    </cfRule>
    <cfRule type="cellIs" dxfId="414" priority="550" operator="equal">
      <formula>0</formula>
    </cfRule>
  </conditionalFormatting>
  <conditionalFormatting sqref="I49">
    <cfRule type="cellIs" dxfId="413" priority="558" operator="equal">
      <formula>0</formula>
    </cfRule>
    <cfRule type="cellIs" dxfId="412" priority="559" operator="equal">
      <formula>1</formula>
    </cfRule>
  </conditionalFormatting>
  <conditionalFormatting sqref="I52">
    <cfRule type="cellIs" dxfId="411" priority="566" operator="equal">
      <formula>0</formula>
    </cfRule>
    <cfRule type="cellIs" dxfId="410" priority="567" operator="equal">
      <formula>1</formula>
    </cfRule>
  </conditionalFormatting>
  <conditionalFormatting sqref="I54">
    <cfRule type="cellIs" dxfId="409" priority="573" operator="equal">
      <formula>1</formula>
    </cfRule>
    <cfRule type="cellIs" dxfId="408" priority="572" operator="equal">
      <formula>0</formula>
    </cfRule>
  </conditionalFormatting>
  <conditionalFormatting sqref="I59">
    <cfRule type="cellIs" dxfId="407" priority="574" operator="equal">
      <formula>0</formula>
    </cfRule>
    <cfRule type="cellIs" dxfId="406" priority="575" operator="equal">
      <formula>1</formula>
    </cfRule>
  </conditionalFormatting>
  <conditionalFormatting sqref="I61">
    <cfRule type="cellIs" dxfId="405" priority="583" operator="equal">
      <formula>1</formula>
    </cfRule>
    <cfRule type="cellIs" dxfId="404" priority="582" operator="equal">
      <formula>0</formula>
    </cfRule>
  </conditionalFormatting>
  <conditionalFormatting sqref="I64">
    <cfRule type="cellIs" dxfId="403" priority="591" operator="equal">
      <formula>1</formula>
    </cfRule>
    <cfRule type="cellIs" dxfId="402" priority="590" operator="equal">
      <formula>0</formula>
    </cfRule>
  </conditionalFormatting>
  <conditionalFormatting sqref="I66">
    <cfRule type="cellIs" dxfId="401" priority="597" operator="equal">
      <formula>1</formula>
    </cfRule>
    <cfRule type="cellIs" dxfId="400" priority="596" operator="equal">
      <formula>0</formula>
    </cfRule>
  </conditionalFormatting>
  <conditionalFormatting sqref="I143:I144">
    <cfRule type="cellIs" dxfId="399" priority="148" operator="equal">
      <formula>0</formula>
    </cfRule>
    <cfRule type="cellIs" dxfId="398" priority="149" operator="equal">
      <formula>1</formula>
    </cfRule>
  </conditionalFormatting>
  <conditionalFormatting sqref="J4:J5">
    <cfRule type="cellIs" dxfId="397" priority="466" operator="equal">
      <formula>0</formula>
    </cfRule>
    <cfRule type="cellIs" dxfId="396" priority="467" operator="equal">
      <formula>1</formula>
    </cfRule>
  </conditionalFormatting>
  <conditionalFormatting sqref="J7">
    <cfRule type="cellIs" dxfId="395" priority="468" operator="equal">
      <formula>0</formula>
    </cfRule>
    <cfRule type="cellIs" dxfId="394" priority="469" operator="equal">
      <formula>1</formula>
    </cfRule>
  </conditionalFormatting>
  <conditionalFormatting sqref="J9">
    <cfRule type="cellIs" dxfId="393" priority="470" operator="equal">
      <formula>0</formula>
    </cfRule>
    <cfRule type="cellIs" dxfId="392" priority="471" operator="equal">
      <formula>1</formula>
    </cfRule>
  </conditionalFormatting>
  <conditionalFormatting sqref="J20">
    <cfRule type="cellIs" dxfId="391" priority="514" operator="equal">
      <formula>0</formula>
    </cfRule>
    <cfRule type="cellIs" dxfId="390" priority="515" operator="equal">
      <formula>1</formula>
    </cfRule>
  </conditionalFormatting>
  <conditionalFormatting sqref="J26">
    <cfRule type="cellIs" dxfId="389" priority="509" operator="equal">
      <formula>1</formula>
    </cfRule>
    <cfRule type="cellIs" dxfId="388" priority="508" operator="equal">
      <formula>0</formula>
    </cfRule>
  </conditionalFormatting>
  <conditionalFormatting sqref="J32">
    <cfRule type="cellIs" dxfId="387" priority="538" operator="equal">
      <formula>0</formula>
    </cfRule>
    <cfRule type="cellIs" dxfId="386" priority="539" operator="equal">
      <formula>1</formula>
    </cfRule>
  </conditionalFormatting>
  <conditionalFormatting sqref="J38">
    <cfRule type="cellIs" dxfId="385" priority="532" operator="equal">
      <formula>0</formula>
    </cfRule>
    <cfRule type="cellIs" dxfId="384" priority="533" operator="equal">
      <formula>1</formula>
    </cfRule>
  </conditionalFormatting>
  <conditionalFormatting sqref="J44">
    <cfRule type="cellIs" dxfId="383" priority="562" operator="equal">
      <formula>0</formula>
    </cfRule>
    <cfRule type="cellIs" dxfId="382" priority="563" operator="equal">
      <formula>1</formula>
    </cfRule>
  </conditionalFormatting>
  <conditionalFormatting sqref="J50">
    <cfRule type="cellIs" dxfId="381" priority="557" operator="equal">
      <formula>1</formula>
    </cfRule>
    <cfRule type="cellIs" dxfId="380" priority="556" operator="equal">
      <formula>0</formula>
    </cfRule>
  </conditionalFormatting>
  <conditionalFormatting sqref="J56">
    <cfRule type="cellIs" dxfId="379" priority="586" operator="equal">
      <formula>0</formula>
    </cfRule>
    <cfRule type="cellIs" dxfId="378" priority="587" operator="equal">
      <formula>1</formula>
    </cfRule>
  </conditionalFormatting>
  <conditionalFormatting sqref="J62">
    <cfRule type="cellIs" dxfId="377" priority="580" operator="equal">
      <formula>0</formula>
    </cfRule>
    <cfRule type="cellIs" dxfId="376" priority="581" operator="equal">
      <formula>1</formula>
    </cfRule>
  </conditionalFormatting>
  <conditionalFormatting sqref="J97">
    <cfRule type="cellIs" dxfId="375" priority="209" operator="equal">
      <formula>1</formula>
    </cfRule>
    <cfRule type="cellIs" dxfId="374" priority="208" operator="equal">
      <formula>0</formula>
    </cfRule>
  </conditionalFormatting>
  <conditionalFormatting sqref="J151">
    <cfRule type="cellIs" dxfId="373" priority="62" operator="equal">
      <formula>0</formula>
    </cfRule>
    <cfRule type="cellIs" dxfId="372" priority="63" operator="equal">
      <formula>1</formula>
    </cfRule>
  </conditionalFormatting>
  <conditionalFormatting sqref="J105:K105">
    <cfRule type="cellIs" dxfId="371" priority="153" operator="equal">
      <formula>1</formula>
    </cfRule>
    <cfRule type="cellIs" dxfId="370" priority="152" operator="equal">
      <formula>0</formula>
    </cfRule>
  </conditionalFormatting>
  <conditionalFormatting sqref="J115:K115">
    <cfRule type="cellIs" dxfId="369" priority="166" operator="equal">
      <formula>0</formula>
    </cfRule>
    <cfRule type="cellIs" dxfId="368" priority="167" operator="equal">
      <formula>1</formula>
    </cfRule>
  </conditionalFormatting>
  <conditionalFormatting sqref="J125:K125">
    <cfRule type="cellIs" dxfId="367" priority="181" operator="equal">
      <formula>1</formula>
    </cfRule>
    <cfRule type="cellIs" dxfId="366" priority="180" operator="equal">
      <formula>0</formula>
    </cfRule>
  </conditionalFormatting>
  <conditionalFormatting sqref="J135:K135">
    <cfRule type="cellIs" dxfId="365" priority="194" operator="equal">
      <formula>0</formula>
    </cfRule>
    <cfRule type="cellIs" dxfId="364" priority="195" operator="equal">
      <formula>1</formula>
    </cfRule>
  </conditionalFormatting>
  <conditionalFormatting sqref="J102:L102">
    <cfRule type="cellIs" dxfId="363" priority="155" operator="equal">
      <formula>1</formula>
    </cfRule>
    <cfRule type="cellIs" dxfId="362" priority="154" operator="equal">
      <formula>0</formula>
    </cfRule>
  </conditionalFormatting>
  <conditionalFormatting sqref="J112:L112">
    <cfRule type="cellIs" dxfId="361" priority="168" operator="equal">
      <formula>0</formula>
    </cfRule>
    <cfRule type="cellIs" dxfId="360" priority="169" operator="equal">
      <formula>1</formula>
    </cfRule>
  </conditionalFormatting>
  <conditionalFormatting sqref="J122:L122">
    <cfRule type="cellIs" dxfId="359" priority="182" operator="equal">
      <formula>0</formula>
    </cfRule>
    <cfRule type="cellIs" dxfId="358" priority="183" operator="equal">
      <formula>1</formula>
    </cfRule>
  </conditionalFormatting>
  <conditionalFormatting sqref="J132:L132">
    <cfRule type="cellIs" dxfId="357" priority="196" operator="equal">
      <formula>0</formula>
    </cfRule>
    <cfRule type="cellIs" dxfId="356" priority="197" operator="equal">
      <formula>1</formula>
    </cfRule>
  </conditionalFormatting>
  <conditionalFormatting sqref="J68:M68">
    <cfRule type="cellIs" dxfId="355" priority="602" operator="equal">
      <formula>0</formula>
    </cfRule>
    <cfRule type="cellIs" dxfId="354" priority="603" operator="equal">
      <formula>1</formula>
    </cfRule>
  </conditionalFormatting>
  <conditionalFormatting sqref="K6">
    <cfRule type="cellIs" dxfId="353" priority="477" operator="equal">
      <formula>1</formula>
    </cfRule>
    <cfRule type="cellIs" dxfId="352" priority="476" operator="equal">
      <formula>0</formula>
    </cfRule>
  </conditionalFormatting>
  <conditionalFormatting sqref="K8">
    <cfRule type="cellIs" dxfId="351" priority="479" operator="equal">
      <formula>1</formula>
    </cfRule>
    <cfRule type="cellIs" dxfId="350" priority="478" operator="equal">
      <formula>0</formula>
    </cfRule>
  </conditionalFormatting>
  <conditionalFormatting sqref="K12">
    <cfRule type="cellIs" dxfId="349" priority="481" operator="equal">
      <formula>1</formula>
    </cfRule>
    <cfRule type="cellIs" dxfId="348" priority="480" operator="equal">
      <formula>0</formula>
    </cfRule>
  </conditionalFormatting>
  <conditionalFormatting sqref="K14">
    <cfRule type="cellIs" dxfId="347" priority="482" operator="equal">
      <formula>0</formula>
    </cfRule>
    <cfRule type="cellIs" dxfId="346" priority="483" operator="equal">
      <formula>1</formula>
    </cfRule>
  </conditionalFormatting>
  <conditionalFormatting sqref="K22">
    <cfRule type="cellIs" dxfId="345" priority="504" operator="equal">
      <formula>0</formula>
    </cfRule>
    <cfRule type="cellIs" dxfId="344" priority="505" operator="equal">
      <formula>1</formula>
    </cfRule>
  </conditionalFormatting>
  <conditionalFormatting sqref="K24">
    <cfRule type="cellIs" dxfId="343" priority="506" operator="equal">
      <formula>0</formula>
    </cfRule>
    <cfRule type="cellIs" dxfId="342" priority="507" operator="equal">
      <formula>1</formula>
    </cfRule>
  </conditionalFormatting>
  <conditionalFormatting sqref="K30">
    <cfRule type="cellIs" dxfId="341" priority="523" operator="equal">
      <formula>1</formula>
    </cfRule>
    <cfRule type="cellIs" dxfId="340" priority="522" operator="equal">
      <formula>0</formula>
    </cfRule>
  </conditionalFormatting>
  <conditionalFormatting sqref="K34">
    <cfRule type="cellIs" dxfId="339" priority="528" operator="equal">
      <formula>0</formula>
    </cfRule>
    <cfRule type="cellIs" dxfId="338" priority="529" operator="equal">
      <formula>1</formula>
    </cfRule>
  </conditionalFormatting>
  <conditionalFormatting sqref="K36">
    <cfRule type="cellIs" dxfId="337" priority="531" operator="equal">
      <formula>1</formula>
    </cfRule>
    <cfRule type="cellIs" dxfId="336" priority="530" operator="equal">
      <formula>0</formula>
    </cfRule>
  </conditionalFormatting>
  <conditionalFormatting sqref="K42">
    <cfRule type="cellIs" dxfId="335" priority="547" operator="equal">
      <formula>1</formula>
    </cfRule>
    <cfRule type="cellIs" dxfId="334" priority="546" operator="equal">
      <formula>0</formula>
    </cfRule>
  </conditionalFormatting>
  <conditionalFormatting sqref="K46">
    <cfRule type="cellIs" dxfId="333" priority="553" operator="equal">
      <formula>1</formula>
    </cfRule>
    <cfRule type="cellIs" dxfId="332" priority="552" operator="equal">
      <formula>0</formula>
    </cfRule>
  </conditionalFormatting>
  <conditionalFormatting sqref="K48">
    <cfRule type="cellIs" dxfId="331" priority="555" operator="equal">
      <formula>1</formula>
    </cfRule>
    <cfRule type="cellIs" dxfId="330" priority="554" operator="equal">
      <formula>0</formula>
    </cfRule>
  </conditionalFormatting>
  <conditionalFormatting sqref="K54">
    <cfRule type="cellIs" dxfId="329" priority="571" operator="equal">
      <formula>1</formula>
    </cfRule>
    <cfRule type="cellIs" dxfId="328" priority="570" operator="equal">
      <formula>0</formula>
    </cfRule>
  </conditionalFormatting>
  <conditionalFormatting sqref="K58">
    <cfRule type="cellIs" dxfId="327" priority="577" operator="equal">
      <formula>1</formula>
    </cfRule>
    <cfRule type="cellIs" dxfId="326" priority="576" operator="equal">
      <formula>0</formula>
    </cfRule>
  </conditionalFormatting>
  <conditionalFormatting sqref="K60">
    <cfRule type="cellIs" dxfId="325" priority="579" operator="equal">
      <formula>1</formula>
    </cfRule>
    <cfRule type="cellIs" dxfId="324" priority="578" operator="equal">
      <formula>0</formula>
    </cfRule>
  </conditionalFormatting>
  <conditionalFormatting sqref="K66">
    <cfRule type="cellIs" dxfId="323" priority="594" operator="equal">
      <formula>0</formula>
    </cfRule>
    <cfRule type="cellIs" dxfId="322" priority="595" operator="equal">
      <formula>1</formula>
    </cfRule>
  </conditionalFormatting>
  <conditionalFormatting sqref="K107">
    <cfRule type="cellIs" dxfId="321" priority="157" operator="equal">
      <formula>1</formula>
    </cfRule>
    <cfRule type="cellIs" dxfId="320" priority="156" operator="equal">
      <formula>0</formula>
    </cfRule>
  </conditionalFormatting>
  <conditionalFormatting sqref="K109">
    <cfRule type="cellIs" dxfId="319" priority="158" operator="equal">
      <formula>0</formula>
    </cfRule>
    <cfRule type="cellIs" dxfId="318" priority="159" operator="equal">
      <formula>1</formula>
    </cfRule>
  </conditionalFormatting>
  <conditionalFormatting sqref="K117">
    <cfRule type="cellIs" dxfId="317" priority="170" operator="equal">
      <formula>0</formula>
    </cfRule>
    <cfRule type="cellIs" dxfId="316" priority="171" operator="equal">
      <formula>1</formula>
    </cfRule>
  </conditionalFormatting>
  <conditionalFormatting sqref="K119">
    <cfRule type="cellIs" dxfId="315" priority="173" operator="equal">
      <formula>1</formula>
    </cfRule>
    <cfRule type="cellIs" dxfId="314" priority="172" operator="equal">
      <formula>0</formula>
    </cfRule>
  </conditionalFormatting>
  <conditionalFormatting sqref="K127">
    <cfRule type="cellIs" dxfId="313" priority="185" operator="equal">
      <formula>1</formula>
    </cfRule>
    <cfRule type="cellIs" dxfId="312" priority="184" operator="equal">
      <formula>0</formula>
    </cfRule>
  </conditionalFormatting>
  <conditionalFormatting sqref="K129">
    <cfRule type="cellIs" dxfId="311" priority="187" operator="equal">
      <formula>1</formula>
    </cfRule>
    <cfRule type="cellIs" dxfId="310" priority="186" operator="equal">
      <formula>0</formula>
    </cfRule>
  </conditionalFormatting>
  <conditionalFormatting sqref="K137">
    <cfRule type="cellIs" dxfId="309" priority="198" operator="equal">
      <formula>0</formula>
    </cfRule>
    <cfRule type="cellIs" dxfId="308" priority="199" operator="equal">
      <formula>1</formula>
    </cfRule>
  </conditionalFormatting>
  <conditionalFormatting sqref="K139:L139">
    <cfRule type="cellIs" dxfId="307" priority="192" operator="equal">
      <formula>0</formula>
    </cfRule>
    <cfRule type="cellIs" dxfId="306" priority="193" operator="equal">
      <formula>1</formula>
    </cfRule>
  </conditionalFormatting>
  <conditionalFormatting sqref="L20">
    <cfRule type="cellIs" dxfId="305" priority="517" operator="equal">
      <formula>1</formula>
    </cfRule>
    <cfRule type="cellIs" dxfId="304" priority="516" operator="equal">
      <formula>0</formula>
    </cfRule>
  </conditionalFormatting>
  <conditionalFormatting sqref="L23">
    <cfRule type="cellIs" dxfId="303" priority="521" operator="equal">
      <formula>1</formula>
    </cfRule>
    <cfRule type="cellIs" dxfId="302" priority="520" operator="equal">
      <formula>0</formula>
    </cfRule>
  </conditionalFormatting>
  <conditionalFormatting sqref="L32">
    <cfRule type="cellIs" dxfId="301" priority="541" operator="equal">
      <formula>1</formula>
    </cfRule>
    <cfRule type="cellIs" dxfId="300" priority="540" operator="equal">
      <formula>0</formula>
    </cfRule>
  </conditionalFormatting>
  <conditionalFormatting sqref="L35">
    <cfRule type="cellIs" dxfId="299" priority="545" operator="equal">
      <formula>1</formula>
    </cfRule>
    <cfRule type="cellIs" dxfId="298" priority="544" operator="equal">
      <formula>0</formula>
    </cfRule>
  </conditionalFormatting>
  <conditionalFormatting sqref="L44">
    <cfRule type="cellIs" dxfId="297" priority="564" operator="equal">
      <formula>0</formula>
    </cfRule>
    <cfRule type="cellIs" dxfId="296" priority="565" operator="equal">
      <formula>1</formula>
    </cfRule>
  </conditionalFormatting>
  <conditionalFormatting sqref="L47">
    <cfRule type="cellIs" dxfId="295" priority="568" operator="equal">
      <formula>0</formula>
    </cfRule>
    <cfRule type="cellIs" dxfId="294" priority="569" operator="equal">
      <formula>1</formula>
    </cfRule>
  </conditionalFormatting>
  <conditionalFormatting sqref="L56">
    <cfRule type="cellIs" dxfId="293" priority="589" operator="equal">
      <formula>1</formula>
    </cfRule>
    <cfRule type="cellIs" dxfId="292" priority="588" operator="equal">
      <formula>0</formula>
    </cfRule>
  </conditionalFormatting>
  <conditionalFormatting sqref="L59">
    <cfRule type="cellIs" dxfId="291" priority="593" operator="equal">
      <formula>1</formula>
    </cfRule>
    <cfRule type="cellIs" dxfId="290" priority="592" operator="equal">
      <formula>0</formula>
    </cfRule>
  </conditionalFormatting>
  <conditionalFormatting sqref="L100">
    <cfRule type="cellIs" dxfId="289" priority="207" operator="equal">
      <formula>1</formula>
    </cfRule>
    <cfRule type="cellIs" dxfId="288" priority="206" operator="equal">
      <formula>0</formula>
    </cfRule>
  </conditionalFormatting>
  <conditionalFormatting sqref="L104">
    <cfRule type="cellIs" dxfId="287" priority="160" operator="equal">
      <formula>0</formula>
    </cfRule>
    <cfRule type="cellIs" dxfId="286" priority="161" operator="equal">
      <formula>1</formula>
    </cfRule>
  </conditionalFormatting>
  <conditionalFormatting sqref="L106">
    <cfRule type="cellIs" dxfId="285" priority="162" operator="equal">
      <formula>0</formula>
    </cfRule>
    <cfRule type="cellIs" dxfId="284" priority="163" operator="equal">
      <formula>1</formula>
    </cfRule>
  </conditionalFormatting>
  <conditionalFormatting sqref="L109:L110">
    <cfRule type="cellIs" dxfId="283" priority="151" operator="equal">
      <formula>1</formula>
    </cfRule>
    <cfRule type="cellIs" dxfId="282" priority="150" operator="equal">
      <formula>0</formula>
    </cfRule>
  </conditionalFormatting>
  <conditionalFormatting sqref="L114">
    <cfRule type="cellIs" dxfId="281" priority="174" operator="equal">
      <formula>0</formula>
    </cfRule>
    <cfRule type="cellIs" dxfId="280" priority="175" operator="equal">
      <formula>1</formula>
    </cfRule>
  </conditionalFormatting>
  <conditionalFormatting sqref="L116">
    <cfRule type="cellIs" dxfId="279" priority="176" operator="equal">
      <formula>0</formula>
    </cfRule>
    <cfRule type="cellIs" dxfId="278" priority="177" operator="equal">
      <formula>1</formula>
    </cfRule>
  </conditionalFormatting>
  <conditionalFormatting sqref="L119:L120">
    <cfRule type="cellIs" dxfId="277" priority="165" operator="equal">
      <formula>1</formula>
    </cfRule>
    <cfRule type="cellIs" dxfId="276" priority="164" operator="equal">
      <formula>0</formula>
    </cfRule>
  </conditionalFormatting>
  <conditionalFormatting sqref="L124">
    <cfRule type="cellIs" dxfId="275" priority="188" operator="equal">
      <formula>0</formula>
    </cfRule>
    <cfRule type="cellIs" dxfId="274" priority="189" operator="equal">
      <formula>1</formula>
    </cfRule>
  </conditionalFormatting>
  <conditionalFormatting sqref="L126">
    <cfRule type="cellIs" dxfId="273" priority="190" operator="equal">
      <formula>0</formula>
    </cfRule>
    <cfRule type="cellIs" dxfId="272" priority="191" operator="equal">
      <formula>1</formula>
    </cfRule>
  </conditionalFormatting>
  <conditionalFormatting sqref="L129:L130">
    <cfRule type="cellIs" dxfId="271" priority="178" operator="equal">
      <formula>0</formula>
    </cfRule>
    <cfRule type="cellIs" dxfId="270" priority="179" operator="equal">
      <formula>1</formula>
    </cfRule>
  </conditionalFormatting>
  <conditionalFormatting sqref="L134">
    <cfRule type="cellIs" dxfId="269" priority="200" operator="equal">
      <formula>0</formula>
    </cfRule>
    <cfRule type="cellIs" dxfId="268" priority="201" operator="equal">
      <formula>1</formula>
    </cfRule>
  </conditionalFormatting>
  <conditionalFormatting sqref="L136">
    <cfRule type="cellIs" dxfId="267" priority="202" operator="equal">
      <formula>0</formula>
    </cfRule>
    <cfRule type="cellIs" dxfId="266" priority="203" operator="equal">
      <formula>1</formula>
    </cfRule>
  </conditionalFormatting>
  <conditionalFormatting sqref="L97:O98">
    <cfRule type="cellIs" dxfId="265" priority="213" operator="equal">
      <formula>1</formula>
    </cfRule>
    <cfRule type="cellIs" dxfId="264" priority="212" operator="equal">
      <formula>0</formula>
    </cfRule>
  </conditionalFormatting>
  <conditionalFormatting sqref="L144:O144">
    <cfRule type="cellIs" dxfId="263" priority="205" operator="equal">
      <formula>1</formula>
    </cfRule>
    <cfRule type="cellIs" dxfId="262" priority="204" operator="equal">
      <formula>0</formula>
    </cfRule>
  </conditionalFormatting>
  <conditionalFormatting sqref="M12">
    <cfRule type="cellIs" dxfId="261" priority="484" operator="equal">
      <formula>0</formula>
    </cfRule>
    <cfRule type="cellIs" dxfId="260" priority="485" operator="equal">
      <formula>1</formula>
    </cfRule>
  </conditionalFormatting>
  <conditionalFormatting sqref="M14">
    <cfRule type="cellIs" dxfId="259" priority="486" operator="equal">
      <formula>0</formula>
    </cfRule>
    <cfRule type="cellIs" dxfId="258" priority="487" operator="equal">
      <formula>1</formula>
    </cfRule>
  </conditionalFormatting>
  <conditionalFormatting sqref="M151">
    <cfRule type="cellIs" dxfId="257" priority="65" operator="equal">
      <formula>1</formula>
    </cfRule>
    <cfRule type="cellIs" dxfId="256" priority="64" operator="equal">
      <formula>0</formula>
    </cfRule>
  </conditionalFormatting>
  <conditionalFormatting sqref="P151">
    <cfRule type="cellIs" dxfId="255" priority="67" operator="equal">
      <formula>1</formula>
    </cfRule>
    <cfRule type="cellIs" dxfId="254" priority="66" operator="equal">
      <formula>0</formula>
    </cfRule>
  </conditionalFormatting>
  <conditionalFormatting sqref="R16">
    <cfRule type="cellIs" dxfId="253" priority="404" operator="equal">
      <formula>0</formula>
    </cfRule>
    <cfRule type="cellIs" dxfId="252" priority="405" operator="equal">
      <formula>1</formula>
    </cfRule>
  </conditionalFormatting>
  <conditionalFormatting sqref="R23">
    <cfRule type="cellIs" dxfId="251" priority="700" operator="equal">
      <formula>0</formula>
    </cfRule>
    <cfRule type="cellIs" dxfId="250" priority="701" operator="equal">
      <formula>1</formula>
    </cfRule>
  </conditionalFormatting>
  <conditionalFormatting sqref="R25:U26">
    <cfRule type="cellIs" dxfId="249" priority="660" operator="equal">
      <formula>0</formula>
    </cfRule>
    <cfRule type="cellIs" dxfId="248" priority="661" operator="equal">
      <formula>1</formula>
    </cfRule>
  </conditionalFormatting>
  <conditionalFormatting sqref="S20">
    <cfRule type="cellIs" dxfId="247" priority="704" operator="equal">
      <formula>0</formula>
    </cfRule>
    <cfRule type="cellIs" dxfId="246" priority="705" operator="equal">
      <formula>1</formula>
    </cfRule>
  </conditionalFormatting>
  <conditionalFormatting sqref="S110">
    <cfRule type="cellIs" dxfId="245" priority="133" operator="equal">
      <formula>1</formula>
    </cfRule>
    <cfRule type="cellIs" dxfId="244" priority="132" operator="equal">
      <formula>0</formula>
    </cfRule>
  </conditionalFormatting>
  <conditionalFormatting sqref="S112">
    <cfRule type="cellIs" dxfId="243" priority="129" operator="equal">
      <formula>1</formula>
    </cfRule>
    <cfRule type="cellIs" dxfId="242" priority="128" operator="equal">
      <formula>0</formula>
    </cfRule>
  </conditionalFormatting>
  <conditionalFormatting sqref="S114">
    <cfRule type="cellIs" dxfId="241" priority="127" operator="equal">
      <formula>1</formula>
    </cfRule>
    <cfRule type="cellIs" dxfId="240" priority="126" operator="equal">
      <formula>0</formula>
    </cfRule>
  </conditionalFormatting>
  <conditionalFormatting sqref="S116">
    <cfRule type="cellIs" dxfId="239" priority="123" operator="equal">
      <formula>1</formula>
    </cfRule>
    <cfRule type="cellIs" dxfId="238" priority="122" operator="equal">
      <formula>0</formula>
    </cfRule>
  </conditionalFormatting>
  <conditionalFormatting sqref="S118">
    <cfRule type="cellIs" dxfId="237" priority="121" operator="equal">
      <formula>1</formula>
    </cfRule>
    <cfRule type="cellIs" dxfId="236" priority="120" operator="equal">
      <formula>0</formula>
    </cfRule>
  </conditionalFormatting>
  <conditionalFormatting sqref="S120">
    <cfRule type="cellIs" dxfId="235" priority="117" operator="equal">
      <formula>1</formula>
    </cfRule>
    <cfRule type="cellIs" dxfId="234" priority="116" operator="equal">
      <formula>0</formula>
    </cfRule>
  </conditionalFormatting>
  <conditionalFormatting sqref="S122">
    <cfRule type="cellIs" dxfId="233" priority="115" operator="equal">
      <formula>1</formula>
    </cfRule>
    <cfRule type="cellIs" dxfId="232" priority="114" operator="equal">
      <formula>0</formula>
    </cfRule>
  </conditionalFormatting>
  <conditionalFormatting sqref="S124">
    <cfRule type="cellIs" dxfId="231" priority="110" operator="equal">
      <formula>0</formula>
    </cfRule>
    <cfRule type="cellIs" dxfId="230" priority="111" operator="equal">
      <formula>1</formula>
    </cfRule>
  </conditionalFormatting>
  <conditionalFormatting sqref="S128">
    <cfRule type="cellIs" dxfId="229" priority="106" operator="equal">
      <formula>0</formula>
    </cfRule>
    <cfRule type="cellIs" dxfId="228" priority="107" operator="equal">
      <formula>1</formula>
    </cfRule>
  </conditionalFormatting>
  <conditionalFormatting sqref="S130">
    <cfRule type="cellIs" dxfId="227" priority="102" operator="equal">
      <formula>0</formula>
    </cfRule>
    <cfRule type="cellIs" dxfId="226" priority="103" operator="equal">
      <formula>1</formula>
    </cfRule>
  </conditionalFormatting>
  <conditionalFormatting sqref="S132">
    <cfRule type="cellIs" dxfId="225" priority="100" operator="equal">
      <formula>0</formula>
    </cfRule>
    <cfRule type="cellIs" dxfId="224" priority="101" operator="equal">
      <formula>1</formula>
    </cfRule>
  </conditionalFormatting>
  <conditionalFormatting sqref="S134">
    <cfRule type="cellIs" dxfId="223" priority="96" operator="equal">
      <formula>0</formula>
    </cfRule>
    <cfRule type="cellIs" dxfId="222" priority="97" operator="equal">
      <formula>1</formula>
    </cfRule>
  </conditionalFormatting>
  <conditionalFormatting sqref="S136">
    <cfRule type="cellIs" dxfId="221" priority="94" operator="equal">
      <formula>0</formula>
    </cfRule>
    <cfRule type="cellIs" dxfId="220" priority="95" operator="equal">
      <formula>1</formula>
    </cfRule>
  </conditionalFormatting>
  <conditionalFormatting sqref="S138">
    <cfRule type="cellIs" dxfId="219" priority="90" operator="equal">
      <formula>0</formula>
    </cfRule>
    <cfRule type="cellIs" dxfId="218" priority="91" operator="equal">
      <formula>1</formula>
    </cfRule>
  </conditionalFormatting>
  <conditionalFormatting sqref="S140">
    <cfRule type="cellIs" dxfId="217" priority="89" operator="equal">
      <formula>1</formula>
    </cfRule>
    <cfRule type="cellIs" dxfId="216" priority="88" operator="equal">
      <formula>0</formula>
    </cfRule>
  </conditionalFormatting>
  <conditionalFormatting sqref="S142">
    <cfRule type="cellIs" dxfId="215" priority="85" operator="equal">
      <formula>1</formula>
    </cfRule>
    <cfRule type="cellIs" dxfId="214" priority="84" operator="equal">
      <formula>0</formula>
    </cfRule>
  </conditionalFormatting>
  <conditionalFormatting sqref="S146:S149">
    <cfRule type="cellIs" dxfId="213" priority="75" operator="equal">
      <formula>1</formula>
    </cfRule>
    <cfRule type="cellIs" dxfId="212" priority="74" operator="equal">
      <formula>0</formula>
    </cfRule>
  </conditionalFormatting>
  <conditionalFormatting sqref="S151">
    <cfRule type="cellIs" dxfId="211" priority="73" operator="equal">
      <formula>1</formula>
    </cfRule>
    <cfRule type="cellIs" dxfId="210" priority="72" operator="equal">
      <formula>0</formula>
    </cfRule>
  </conditionalFormatting>
  <conditionalFormatting sqref="S33:T33">
    <cfRule type="cellIs" dxfId="209" priority="607" operator="equal">
      <formula>1</formula>
    </cfRule>
    <cfRule type="cellIs" dxfId="208" priority="606" operator="equal">
      <formula>0</formula>
    </cfRule>
  </conditionalFormatting>
  <conditionalFormatting sqref="S43:T43">
    <cfRule type="cellIs" dxfId="207" priority="621" operator="equal">
      <formula>1</formula>
    </cfRule>
    <cfRule type="cellIs" dxfId="206" priority="620" operator="equal">
      <formula>0</formula>
    </cfRule>
  </conditionalFormatting>
  <conditionalFormatting sqref="S53:T53">
    <cfRule type="cellIs" dxfId="205" priority="635" operator="equal">
      <formula>1</formula>
    </cfRule>
    <cfRule type="cellIs" dxfId="204" priority="634" operator="equal">
      <formula>0</formula>
    </cfRule>
  </conditionalFormatting>
  <conditionalFormatting sqref="S63:T63">
    <cfRule type="cellIs" dxfId="203" priority="648" operator="equal">
      <formula>0</formula>
    </cfRule>
    <cfRule type="cellIs" dxfId="202" priority="649" operator="equal">
      <formula>1</formula>
    </cfRule>
  </conditionalFormatting>
  <conditionalFormatting sqref="S30:U30">
    <cfRule type="cellIs" dxfId="201" priority="609" operator="equal">
      <formula>1</formula>
    </cfRule>
    <cfRule type="cellIs" dxfId="200" priority="608" operator="equal">
      <formula>0</formula>
    </cfRule>
  </conditionalFormatting>
  <conditionalFormatting sqref="S40:U40">
    <cfRule type="cellIs" dxfId="199" priority="622" operator="equal">
      <formula>0</formula>
    </cfRule>
    <cfRule type="cellIs" dxfId="198" priority="623" operator="equal">
      <formula>1</formula>
    </cfRule>
  </conditionalFormatting>
  <conditionalFormatting sqref="S50:U50">
    <cfRule type="cellIs" dxfId="197" priority="637" operator="equal">
      <formula>1</formula>
    </cfRule>
    <cfRule type="cellIs" dxfId="196" priority="636" operator="equal">
      <formula>0</formula>
    </cfRule>
  </conditionalFormatting>
  <conditionalFormatting sqref="S60:U60">
    <cfRule type="cellIs" dxfId="195" priority="650" operator="equal">
      <formula>0</formula>
    </cfRule>
    <cfRule type="cellIs" dxfId="194" priority="651" operator="equal">
      <formula>1</formula>
    </cfRule>
  </conditionalFormatting>
  <conditionalFormatting sqref="S101:V101">
    <cfRule type="cellIs" dxfId="193" priority="142" operator="equal">
      <formula>0</formula>
    </cfRule>
    <cfRule type="cellIs" dxfId="192" priority="143" operator="equal">
      <formula>1</formula>
    </cfRule>
  </conditionalFormatting>
  <conditionalFormatting sqref="S103:V103">
    <cfRule type="cellIs" dxfId="191" priority="144" operator="equal">
      <formula>0</formula>
    </cfRule>
    <cfRule type="cellIs" dxfId="190" priority="145" operator="equal">
      <formula>1</formula>
    </cfRule>
  </conditionalFormatting>
  <conditionalFormatting sqref="S106:V106">
    <cfRule type="cellIs" dxfId="189" priority="136" operator="equal">
      <formula>0</formula>
    </cfRule>
    <cfRule type="cellIs" dxfId="188" priority="137" operator="equal">
      <formula>1</formula>
    </cfRule>
  </conditionalFormatting>
  <conditionalFormatting sqref="S108:V108">
    <cfRule type="cellIs" dxfId="187" priority="138" operator="equal">
      <formula>0</formula>
    </cfRule>
    <cfRule type="cellIs" dxfId="186" priority="139" operator="equal">
      <formula>1</formula>
    </cfRule>
  </conditionalFormatting>
  <conditionalFormatting sqref="S126:V126">
    <cfRule type="cellIs" dxfId="185" priority="134" operator="equal">
      <formula>0</formula>
    </cfRule>
    <cfRule type="cellIs" dxfId="184" priority="135" operator="equal">
      <formula>1</formula>
    </cfRule>
  </conditionalFormatting>
  <conditionalFormatting sqref="S144:V144">
    <cfRule type="cellIs" dxfId="183" priority="108" operator="equal">
      <formula>0</formula>
    </cfRule>
    <cfRule type="cellIs" dxfId="182" priority="109" operator="equal">
      <formula>1</formula>
    </cfRule>
  </conditionalFormatting>
  <conditionalFormatting sqref="T16">
    <cfRule type="cellIs" dxfId="181" priority="403" operator="equal">
      <formula>1</formula>
    </cfRule>
    <cfRule type="cellIs" dxfId="180" priority="402" operator="equal">
      <formula>0</formula>
    </cfRule>
  </conditionalFormatting>
  <conditionalFormatting sqref="T18">
    <cfRule type="cellIs" dxfId="179" priority="706" operator="equal">
      <formula>0</formula>
    </cfRule>
    <cfRule type="cellIs" dxfId="178" priority="707" operator="equal">
      <formula>1</formula>
    </cfRule>
  </conditionalFormatting>
  <conditionalFormatting sqref="T23">
    <cfRule type="cellIs" dxfId="177" priority="703" operator="equal">
      <formula>1</formula>
    </cfRule>
    <cfRule type="cellIs" dxfId="176" priority="702" operator="equal">
      <formula>0</formula>
    </cfRule>
  </conditionalFormatting>
  <conditionalFormatting sqref="T35">
    <cfRule type="cellIs" dxfId="175" priority="610" operator="equal">
      <formula>0</formula>
    </cfRule>
    <cfRule type="cellIs" dxfId="174" priority="611" operator="equal">
      <formula>1</formula>
    </cfRule>
  </conditionalFormatting>
  <conditionalFormatting sqref="T37">
    <cfRule type="cellIs" dxfId="173" priority="612" operator="equal">
      <formula>0</formula>
    </cfRule>
    <cfRule type="cellIs" dxfId="172" priority="613" operator="equal">
      <formula>1</formula>
    </cfRule>
  </conditionalFormatting>
  <conditionalFormatting sqref="T45">
    <cfRule type="cellIs" dxfId="171" priority="624" operator="equal">
      <formula>0</formula>
    </cfRule>
    <cfRule type="cellIs" dxfId="170" priority="625" operator="equal">
      <formula>1</formula>
    </cfRule>
  </conditionalFormatting>
  <conditionalFormatting sqref="T47">
    <cfRule type="cellIs" dxfId="169" priority="627" operator="equal">
      <formula>1</formula>
    </cfRule>
    <cfRule type="cellIs" dxfId="168" priority="626" operator="equal">
      <formula>0</formula>
    </cfRule>
  </conditionalFormatting>
  <conditionalFormatting sqref="T55">
    <cfRule type="cellIs" dxfId="167" priority="638" operator="equal">
      <formula>0</formula>
    </cfRule>
    <cfRule type="cellIs" dxfId="166" priority="639" operator="equal">
      <formula>1</formula>
    </cfRule>
  </conditionalFormatting>
  <conditionalFormatting sqref="T57">
    <cfRule type="cellIs" dxfId="165" priority="641" operator="equal">
      <formula>1</formula>
    </cfRule>
    <cfRule type="cellIs" dxfId="164" priority="640" operator="equal">
      <formula>0</formula>
    </cfRule>
  </conditionalFormatting>
  <conditionalFormatting sqref="T65">
    <cfRule type="cellIs" dxfId="163" priority="652" operator="equal">
      <formula>0</formula>
    </cfRule>
    <cfRule type="cellIs" dxfId="162" priority="653" operator="equal">
      <formula>1</formula>
    </cfRule>
  </conditionalFormatting>
  <conditionalFormatting sqref="T8:U8">
    <cfRule type="cellIs" dxfId="161" priority="454" operator="equal">
      <formula>0</formula>
    </cfRule>
    <cfRule type="cellIs" dxfId="160" priority="455" operator="equal">
      <formula>1</formula>
    </cfRule>
  </conditionalFormatting>
  <conditionalFormatting sqref="T67:U67">
    <cfRule type="cellIs" dxfId="159" priority="647" operator="equal">
      <formula>1</formula>
    </cfRule>
    <cfRule type="cellIs" dxfId="158" priority="646" operator="equal">
      <formula>0</formula>
    </cfRule>
  </conditionalFormatting>
  <conditionalFormatting sqref="T111:U111">
    <cfRule type="cellIs" dxfId="157" priority="130" operator="equal">
      <formula>0</formula>
    </cfRule>
    <cfRule type="cellIs" dxfId="156" priority="131" operator="equal">
      <formula>1</formula>
    </cfRule>
  </conditionalFormatting>
  <conditionalFormatting sqref="T115:U115">
    <cfRule type="cellIs" dxfId="155" priority="125" operator="equal">
      <formula>1</formula>
    </cfRule>
    <cfRule type="cellIs" dxfId="154" priority="124" operator="equal">
      <formula>0</formula>
    </cfRule>
  </conditionalFormatting>
  <conditionalFormatting sqref="T119:U119">
    <cfRule type="cellIs" dxfId="153" priority="119" operator="equal">
      <formula>1</formula>
    </cfRule>
    <cfRule type="cellIs" dxfId="152" priority="118" operator="equal">
      <formula>0</formula>
    </cfRule>
  </conditionalFormatting>
  <conditionalFormatting sqref="T123:U123">
    <cfRule type="cellIs" dxfId="151" priority="113" operator="equal">
      <formula>1</formula>
    </cfRule>
    <cfRule type="cellIs" dxfId="150" priority="112" operator="equal">
      <formula>0</formula>
    </cfRule>
  </conditionalFormatting>
  <conditionalFormatting sqref="T129:U129">
    <cfRule type="cellIs" dxfId="149" priority="105" operator="equal">
      <formula>1</formula>
    </cfRule>
    <cfRule type="cellIs" dxfId="148" priority="104" operator="equal">
      <formula>0</formula>
    </cfRule>
  </conditionalFormatting>
  <conditionalFormatting sqref="T133:U133">
    <cfRule type="cellIs" dxfId="147" priority="99" operator="equal">
      <formula>1</formula>
    </cfRule>
    <cfRule type="cellIs" dxfId="146" priority="98" operator="equal">
      <formula>0</formula>
    </cfRule>
  </conditionalFormatting>
  <conditionalFormatting sqref="T137:U137">
    <cfRule type="cellIs" dxfId="145" priority="93" operator="equal">
      <formula>1</formula>
    </cfRule>
    <cfRule type="cellIs" dxfId="144" priority="92" operator="equal">
      <formula>0</formula>
    </cfRule>
  </conditionalFormatting>
  <conditionalFormatting sqref="T141:U141">
    <cfRule type="cellIs" dxfId="143" priority="87" operator="equal">
      <formula>1</formula>
    </cfRule>
    <cfRule type="cellIs" dxfId="142" priority="86" operator="equal">
      <formula>0</formula>
    </cfRule>
  </conditionalFormatting>
  <conditionalFormatting sqref="T5:V5">
    <cfRule type="cellIs" dxfId="141" priority="456" operator="equal">
      <formula>0</formula>
    </cfRule>
    <cfRule type="cellIs" dxfId="140" priority="457" operator="equal">
      <formula>1</formula>
    </cfRule>
  </conditionalFormatting>
  <conditionalFormatting sqref="U10">
    <cfRule type="cellIs" dxfId="139" priority="463" operator="equal">
      <formula>1</formula>
    </cfRule>
    <cfRule type="cellIs" dxfId="138" priority="462" operator="equal">
      <formula>0</formula>
    </cfRule>
  </conditionalFormatting>
  <conditionalFormatting sqref="U28">
    <cfRule type="cellIs" dxfId="137" priority="668" operator="equal">
      <formula>0</formula>
    </cfRule>
    <cfRule type="cellIs" dxfId="136" priority="669" operator="equal">
      <formula>1</formula>
    </cfRule>
  </conditionalFormatting>
  <conditionalFormatting sqref="U32">
    <cfRule type="cellIs" dxfId="135" priority="614" operator="equal">
      <formula>0</formula>
    </cfRule>
    <cfRule type="cellIs" dxfId="134" priority="615" operator="equal">
      <formula>1</formula>
    </cfRule>
  </conditionalFormatting>
  <conditionalFormatting sqref="U34">
    <cfRule type="cellIs" dxfId="133" priority="616" operator="equal">
      <formula>0</formula>
    </cfRule>
    <cfRule type="cellIs" dxfId="132" priority="617" operator="equal">
      <formula>1</formula>
    </cfRule>
  </conditionalFormatting>
  <conditionalFormatting sqref="U37:U38">
    <cfRule type="cellIs" dxfId="131" priority="605" operator="equal">
      <formula>1</formula>
    </cfRule>
    <cfRule type="cellIs" dxfId="130" priority="604" operator="equal">
      <formula>0</formula>
    </cfRule>
  </conditionalFormatting>
  <conditionalFormatting sqref="U42">
    <cfRule type="cellIs" dxfId="129" priority="628" operator="equal">
      <formula>0</formula>
    </cfRule>
    <cfRule type="cellIs" dxfId="128" priority="629" operator="equal">
      <formula>1</formula>
    </cfRule>
  </conditionalFormatting>
  <conditionalFormatting sqref="U44">
    <cfRule type="cellIs" dxfId="127" priority="631" operator="equal">
      <formula>1</formula>
    </cfRule>
    <cfRule type="cellIs" dxfId="126" priority="630" operator="equal">
      <formula>0</formula>
    </cfRule>
  </conditionalFormatting>
  <conditionalFormatting sqref="U47:U48">
    <cfRule type="cellIs" dxfId="125" priority="619" operator="equal">
      <formula>1</formula>
    </cfRule>
    <cfRule type="cellIs" dxfId="124" priority="618" operator="equal">
      <formula>0</formula>
    </cfRule>
  </conditionalFormatting>
  <conditionalFormatting sqref="U52">
    <cfRule type="cellIs" dxfId="123" priority="643" operator="equal">
      <formula>1</formula>
    </cfRule>
    <cfRule type="cellIs" dxfId="122" priority="642" operator="equal">
      <formula>0</formula>
    </cfRule>
  </conditionalFormatting>
  <conditionalFormatting sqref="U54">
    <cfRule type="cellIs" dxfId="121" priority="645" operator="equal">
      <formula>1</formula>
    </cfRule>
    <cfRule type="cellIs" dxfId="120" priority="644" operator="equal">
      <formula>0</formula>
    </cfRule>
  </conditionalFormatting>
  <conditionalFormatting sqref="U57:U58">
    <cfRule type="cellIs" dxfId="119" priority="633" operator="equal">
      <formula>1</formula>
    </cfRule>
    <cfRule type="cellIs" dxfId="118" priority="632" operator="equal">
      <formula>0</formula>
    </cfRule>
  </conditionalFormatting>
  <conditionalFormatting sqref="U62">
    <cfRule type="cellIs" dxfId="117" priority="657" operator="equal">
      <formula>1</formula>
    </cfRule>
    <cfRule type="cellIs" dxfId="116" priority="656" operator="equal">
      <formula>0</formula>
    </cfRule>
  </conditionalFormatting>
  <conditionalFormatting sqref="U64">
    <cfRule type="cellIs" dxfId="115" priority="659" operator="equal">
      <formula>1</formula>
    </cfRule>
    <cfRule type="cellIs" dxfId="114" priority="658" operator="equal">
      <formula>0</formula>
    </cfRule>
  </conditionalFormatting>
  <conditionalFormatting sqref="U72:X72">
    <cfRule type="cellIs" dxfId="113" priority="666" operator="equal">
      <formula>0</formula>
    </cfRule>
    <cfRule type="cellIs" dxfId="112" priority="667" operator="equal">
      <formula>1</formula>
    </cfRule>
  </conditionalFormatting>
  <conditionalFormatting sqref="U151:X151">
    <cfRule type="cellIs" dxfId="111" priority="71" operator="equal">
      <formula>1</formula>
    </cfRule>
    <cfRule type="cellIs" dxfId="110" priority="70" operator="equal">
      <formula>0</formula>
    </cfRule>
  </conditionalFormatting>
  <conditionalFormatting sqref="V7">
    <cfRule type="cellIs" dxfId="109" priority="472" operator="equal">
      <formula>0</formula>
    </cfRule>
    <cfRule type="cellIs" dxfId="108" priority="473" operator="equal">
      <formula>1</formula>
    </cfRule>
  </conditionalFormatting>
  <conditionalFormatting sqref="V9">
    <cfRule type="cellIs" dxfId="107" priority="475" operator="equal">
      <formula>1</formula>
    </cfRule>
    <cfRule type="cellIs" dxfId="106" priority="474" operator="equal">
      <formula>0</formula>
    </cfRule>
  </conditionalFormatting>
  <conditionalFormatting sqref="W25">
    <cfRule type="cellIs" dxfId="105" priority="662" operator="equal">
      <formula>0</formula>
    </cfRule>
    <cfRule type="cellIs" dxfId="104" priority="663" operator="equal">
      <formula>1</formula>
    </cfRule>
  </conditionalFormatting>
  <conditionalFormatting sqref="Z4">
    <cfRule type="cellIs" dxfId="103" priority="687" operator="equal">
      <formula>1</formula>
    </cfRule>
    <cfRule type="cellIs" dxfId="102" priority="686" operator="equal">
      <formula>0</formula>
    </cfRule>
  </conditionalFormatting>
  <conditionalFormatting sqref="Z16">
    <cfRule type="cellIs" dxfId="101" priority="489" operator="equal">
      <formula>1</formula>
    </cfRule>
    <cfRule type="cellIs" dxfId="100" priority="488" operator="equal">
      <formula>0</formula>
    </cfRule>
  </conditionalFormatting>
  <conditionalFormatting sqref="Z19">
    <cfRule type="cellIs" dxfId="99" priority="492" operator="equal">
      <formula>0</formula>
    </cfRule>
    <cfRule type="cellIs" dxfId="98" priority="493" operator="equal">
      <formula>1</formula>
    </cfRule>
  </conditionalFormatting>
  <conditionalFormatting sqref="Z21">
    <cfRule type="cellIs" dxfId="97" priority="494" operator="equal">
      <formula>0</formula>
    </cfRule>
    <cfRule type="cellIs" dxfId="96" priority="495" operator="equal">
      <formula>1</formula>
    </cfRule>
  </conditionalFormatting>
  <conditionalFormatting sqref="Z23">
    <cfRule type="cellIs" dxfId="95" priority="497" operator="equal">
      <formula>1</formula>
    </cfRule>
    <cfRule type="cellIs" dxfId="94" priority="496" operator="equal">
      <formula>0</formula>
    </cfRule>
  </conditionalFormatting>
  <conditionalFormatting sqref="AA7">
    <cfRule type="cellIs" dxfId="93" priority="677" operator="equal">
      <formula>1</formula>
    </cfRule>
    <cfRule type="cellIs" dxfId="92" priority="676" operator="equal">
      <formula>0</formula>
    </cfRule>
  </conditionalFormatting>
  <conditionalFormatting sqref="AA9">
    <cfRule type="cellIs" dxfId="91" priority="685" operator="equal">
      <formula>1</formula>
    </cfRule>
    <cfRule type="cellIs" dxfId="90" priority="684" operator="equal">
      <formula>0</formula>
    </cfRule>
  </conditionalFormatting>
  <conditionalFormatting sqref="AA12">
    <cfRule type="cellIs" dxfId="89" priority="693" operator="equal">
      <formula>1</formula>
    </cfRule>
    <cfRule type="cellIs" dxfId="88" priority="692" operator="equal">
      <formula>0</formula>
    </cfRule>
  </conditionalFormatting>
  <conditionalFormatting sqref="AA14">
    <cfRule type="cellIs" dxfId="87" priority="698" operator="equal">
      <formula>0</formula>
    </cfRule>
    <cfRule type="cellIs" dxfId="86" priority="699" operator="equal">
      <formula>1</formula>
    </cfRule>
  </conditionalFormatting>
  <conditionalFormatting sqref="AA82:AB82">
    <cfRule type="cellIs" dxfId="85" priority="18" operator="greaterThanOrEqual">
      <formula>1</formula>
    </cfRule>
    <cfRule type="cellIs" dxfId="84" priority="17" operator="equal">
      <formula>0</formula>
    </cfRule>
  </conditionalFormatting>
  <conditionalFormatting sqref="AB4">
    <cfRule type="cellIs" dxfId="83" priority="689" operator="equal">
      <formula>1</formula>
    </cfRule>
    <cfRule type="cellIs" dxfId="82" priority="688" operator="equal">
      <formula>0</formula>
    </cfRule>
  </conditionalFormatting>
  <conditionalFormatting sqref="AB10">
    <cfRule type="cellIs" dxfId="81" priority="683" operator="equal">
      <formula>1</formula>
    </cfRule>
    <cfRule type="cellIs" dxfId="80" priority="682" operator="equal">
      <formula>0</formula>
    </cfRule>
  </conditionalFormatting>
  <conditionalFormatting sqref="AB16">
    <cfRule type="cellIs" dxfId="79" priority="491" operator="equal">
      <formula>1</formula>
    </cfRule>
    <cfRule type="cellIs" dxfId="78" priority="490" operator="equal">
      <formula>0</formula>
    </cfRule>
  </conditionalFormatting>
  <conditionalFormatting sqref="AB18">
    <cfRule type="cellIs" dxfId="77" priority="499" operator="equal">
      <formula>1</formula>
    </cfRule>
    <cfRule type="cellIs" dxfId="76" priority="498" operator="equal">
      <formula>0</formula>
    </cfRule>
  </conditionalFormatting>
  <conditionalFormatting sqref="AB23">
    <cfRule type="cellIs" dxfId="75" priority="501" operator="equal">
      <formula>1</formula>
    </cfRule>
    <cfRule type="cellIs" dxfId="74" priority="500" operator="equal">
      <formula>0</formula>
    </cfRule>
  </conditionalFormatting>
  <conditionalFormatting sqref="AB25">
    <cfRule type="cellIs" dxfId="73" priority="421" operator="equal">
      <formula>1</formula>
    </cfRule>
    <cfRule type="cellIs" dxfId="72" priority="420" operator="equal">
      <formula>0</formula>
    </cfRule>
  </conditionalFormatting>
  <conditionalFormatting sqref="AB50">
    <cfRule type="cellIs" dxfId="71" priority="255" operator="equal">
      <formula>1</formula>
    </cfRule>
    <cfRule type="cellIs" dxfId="70" priority="254" operator="equal">
      <formula>0</formula>
    </cfRule>
  </conditionalFormatting>
  <conditionalFormatting sqref="AB52">
    <cfRule type="cellIs" dxfId="69" priority="251" operator="equal">
      <formula>1</formula>
    </cfRule>
    <cfRule type="cellIs" dxfId="68" priority="250" operator="equal">
      <formula>0</formula>
    </cfRule>
  </conditionalFormatting>
  <conditionalFormatting sqref="AB54">
    <cfRule type="cellIs" dxfId="67" priority="230" operator="equal">
      <formula>0</formula>
    </cfRule>
    <cfRule type="cellIs" dxfId="66" priority="231" operator="equal">
      <formula>1</formula>
    </cfRule>
  </conditionalFormatting>
  <conditionalFormatting sqref="AB56">
    <cfRule type="cellIs" dxfId="65" priority="226" operator="equal">
      <formula>0</formula>
    </cfRule>
    <cfRule type="cellIs" dxfId="64" priority="227" operator="equal">
      <formula>1</formula>
    </cfRule>
  </conditionalFormatting>
  <conditionalFormatting sqref="AB58">
    <cfRule type="cellIs" dxfId="63" priority="224" operator="equal">
      <formula>0</formula>
    </cfRule>
    <cfRule type="cellIs" dxfId="62" priority="225" operator="equal">
      <formula>1</formula>
    </cfRule>
  </conditionalFormatting>
  <conditionalFormatting sqref="AB60">
    <cfRule type="cellIs" dxfId="61" priority="220" operator="equal">
      <formula>0</formula>
    </cfRule>
    <cfRule type="cellIs" dxfId="60" priority="221" operator="equal">
      <formula>1</formula>
    </cfRule>
  </conditionalFormatting>
  <conditionalFormatting sqref="AB62">
    <cfRule type="cellIs" dxfId="59" priority="219" operator="equal">
      <formula>1</formula>
    </cfRule>
    <cfRule type="cellIs" dxfId="58" priority="218" operator="equal">
      <formula>0</formula>
    </cfRule>
  </conditionalFormatting>
  <conditionalFormatting sqref="AB64">
    <cfRule type="cellIs" dxfId="57" priority="214" operator="equal">
      <formula>0</formula>
    </cfRule>
    <cfRule type="cellIs" dxfId="56" priority="215" operator="equal">
      <formula>1</formula>
    </cfRule>
  </conditionalFormatting>
  <conditionalFormatting sqref="AB33:AE34">
    <cfRule type="cellIs" dxfId="55" priority="332" operator="equal">
      <formula>0</formula>
    </cfRule>
    <cfRule type="cellIs" dxfId="54" priority="333" operator="equal">
      <formula>1</formula>
    </cfRule>
  </conditionalFormatting>
  <conditionalFormatting sqref="AB36:AE36">
    <cfRule type="cellIs" dxfId="53" priority="263" operator="equal">
      <formula>1</formula>
    </cfRule>
    <cfRule type="cellIs" dxfId="52" priority="262" operator="equal">
      <formula>0</formula>
    </cfRule>
  </conditionalFormatting>
  <conditionalFormatting sqref="AB38:AE38">
    <cfRule type="cellIs" dxfId="51" priority="277" operator="equal">
      <formula>1</formula>
    </cfRule>
    <cfRule type="cellIs" dxfId="50" priority="276" operator="equal">
      <formula>0</formula>
    </cfRule>
  </conditionalFormatting>
  <conditionalFormatting sqref="AB40:AE41">
    <cfRule type="cellIs" dxfId="49" priority="317" operator="equal">
      <formula>1</formula>
    </cfRule>
    <cfRule type="cellIs" dxfId="48" priority="316" operator="equal">
      <formula>0</formula>
    </cfRule>
  </conditionalFormatting>
  <conditionalFormatting sqref="AB43:AE43">
    <cfRule type="cellIs" dxfId="47" priority="283" operator="equal">
      <formula>1</formula>
    </cfRule>
    <cfRule type="cellIs" dxfId="46" priority="282" operator="equal">
      <formula>0</formula>
    </cfRule>
  </conditionalFormatting>
  <conditionalFormatting sqref="AB45:AE45">
    <cfRule type="cellIs" dxfId="45" priority="295" operator="equal">
      <formula>1</formula>
    </cfRule>
    <cfRule type="cellIs" dxfId="44" priority="294" operator="equal">
      <formula>0</formula>
    </cfRule>
  </conditionalFormatting>
  <conditionalFormatting sqref="AB47:AE48">
    <cfRule type="cellIs" dxfId="43" priority="261" operator="equal">
      <formula>1</formula>
    </cfRule>
    <cfRule type="cellIs" dxfId="42" priority="260" operator="equal">
      <formula>0</formula>
    </cfRule>
  </conditionalFormatting>
  <conditionalFormatting sqref="AB66:AE66">
    <cfRule type="cellIs" dxfId="41" priority="257" operator="equal">
      <formula>1</formula>
    </cfRule>
    <cfRule type="cellIs" dxfId="40" priority="256" operator="equal">
      <formula>0</formula>
    </cfRule>
  </conditionalFormatting>
  <conditionalFormatting sqref="AC6">
    <cfRule type="cellIs" dxfId="39" priority="679" operator="equal">
      <formula>1</formula>
    </cfRule>
    <cfRule type="cellIs" dxfId="38" priority="678" operator="equal">
      <formula>0</formula>
    </cfRule>
  </conditionalFormatting>
  <conditionalFormatting sqref="AC8">
    <cfRule type="cellIs" dxfId="37" priority="680" operator="equal">
      <formula>0</formula>
    </cfRule>
    <cfRule type="cellIs" dxfId="36" priority="681" operator="equal">
      <formula>1</formula>
    </cfRule>
  </conditionalFormatting>
  <conditionalFormatting sqref="AC14">
    <cfRule type="cellIs" dxfId="35" priority="697" operator="equal">
      <formula>1</formula>
    </cfRule>
    <cfRule type="cellIs" dxfId="34" priority="696" operator="equal">
      <formula>0</formula>
    </cfRule>
  </conditionalFormatting>
  <conditionalFormatting sqref="AC27">
    <cfRule type="cellIs" dxfId="33" priority="414" operator="equal">
      <formula>0</formula>
    </cfRule>
    <cfRule type="cellIs" dxfId="32" priority="415" operator="equal">
      <formula>1</formula>
    </cfRule>
  </conditionalFormatting>
  <conditionalFormatting sqref="AC29">
    <cfRule type="cellIs" dxfId="31" priority="409" operator="equal">
      <formula>1</formula>
    </cfRule>
    <cfRule type="cellIs" dxfId="30" priority="408" operator="equal">
      <formula>0</formula>
    </cfRule>
  </conditionalFormatting>
  <conditionalFormatting sqref="AC31">
    <cfRule type="cellIs" dxfId="29" priority="406" operator="equal">
      <formula>0</formula>
    </cfRule>
    <cfRule type="cellIs" dxfId="28" priority="407" operator="equal">
      <formula>1</formula>
    </cfRule>
  </conditionalFormatting>
  <conditionalFormatting sqref="AC51:AD51">
    <cfRule type="cellIs" dxfId="27" priority="252" operator="equal">
      <formula>0</formula>
    </cfRule>
    <cfRule type="cellIs" dxfId="26" priority="253" operator="equal">
      <formula>1</formula>
    </cfRule>
  </conditionalFormatting>
  <conditionalFormatting sqref="AC55:AD55">
    <cfRule type="cellIs" dxfId="25" priority="228" operator="equal">
      <formula>0</formula>
    </cfRule>
    <cfRule type="cellIs" dxfId="24" priority="229" operator="equal">
      <formula>1</formula>
    </cfRule>
  </conditionalFormatting>
  <conditionalFormatting sqref="AC59:AD59">
    <cfRule type="cellIs" dxfId="23" priority="223" operator="equal">
      <formula>1</formula>
    </cfRule>
    <cfRule type="cellIs" dxfId="22" priority="222" operator="equal">
      <formula>0</formula>
    </cfRule>
  </conditionalFormatting>
  <conditionalFormatting sqref="AC63:AD63">
    <cfRule type="cellIs" dxfId="21" priority="217" operator="equal">
      <formula>1</formula>
    </cfRule>
    <cfRule type="cellIs" dxfId="20" priority="216" operator="equal">
      <formula>0</formula>
    </cfRule>
  </conditionalFormatting>
  <conditionalFormatting sqref="AD4">
    <cfRule type="cellIs" dxfId="19" priority="690" operator="equal">
      <formula>0</formula>
    </cfRule>
    <cfRule type="cellIs" dxfId="18" priority="691" operator="equal">
      <formula>1</formula>
    </cfRule>
  </conditionalFormatting>
  <conditionalFormatting sqref="AD7">
    <cfRule type="cellIs" dxfId="17" priority="694" operator="equal">
      <formula>0</formula>
    </cfRule>
    <cfRule type="cellIs" dxfId="16" priority="695" operator="equal">
      <formula>1</formula>
    </cfRule>
  </conditionalFormatting>
  <conditionalFormatting sqref="AD25">
    <cfRule type="cellIs" dxfId="15" priority="419" operator="equal">
      <formula>1</formula>
    </cfRule>
    <cfRule type="cellIs" dxfId="14" priority="418" operator="equal">
      <formula>0</formula>
    </cfRule>
  </conditionalFormatting>
  <conditionalFormatting sqref="AD28:AE28">
    <cfRule type="cellIs" dxfId="13" priority="411" operator="equal">
      <formula>1</formula>
    </cfRule>
    <cfRule type="cellIs" dxfId="12" priority="410" operator="equal">
      <formula>0</formula>
    </cfRule>
  </conditionalFormatting>
  <conditionalFormatting sqref="AD82:AG83">
    <cfRule type="cellIs" dxfId="11" priority="7" operator="equal">
      <formula>0</formula>
    </cfRule>
    <cfRule type="cellIs" dxfId="10" priority="8" operator="greaterThanOrEqual">
      <formula>1</formula>
    </cfRule>
  </conditionalFormatting>
  <conditionalFormatting sqref="AE87:AG101">
    <cfRule type="cellIs" dxfId="9" priority="2" operator="greaterThan">
      <formula>0</formula>
    </cfRule>
    <cfRule type="containsText" dxfId="8" priority="1" operator="containsText" text="0000">
      <formula>NOT(ISERROR(SEARCH("0000",AE87)))</formula>
    </cfRule>
  </conditionalFormatting>
  <conditionalFormatting sqref="AF25">
    <cfRule type="cellIs" dxfId="7" priority="416" operator="equal">
      <formula>0</formula>
    </cfRule>
    <cfRule type="cellIs" dxfId="6" priority="417" operator="equal">
      <formula>1</formula>
    </cfRule>
  </conditionalFormatting>
  <conditionalFormatting sqref="AG47">
    <cfRule type="cellIs" dxfId="5" priority="258" operator="equal">
      <formula>0</formula>
    </cfRule>
    <cfRule type="cellIs" dxfId="4" priority="259" operator="equal">
      <formula>1</formula>
    </cfRule>
  </conditionalFormatting>
  <conditionalFormatting sqref="AG86">
    <cfRule type="containsText" dxfId="3" priority="9" operator="containsText" text="0000">
      <formula>NOT(ISERROR(SEARCH("0000",AG86)))</formula>
    </cfRule>
    <cfRule type="cellIs" dxfId="2" priority="10" operator="greaterThan">
      <formula>0</formula>
    </cfRule>
  </conditionalFormatting>
  <conditionalFormatting sqref="AH86:AT101">
    <cfRule type="containsText" dxfId="1" priority="3" operator="containsText" text="0000">
      <formula>NOT(ISERROR(SEARCH("0000",AH86)))</formula>
    </cfRule>
    <cfRule type="cellIs" dxfId="0" priority="4" operator="greaterThan">
      <formula>0</formula>
    </cfRule>
  </conditionalFormatting>
  <pageMargins left="0.7" right="0.7" top="0.75" bottom="0.75" header="0" footer="0"/>
  <pageSetup orientation="portrait" r:id="rId1"/>
  <ignoredErrors>
    <ignoredError sqref="G82:J82 H81:J81 F83:F84" numberStoredAsText="1"/>
    <ignoredError sqref="AH8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>
      <selection activeCell="AC50" sqref="AC50"/>
    </sheetView>
  </sheetViews>
  <sheetFormatPr defaultColWidth="9.109375" defaultRowHeight="14.4" x14ac:dyDescent="0.3"/>
  <cols>
    <col min="1" max="5" width="9.109375" style="91"/>
    <col min="6" max="7" width="9.109375" style="91" customWidth="1"/>
    <col min="8" max="16384" width="9.109375" style="91"/>
  </cols>
  <sheetData>
    <row r="1" spans="1:1" x14ac:dyDescent="0.3">
      <c r="A1" s="92" t="s">
        <v>67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5" ht="14.4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ht="14.4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ht="14.4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ht="14.4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ht="14.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ht="14.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ht="14.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ht="14.4" x14ac:dyDescent="0.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ht="14.4" x14ac:dyDescent="0.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ht="14.4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ht="14.4" x14ac:dyDescent="0.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ht="14.4" x14ac:dyDescent="0.3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ht="14.4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ht="14.4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ht="14.4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ht="14.4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ht="14.4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ht="14.4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ht="14.4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ht="14.4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3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3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Logic Gate Sheet</vt:lpstr>
      <vt:lpstr>MEMORY</vt:lpstr>
      <vt:lpstr>Board</vt:lpstr>
      <vt:lpstr>ADDRESSX</vt:lpstr>
      <vt:lpstr>ADDRESSY</vt:lpstr>
      <vt:lpstr>AND.1</vt:lpstr>
      <vt:lpstr>AND.2</vt:lpstr>
      <vt:lpstr>CLOCK</vt:lpstr>
      <vt:lpstr>DATABIT1</vt:lpstr>
      <vt:lpstr>DATABIT2</vt:lpstr>
      <vt:lpstr>DATABIT3</vt:lpstr>
      <vt:lpstr>DATABIT4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OPBIT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2024-08-20T22:00:48Z</dcterms:modified>
</cp:coreProperties>
</file>