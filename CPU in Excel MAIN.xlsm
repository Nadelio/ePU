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372A7539-3FEE-4AB6-B5A6-A31A6F0326DF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FULLDATABIT">RAM!$B$19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AMIN1">RAM!$B$23</definedName>
    <definedName name="RAMIN2">RAM!$B$22</definedName>
    <definedName name="RAMIN3">RAM!$B$21</definedName>
    <definedName name="RAMIN4">RAM!$B$20</definedName>
    <definedName name="RAMOP">RAM!$A$19</definedName>
    <definedName name="RAMX">RAM!$A$20</definedName>
    <definedName name="RAMY">RAM!$A$21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A19" i="4" s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AJ83" i="1"/>
  <c r="AL83" i="1"/>
  <c r="P85" i="1"/>
  <c r="R85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B19" i="4"/>
  <c r="A20" i="4"/>
  <c r="A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<sst xmlns="http://schemas.openxmlformats.org/spreadsheetml/2006/main" count="242" uniqueCount="100">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</sst>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7" fillId="0" borderId="0" xfId="0" applyFont="1" applyAlignment="1">
      <alignment horizontal="center"/>
    </xf>
    <xf numFmtId="0" fontId="8" fillId="0" borderId="0" xfId="0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3" borderId="2" xfId="0" applyFont="1" applyFill="1" applyBorder="1"/>
    <xf numFmtId="0" fontId="7" fillId="0" borderId="3" xfId="0" applyFont="1" applyBorder="1" applyAlignment="1">
      <alignment horizontal="center"/>
    </xf>
    <xf numFmtId="0" fontId="7" fillId="2" borderId="4" xfId="0" applyFont="1" applyFill="1" applyBorder="1"/>
    <xf numFmtId="0" fontId="7" fillId="2" borderId="5" xfId="0" applyFont="1" applyFill="1" applyBorder="1"/>
    <xf numFmtId="0" fontId="7" fillId="0" borderId="6" xfId="0" applyFont="1" applyBorder="1" applyAlignment="1">
      <alignment horizontal="center"/>
    </xf>
    <xf numFmtId="0" fontId="7" fillId="2" borderId="7" xfId="0" applyFont="1" applyFill="1" applyBorder="1"/>
    <xf numFmtId="0" fontId="7" fillId="2" borderId="8" xfId="0" applyFont="1" applyFill="1" applyBorder="1"/>
    <xf numFmtId="0" fontId="7" fillId="3" borderId="9" xfId="0" applyFont="1" applyFill="1" applyBorder="1"/>
    <xf numFmtId="0" fontId="7" fillId="2" borderId="10" xfId="0" applyFont="1" applyFill="1" applyBorder="1"/>
    <xf numFmtId="0" fontId="7" fillId="2" borderId="12" xfId="0" applyFont="1" applyFill="1" applyBorder="1"/>
    <xf numFmtId="0" fontId="7" fillId="2" borderId="13" xfId="0" applyFont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7" fillId="2" borderId="18" xfId="0" applyFont="1" applyFill="1" applyBorder="1"/>
    <xf numFmtId="0" fontId="7" fillId="2" borderId="19" xfId="0" applyFont="1" applyFill="1" applyBorder="1"/>
    <xf numFmtId="0" fontId="7" fillId="2" borderId="22" xfId="0" applyFont="1" applyFill="1" applyBorder="1"/>
    <xf numFmtId="0" fontId="7" fillId="2" borderId="27" xfId="0" applyFont="1" applyFill="1" applyBorder="1"/>
    <xf numFmtId="0" fontId="7" fillId="2" borderId="9" xfId="0" applyFont="1" applyFill="1" applyBorder="1"/>
    <xf numFmtId="0" fontId="7" fillId="2" borderId="28" xfId="0" applyFont="1" applyFill="1" applyBorder="1"/>
    <xf numFmtId="0" fontId="7" fillId="2" borderId="29" xfId="0" applyFont="1" applyFill="1" applyBorder="1"/>
    <xf numFmtId="0" fontId="7" fillId="0" borderId="30" xfId="0" applyFont="1" applyBorder="1" applyAlignment="1">
      <alignment horizontal="center"/>
    </xf>
    <xf numFmtId="0" fontId="7" fillId="2" borderId="34" xfId="0" applyFont="1" applyFill="1" applyBorder="1"/>
    <xf numFmtId="0" fontId="7" fillId="3" borderId="35" xfId="0" applyFont="1" applyFill="1" applyBorder="1"/>
    <xf numFmtId="0" fontId="7" fillId="0" borderId="36" xfId="0" applyFont="1" applyBorder="1" applyAlignment="1">
      <alignment horizontal="center"/>
    </xf>
    <xf numFmtId="0" fontId="7" fillId="2" borderId="37" xfId="0" applyFont="1" applyFill="1" applyBorder="1"/>
    <xf numFmtId="0" fontId="7" fillId="0" borderId="40" xfId="0" applyFont="1" applyBorder="1" applyAlignment="1">
      <alignment horizontal="center"/>
    </xf>
    <xf numFmtId="0" fontId="7" fillId="2" borderId="43" xfId="0" applyFont="1" applyFill="1" applyBorder="1"/>
    <xf numFmtId="0" fontId="7" fillId="2" borderId="44" xfId="0" applyFont="1" applyFill="1" applyBorder="1"/>
    <xf numFmtId="0" fontId="7" fillId="2" borderId="45" xfId="0" applyFont="1" applyFill="1" applyBorder="1"/>
    <xf numFmtId="0" fontId="7" fillId="2" borderId="46" xfId="0" applyFont="1" applyFill="1" applyBorder="1"/>
    <xf numFmtId="0" fontId="7" fillId="2" borderId="48" xfId="0" applyFont="1" applyFill="1" applyBorder="1"/>
    <xf numFmtId="0" fontId="7" fillId="2" borderId="49" xfId="0" applyFont="1" applyFill="1" applyBorder="1"/>
    <xf numFmtId="0" fontId="7" fillId="2" borderId="51" xfId="0" applyFont="1" applyFill="1" applyBorder="1"/>
    <xf numFmtId="0" fontId="7" fillId="2" borderId="54" xfId="0" applyFont="1" applyFill="1" applyBorder="1"/>
    <xf numFmtId="0" fontId="7" fillId="2" borderId="35" xfId="0" applyFont="1" applyFill="1" applyBorder="1"/>
    <xf numFmtId="0" fontId="7" fillId="2" borderId="56" xfId="0" applyFont="1" applyFill="1" applyBorder="1"/>
    <xf numFmtId="0" fontId="7" fillId="2" borderId="57" xfId="0" applyFont="1" applyFill="1" applyBorder="1"/>
    <xf numFmtId="0" fontId="7" fillId="2" borderId="58" xfId="0" applyFont="1" applyFill="1" applyBorder="1"/>
    <xf numFmtId="0" fontId="7" fillId="2" borderId="59" xfId="0" applyFont="1" applyFill="1" applyBorder="1"/>
    <xf numFmtId="0" fontId="7" fillId="2" borderId="60" xfId="0" applyFont="1" applyFill="1" applyBorder="1"/>
    <xf numFmtId="0" fontId="9" fillId="3" borderId="57" xfId="0" applyFont="1" applyFill="1" applyBorder="1"/>
    <xf numFmtId="0" fontId="7" fillId="0" borderId="64" xfId="0" applyFont="1" applyBorder="1" applyAlignment="1">
      <alignment horizontal="center"/>
    </xf>
    <xf numFmtId="0" fontId="7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7" fillId="0" borderId="65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2" borderId="72" xfId="0" applyFont="1" applyFill="1" applyBorder="1"/>
    <xf numFmtId="0" fontId="7" fillId="2" borderId="73" xfId="0" applyFont="1" applyFill="1" applyBorder="1"/>
    <xf numFmtId="0" fontId="7" fillId="3" borderId="74" xfId="0" applyFont="1" applyFill="1" applyBorder="1"/>
    <xf numFmtId="0" fontId="7" fillId="3" borderId="47" xfId="0" applyFont="1" applyFill="1" applyBorder="1"/>
    <xf numFmtId="0" fontId="7" fillId="0" borderId="58" xfId="0" applyFont="1" applyBorder="1" applyAlignment="1">
      <alignment horizontal="center"/>
    </xf>
    <xf numFmtId="0" fontId="7" fillId="2" borderId="76" xfId="0" applyFont="1" applyFill="1" applyBorder="1"/>
    <xf numFmtId="0" fontId="7" fillId="2" borderId="65" xfId="0" applyFont="1" applyFill="1" applyBorder="1"/>
    <xf numFmtId="0" fontId="7" fillId="2" borderId="30" xfId="0" applyFont="1" applyFill="1" applyBorder="1"/>
    <xf numFmtId="0" fontId="7" fillId="2" borderId="61" xfId="0" applyFont="1" applyFill="1" applyBorder="1"/>
    <xf numFmtId="0" fontId="7" fillId="2" borderId="75" xfId="0" applyFont="1" applyFill="1" applyBorder="1"/>
    <xf numFmtId="0" fontId="7" fillId="2" borderId="77" xfId="0" applyFont="1" applyFill="1" applyBorder="1"/>
    <xf numFmtId="0" fontId="6" fillId="0" borderId="0" xfId="0" applyFont="1"/>
    <xf numFmtId="0" fontId="11" fillId="0" borderId="65" xfId="0" applyFont="1" applyBorder="1" applyAlignment="1">
      <alignment horizontal="center"/>
    </xf>
    <xf numFmtId="0" fontId="5" fillId="0" borderId="61" xfId="0" applyFont="1" applyBorder="1"/>
    <xf numFmtId="0" fontId="4" fillId="0" borderId="61" xfId="0" applyFont="1" applyBorder="1"/>
    <xf numFmtId="0" fontId="4" fillId="0" borderId="0" xfId="0" applyFont="1"/>
    <xf numFmtId="0" fontId="4" fillId="0" borderId="69" xfId="0" applyFont="1" applyBorder="1"/>
    <xf numFmtId="0" fontId="4" fillId="0" borderId="67" xfId="0" applyFont="1" applyBorder="1"/>
    <xf numFmtId="0" fontId="5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4" fillId="0" borderId="70" xfId="0" applyNumberFormat="1" applyFont="1" applyBorder="1"/>
    <xf numFmtId="49" fontId="4" fillId="0" borderId="64" xfId="0" applyNumberFormat="1" applyFont="1" applyBorder="1"/>
    <xf numFmtId="49" fontId="0" fillId="0" borderId="68" xfId="0" applyNumberFormat="1" applyBorder="1"/>
    <xf numFmtId="0" fontId="7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3" fillId="0" borderId="61" xfId="0" applyFont="1" applyBorder="1"/>
    <xf numFmtId="0" fontId="14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2" fillId="0" borderId="0" xfId="0" quotePrefix="1" applyNumberFormat="1" applyFont="1"/>
    <xf numFmtId="0" fontId="4" fillId="0" borderId="65" xfId="0" applyFont="1" applyBorder="1"/>
    <xf numFmtId="49" fontId="0" fillId="0" borderId="65" xfId="0" applyNumberFormat="1" applyBorder="1"/>
    <xf numFmtId="0" fontId="2" fillId="0" borderId="61" xfId="0" applyFont="1" applyBorder="1"/>
    <xf numFmtId="0" fontId="2" fillId="0" borderId="66" xfId="0" applyFont="1" applyBorder="1"/>
    <xf numFmtId="0" fontId="7" fillId="3" borderId="69" xfId="0" applyFont="1" applyFill="1" applyBorder="1"/>
    <xf numFmtId="0" fontId="3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7" fillId="4" borderId="61" xfId="0" applyFont="1" applyFill="1" applyBorder="1" applyAlignment="1">
      <alignment horizontal="center"/>
    </xf>
    <xf numFmtId="0" fontId="1" fillId="0" borderId="0" xfId="0" applyFont="1"/>
    <xf numFmtId="16" fontId="7" fillId="3" borderId="53" xfId="0" applyNumberFormat="1" applyFont="1" applyFill="1" applyBorder="1" applyAlignment="1">
      <alignment horizontal="center" vertical="center" wrapText="1"/>
    </xf>
    <xf numFmtId="0" fontId="10" fillId="0" borderId="25" xfId="0" applyFont="1" applyBorder="1"/>
    <xf numFmtId="0" fontId="10" fillId="0" borderId="55" xfId="0" applyFont="1" applyBorder="1"/>
    <xf numFmtId="0" fontId="9" fillId="3" borderId="75" xfId="0" applyFont="1" applyFill="1" applyBorder="1" applyAlignment="1">
      <alignment horizontal="center" vertical="center" wrapText="1"/>
    </xf>
    <xf numFmtId="0" fontId="10" fillId="0" borderId="26" xfId="0" applyFont="1" applyBorder="1"/>
    <xf numFmtId="0" fontId="7" fillId="3" borderId="17" xfId="0" applyFont="1" applyFill="1" applyBorder="1" applyAlignment="1">
      <alignment horizontal="center" vertical="center" wrapText="1"/>
    </xf>
    <xf numFmtId="0" fontId="10" fillId="0" borderId="21" xfId="0" applyFont="1" applyBorder="1"/>
    <xf numFmtId="0" fontId="10" fillId="0" borderId="23" xfId="0" applyFont="1" applyBorder="1"/>
    <xf numFmtId="0" fontId="12" fillId="3" borderId="68" xfId="0" applyFont="1" applyFill="1" applyBorder="1" applyAlignment="1">
      <alignment horizontal="center" vertical="center" wrapText="1"/>
    </xf>
    <xf numFmtId="0" fontId="12" fillId="3" borderId="66" xfId="0" applyFont="1" applyFill="1" applyBorder="1" applyAlignment="1">
      <alignment horizontal="center" vertical="center" wrapText="1"/>
    </xf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/>
    </xf>
    <xf numFmtId="0" fontId="10" fillId="0" borderId="61" xfId="0" applyFont="1" applyBorder="1"/>
    <xf numFmtId="0" fontId="7" fillId="3" borderId="62" xfId="0" applyFont="1" applyFill="1" applyBorder="1" applyAlignment="1">
      <alignment horizontal="center" vertical="center" wrapText="1"/>
    </xf>
    <xf numFmtId="0" fontId="10" fillId="0" borderId="63" xfId="0" applyFont="1" applyBorder="1"/>
    <xf numFmtId="0" fontId="7" fillId="3" borderId="24" xfId="0" applyFont="1" applyFill="1" applyBorder="1" applyAlignment="1">
      <alignment horizontal="center" vertical="center" wrapText="1"/>
    </xf>
    <xf numFmtId="0" fontId="9" fillId="3" borderId="24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10" fillId="0" borderId="16" xfId="0" applyFont="1" applyBorder="1"/>
    <xf numFmtId="0" fontId="10" fillId="0" borderId="20" xfId="0" applyFont="1" applyBorder="1"/>
    <xf numFmtId="0" fontId="7" fillId="3" borderId="31" xfId="0" applyFont="1" applyFill="1" applyBorder="1" applyAlignment="1">
      <alignment horizontal="center" vertical="center" wrapText="1"/>
    </xf>
    <xf numFmtId="0" fontId="10" fillId="0" borderId="32" xfId="0" applyFont="1" applyBorder="1"/>
    <xf numFmtId="0" fontId="10" fillId="0" borderId="33" xfId="0" applyFont="1" applyBorder="1"/>
    <xf numFmtId="0" fontId="10" fillId="0" borderId="38" xfId="0" applyFont="1" applyBorder="1"/>
    <xf numFmtId="0" fontId="0" fillId="0" borderId="0" xfId="0"/>
    <xf numFmtId="0" fontId="10" fillId="0" borderId="39" xfId="0" applyFont="1" applyBorder="1"/>
    <xf numFmtId="0" fontId="10" fillId="0" borderId="41" xfId="0" applyFont="1" applyBorder="1"/>
    <xf numFmtId="0" fontId="10" fillId="0" borderId="36" xfId="0" applyFont="1" applyBorder="1"/>
    <xf numFmtId="0" fontId="10" fillId="0" borderId="42" xfId="0" applyFont="1" applyBorder="1"/>
    <xf numFmtId="0" fontId="7" fillId="3" borderId="47" xfId="0" applyFont="1" applyFill="1" applyBorder="1" applyAlignment="1">
      <alignment horizontal="center" vertical="center" wrapText="1"/>
    </xf>
    <xf numFmtId="0" fontId="10" fillId="0" borderId="50" xfId="0" applyFont="1" applyBorder="1"/>
    <xf numFmtId="0" fontId="10" fillId="0" borderId="52" xfId="0" applyFont="1" applyBorder="1"/>
    <xf numFmtId="0" fontId="7" fillId="3" borderId="53" xfId="0" applyFont="1" applyFill="1" applyBorder="1" applyAlignment="1">
      <alignment horizontal="center" vertical="center" wrapText="1"/>
    </xf>
    <xf numFmtId="0" fontId="4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2" fillId="3" borderId="66" xfId="0" applyFont="1" applyFill="1" applyBorder="1" applyAlignment="1">
      <alignment vertical="center" wrapText="1"/>
    </xf>
    <xf numFmtId="0" fontId="4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7" fillId="3" borderId="64" xfId="0" applyFont="1" applyFill="1" applyBorder="1" applyAlignment="1">
      <alignment horizontal="center"/>
    </xf>
    <xf numFmtId="0" fontId="7" fillId="3" borderId="61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13" fillId="3" borderId="65" xfId="0" applyFont="1" applyFill="1" applyBorder="1" applyAlignment="1">
      <alignment horizontal="center" vertical="center" wrapText="1"/>
    </xf>
    <xf numFmtId="0" fontId="13" fillId="3" borderId="61" xfId="0" applyFont="1" applyFill="1" applyBorder="1" applyAlignment="1">
      <alignment horizontal="center" vertical="center" wrapText="1"/>
    </xf>
    <xf numFmtId="0" fontId="0" fillId="0" borderId="61" xfId="0" quotePrefix="1" applyBorder="1" applyAlignment="1">
      <alignment horizontal="center" vertical="center"/>
    </xf>
  </cellXfs>
  <cellStyles count="1">
    <cellStyle name="Normal" xfId="0" builtinId="0"/>
  </cellStyles>
  <dxfs count="486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T72" zoomScale="90" zoomScaleNormal="90" workbookViewId="0">
      <selection activeCell="AN93" sqref="AN93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1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1</v>
      </c>
      <c r="L6" s="13"/>
      <c r="M6" s="122"/>
      <c r="N6" s="13"/>
      <c r="O6" s="13"/>
      <c r="P6" s="13"/>
      <c r="Q6" s="14"/>
      <c r="S6" s="15"/>
      <c r="T6" s="13"/>
      <c r="U6" s="13"/>
      <c r="V6" s="13"/>
      <c r="W6" s="13"/>
      <c r="X6" s="108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23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9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10"/>
      <c r="Z8" s="18"/>
      <c r="AA8" s="12"/>
      <c r="AB8" s="12"/>
      <c r="AC8" s="1">
        <f>IF(AC6 = 1, 0, 1)</f>
        <v>1</v>
      </c>
      <c r="AD8" s="12"/>
      <c r="AE8" s="17"/>
      <c r="AF8" s="119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4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07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24" t="s">
        <v>15</v>
      </c>
      <c r="P12" s="125"/>
      <c r="Q12" s="126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7"/>
      <c r="P13" s="128"/>
      <c r="Q13" s="129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30"/>
      <c r="P14" s="131"/>
      <c r="Q14" s="132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3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4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35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8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6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9"/>
      <c r="Y19" s="18"/>
      <c r="Z19" s="1">
        <f>IF(Z16 = 1, 0, 1)</f>
        <v>1</v>
      </c>
      <c r="AA19" s="12"/>
      <c r="AB19" s="12"/>
      <c r="AC19" s="12"/>
      <c r="AD19" s="22"/>
      <c r="AE19" s="104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10"/>
      <c r="Y20" s="18"/>
      <c r="Z20" s="12"/>
      <c r="AA20" s="12"/>
      <c r="AB20" s="12"/>
      <c r="AC20" s="12"/>
      <c r="AD20" s="22"/>
      <c r="AE20" s="105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9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4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07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3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0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4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4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5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07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8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9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10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4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9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4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4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4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07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8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9"/>
      <c r="X42" s="17"/>
      <c r="Y42" s="14"/>
      <c r="AA42" s="18"/>
      <c r="AB42" s="22"/>
      <c r="AC42" s="22"/>
      <c r="AD42" s="22"/>
      <c r="AE42" s="22"/>
      <c r="AF42" s="22"/>
      <c r="AG42" s="140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10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40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40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9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4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07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8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9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10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3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4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5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9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4"/>
      <c r="O61" s="14"/>
      <c r="Q61" s="16"/>
      <c r="R61" s="15"/>
      <c r="S61" s="13"/>
      <c r="T61" s="13"/>
      <c r="U61" s="13"/>
      <c r="V61" s="13"/>
      <c r="W61" s="108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07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9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10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5" t="s">
        <v>32</v>
      </c>
      <c r="T71" s="116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17" t="s">
        <v>33</v>
      </c>
      <c r="T72" s="118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97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95</v>
      </c>
      <c r="AG79" t="s">
        <v>96</v>
      </c>
    </row>
    <row r="80" spans="4:36" ht="15" customHeight="1" x14ac:dyDescent="0.3">
      <c r="D80" s="52"/>
      <c r="E80" s="51"/>
      <c r="F80" s="52"/>
      <c r="G80" s="142" t="s">
        <v>49</v>
      </c>
      <c r="H80" s="143"/>
      <c r="I80" s="143"/>
      <c r="J80" s="144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AL83</f>
        <v>0000</v>
      </c>
      <c r="AG80" s="95" t="str">
        <f ca="1">AJ83</f>
        <v>0101</v>
      </c>
      <c r="AH80" s="95" t="s">
        <v>81</v>
      </c>
      <c r="AI80" s="95">
        <f ca="1">VALUE(BIN2DEC(AF80) + 1)</f>
        <v>1</v>
      </c>
      <c r="AJ80" s="95">
        <f ca="1">VALUE(BIN2DEC(AG80) + 1)</f>
        <v>6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1</v>
      </c>
      <c r="AE81">
        <v>0</v>
      </c>
      <c r="AF81">
        <v>1</v>
      </c>
      <c r="AG81">
        <v>0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94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1</v>
      </c>
      <c r="AE82" s="58" t="str">
        <f ca="1">IF(AB81 = "10", AE83, IF(AB81 = "00", AE81, IF(AB81 = "01", AE81, IF(AB81 = "11", AE81, AE82))))</f>
        <v>0</v>
      </c>
      <c r="AF82" s="58" t="str">
        <f ca="1">IF(AB81 = "10", AF83, IF(AB81 = "00", AF81, IF(AB81 = "01", AF81, IF(AB81 = "11", AF81, AF82))))</f>
        <v>1</v>
      </c>
      <c r="AG82" s="58" t="str">
        <f ca="1">IF(AB81 = "10", AG83, IF(AB81 = "00", AG81, IF(AB81 = "01", AG81, IF(AB81 = "11", AG81, AG82))))</f>
        <v>0</v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LEFT(INDIRECT("RAM!" &amp; ADDRESS(AI80,AJ80)))</f>
        <v>1</v>
      </c>
      <c r="AE83" s="58" t="str" cm="1">
        <f t="array" aca="1" ref="AE83" ca="1">MID(INDIRECT("RAM!" &amp; ADDRESS(AI80,AJ80)), 2, 1)</f>
        <v>0</v>
      </c>
      <c r="AF83" s="58" t="str" cm="1">
        <f t="array" aca="1" ref="AF83" ca="1">MID(INDIRECT("RAM!" &amp; ADDRESS(AI80, AJ80)), 3, 1)</f>
        <v>1</v>
      </c>
      <c r="AG83" s="58" t="str" cm="1">
        <f t="array" aca="1" ref="AG83" ca="1">MID(INDIRECT("RAM!" &amp; ADDRESS(AI80, AJ80)), 4, 1)</f>
        <v>0</v>
      </c>
      <c r="AH83" s="86" t="s">
        <v>93</v>
      </c>
      <c r="AJ83" s="101" t="str">
        <f ca="1">IF(AND(AA82 = 0, AB82 = 0), _xlfn.CONCAT(AD82,AE82,AF82,AG82), AJ83)</f>
        <v>0101</v>
      </c>
      <c r="AK83" s="86" t="s">
        <v>98</v>
      </c>
      <c r="AL83" s="101" t="str">
        <f ca="1">IF(AND(AA82 = 0, AB82 = 1), _xlfn.CONCAT(AD82,AE82,AF82,AG82), AL83)</f>
        <v>0000</v>
      </c>
      <c r="AM83" s="86" t="s">
        <v>99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37" t="s">
        <v>62</v>
      </c>
      <c r="F85" s="141"/>
      <c r="G85" s="137" t="s">
        <v>63</v>
      </c>
      <c r="H85" s="138"/>
      <c r="I85" s="138"/>
      <c r="J85" s="139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2</v>
      </c>
      <c r="S85" s="52" t="s">
        <v>48</v>
      </c>
      <c r="T85" s="52"/>
      <c r="U85" s="52"/>
      <c r="V85" s="52"/>
      <c r="W85" s="52"/>
      <c r="X85" s="53"/>
      <c r="AE85" s="99"/>
      <c r="AF85" s="99"/>
      <c r="AG85" s="99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/>
      <c r="AE87" s="99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</v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/>
      <c r="AE89" s="87"/>
      <c r="AF89" s="87"/>
      <c r="AG89" s="87"/>
      <c r="AH89" s="87"/>
      <c r="AI89" s="87"/>
      <c r="AJ89" s="87"/>
      <c r="AK89" s="87"/>
      <c r="AL89" s="150"/>
      <c r="AM89" s="87"/>
      <c r="AN89" s="87"/>
      <c r="AO89" s="87"/>
      <c r="AP89" s="87"/>
      <c r="AQ89" s="87"/>
      <c r="AR89" s="87"/>
      <c r="AS89" s="87"/>
      <c r="AT89" s="87"/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</row>
    <row r="95" spans="4:46" ht="15" customHeight="1" x14ac:dyDescent="0.3">
      <c r="N95" s="70"/>
      <c r="AD95" s="100"/>
      <c r="AE95" s="87"/>
      <c r="AF95" s="87"/>
      <c r="AG95" s="87"/>
      <c r="AH95" s="150"/>
      <c r="AI95" s="150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</row>
    <row r="96" spans="4:46" ht="15" customHeight="1" x14ac:dyDescent="0.3">
      <c r="AD96" s="100"/>
      <c r="AE96" s="87"/>
      <c r="AF96" s="87"/>
      <c r="AG96" s="87"/>
      <c r="AH96" s="150"/>
      <c r="AI96" s="150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</row>
    <row r="97" spans="7:46" ht="15" customHeight="1" x14ac:dyDescent="0.3">
      <c r="G97" s="59"/>
      <c r="H97" s="71">
        <v>0</v>
      </c>
      <c r="I97" s="65"/>
      <c r="J97" s="57">
        <v>0</v>
      </c>
      <c r="K97" s="148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/>
      <c r="AE97" s="87"/>
      <c r="AF97" s="87"/>
      <c r="AG97" s="87"/>
      <c r="AH97" s="87"/>
      <c r="AI97" s="150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</row>
    <row r="98" spans="7:46" ht="15" customHeight="1" x14ac:dyDescent="0.3">
      <c r="G98" s="16"/>
      <c r="H98" s="146" t="s">
        <v>54</v>
      </c>
      <c r="I98" s="147"/>
      <c r="J98" s="17"/>
      <c r="K98" s="149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/>
      <c r="AE98" s="87"/>
      <c r="AF98" s="87"/>
      <c r="AG98" s="87"/>
      <c r="AH98" s="150"/>
      <c r="AI98" s="150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/>
      <c r="AE99" s="87"/>
      <c r="AF99" s="87"/>
      <c r="AG99" s="87"/>
      <c r="AH99" s="150"/>
      <c r="AI99" s="150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06" t="s">
        <v>30</v>
      </c>
      <c r="Q100" s="13"/>
      <c r="R100" s="64"/>
      <c r="S100" s="65"/>
      <c r="T100" s="65"/>
      <c r="U100" s="65"/>
      <c r="V100" s="65"/>
      <c r="W100" s="65"/>
      <c r="X100" s="111" t="s">
        <v>36</v>
      </c>
      <c r="Y100" s="13"/>
      <c r="Z100" s="22"/>
      <c r="AA100" s="37"/>
      <c r="AD100" s="100"/>
      <c r="AE100" s="87"/>
      <c r="AF100" s="87"/>
      <c r="AG100" s="87"/>
      <c r="AH100" s="87"/>
      <c r="AI100" s="150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5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12"/>
      <c r="Y101" s="13"/>
      <c r="Z101" s="22"/>
      <c r="AA101" s="37"/>
      <c r="AD101" s="100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07"/>
      <c r="Q102" s="13"/>
      <c r="R102" s="66"/>
      <c r="S102" s="67"/>
      <c r="T102" s="67"/>
      <c r="U102" s="67"/>
      <c r="V102" s="67"/>
      <c r="W102" s="67"/>
      <c r="X102" s="112"/>
      <c r="Y102" s="13"/>
      <c r="Z102" s="22"/>
      <c r="AA102" s="37"/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08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4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9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4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10"/>
      <c r="O105" s="17"/>
      <c r="P105" s="14"/>
      <c r="Q105" s="13"/>
      <c r="R105" s="64"/>
      <c r="S105" s="65"/>
      <c r="T105" s="65"/>
      <c r="U105" s="65"/>
      <c r="V105" s="65"/>
      <c r="W105" s="65"/>
      <c r="X105" s="113" t="s">
        <v>35</v>
      </c>
      <c r="Y105" s="13"/>
      <c r="Z105" s="22"/>
      <c r="AA105" s="114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4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4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8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9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10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3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4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5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8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9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10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8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9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3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10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4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5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5" t="s">
        <v>32</v>
      </c>
      <c r="K143" s="116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17" t="s">
        <v>33</v>
      </c>
      <c r="K144" s="118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45" t="s">
        <v>52</v>
      </c>
      <c r="L151" s="145"/>
      <c r="M151" s="28">
        <f>I144</f>
        <v>0</v>
      </c>
      <c r="N151" s="117" t="s">
        <v>33</v>
      </c>
      <c r="O151" s="118"/>
      <c r="P151" s="28">
        <f>I143</f>
        <v>0</v>
      </c>
      <c r="Q151" s="117" t="s">
        <v>32</v>
      </c>
      <c r="R151" s="118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485" priority="423" operator="equal">
      <formula>1</formula>
    </cfRule>
    <cfRule type="cellIs" dxfId="484" priority="422" operator="equal">
      <formula>0</formula>
    </cfRule>
  </conditionalFormatting>
  <conditionalFormatting sqref="A3">
    <cfRule type="cellIs" dxfId="483" priority="425" operator="equal">
      <formula>1</formula>
    </cfRule>
    <cfRule type="cellIs" dxfId="482" priority="424" operator="equal">
      <formula>0</formula>
    </cfRule>
  </conditionalFormatting>
  <conditionalFormatting sqref="A5">
    <cfRule type="cellIs" dxfId="481" priority="427" operator="equal">
      <formula>1</formula>
    </cfRule>
    <cfRule type="cellIs" dxfId="480" priority="426" operator="equal">
      <formula>0</formula>
    </cfRule>
  </conditionalFormatting>
  <conditionalFormatting sqref="A7">
    <cfRule type="cellIs" dxfId="479" priority="429" operator="equal">
      <formula>1</formula>
    </cfRule>
    <cfRule type="cellIs" dxfId="478" priority="428" operator="equal">
      <formula>0</formula>
    </cfRule>
  </conditionalFormatting>
  <conditionalFormatting sqref="A9">
    <cfRule type="cellIs" dxfId="477" priority="430" operator="equal">
      <formula>0</formula>
    </cfRule>
    <cfRule type="cellIs" dxfId="476" priority="431" operator="equal">
      <formula>1</formula>
    </cfRule>
  </conditionalFormatting>
  <conditionalFormatting sqref="A11 R71:R72">
    <cfRule type="cellIs" dxfId="475" priority="432" operator="equal">
      <formula>0</formula>
    </cfRule>
    <cfRule type="cellIs" dxfId="474" priority="433" operator="equal">
      <formula>1</formula>
    </cfRule>
  </conditionalFormatting>
  <conditionalFormatting sqref="A13">
    <cfRule type="cellIs" dxfId="473" priority="435" operator="equal">
      <formula>1</formula>
    </cfRule>
    <cfRule type="cellIs" dxfId="472" priority="434" operator="equal">
      <formula>0</formula>
    </cfRule>
  </conditionalFormatting>
  <conditionalFormatting sqref="A15">
    <cfRule type="cellIs" dxfId="471" priority="437" operator="equal">
      <formula>1</formula>
    </cfRule>
    <cfRule type="cellIs" dxfId="470" priority="436" operator="equal">
      <formula>0</formula>
    </cfRule>
  </conditionalFormatting>
  <conditionalFormatting sqref="A17">
    <cfRule type="cellIs" dxfId="469" priority="438" operator="equal">
      <formula>0</formula>
    </cfRule>
    <cfRule type="cellIs" dxfId="468" priority="439" operator="equal">
      <formula>1</formula>
    </cfRule>
  </conditionalFormatting>
  <conditionalFormatting sqref="A19">
    <cfRule type="cellIs" dxfId="467" priority="440" operator="equal">
      <formula>0</formula>
    </cfRule>
    <cfRule type="cellIs" dxfId="466" priority="441" operator="equal">
      <formula>1</formula>
    </cfRule>
  </conditionalFormatting>
  <conditionalFormatting sqref="A21">
    <cfRule type="cellIs" dxfId="465" priority="443" operator="equal">
      <formula>1</formula>
    </cfRule>
    <cfRule type="cellIs" dxfId="464" priority="442" operator="equal">
      <formula>0</formula>
    </cfRule>
  </conditionalFormatting>
  <conditionalFormatting sqref="C1">
    <cfRule type="cellIs" dxfId="463" priority="444" operator="equal">
      <formula>0</formula>
    </cfRule>
    <cfRule type="cellIs" dxfId="462" priority="445" operator="equal">
      <formula>1</formula>
    </cfRule>
  </conditionalFormatting>
  <conditionalFormatting sqref="C3">
    <cfRule type="cellIs" dxfId="461" priority="446" operator="equal">
      <formula>0</formula>
    </cfRule>
    <cfRule type="cellIs" dxfId="460" priority="447" operator="equal">
      <formula>1</formula>
    </cfRule>
  </conditionalFormatting>
  <conditionalFormatting sqref="E1">
    <cfRule type="cellIs" dxfId="459" priority="448" operator="equal">
      <formula>0</formula>
    </cfRule>
    <cfRule type="cellIs" dxfId="458" priority="449" operator="equal">
      <formula>1</formula>
    </cfRule>
  </conditionalFormatting>
  <conditionalFormatting sqref="F87">
    <cfRule type="cellIs" dxfId="457" priority="56" operator="equal">
      <formula>0</formula>
    </cfRule>
    <cfRule type="cellIs" dxfId="456" priority="57" operator="equal">
      <formula>1</formula>
    </cfRule>
  </conditionalFormatting>
  <conditionalFormatting sqref="F91:I94">
    <cfRule type="cellIs" dxfId="455" priority="40" operator="greaterThan">
      <formula>0</formula>
    </cfRule>
    <cfRule type="containsText" dxfId="454" priority="39" operator="containsText" text="0000">
      <formula>NOT(ISERROR(SEARCH("0000",F91)))</formula>
    </cfRule>
  </conditionalFormatting>
  <conditionalFormatting sqref="G12">
    <cfRule type="cellIs" dxfId="453" priority="451" operator="equal">
      <formula>1</formula>
    </cfRule>
    <cfRule type="cellIs" dxfId="452" priority="450" operator="equal">
      <formula>0</formula>
    </cfRule>
  </conditionalFormatting>
  <conditionalFormatting sqref="G14">
    <cfRule type="cellIs" dxfId="451" priority="452" operator="equal">
      <formula>0</formula>
    </cfRule>
    <cfRule type="cellIs" dxfId="450" priority="453" operator="equal">
      <formula>1</formula>
    </cfRule>
  </conditionalFormatting>
  <conditionalFormatting sqref="H20">
    <cfRule type="cellIs" dxfId="449" priority="513" operator="equal">
      <formula>1</formula>
    </cfRule>
    <cfRule type="cellIs" dxfId="448" priority="512" operator="equal">
      <formula>0</formula>
    </cfRule>
  </conditionalFormatting>
  <conditionalFormatting sqref="H32">
    <cfRule type="cellIs" dxfId="447" priority="537" operator="equal">
      <formula>1</formula>
    </cfRule>
    <cfRule type="cellIs" dxfId="446" priority="536" operator="equal">
      <formula>0</formula>
    </cfRule>
  </conditionalFormatting>
  <conditionalFormatting sqref="H44">
    <cfRule type="cellIs" dxfId="445" priority="561" operator="equal">
      <formula>1</formula>
    </cfRule>
    <cfRule type="cellIs" dxfId="444" priority="560" operator="equal">
      <formula>0</formula>
    </cfRule>
  </conditionalFormatting>
  <conditionalFormatting sqref="H56">
    <cfRule type="cellIs" dxfId="443" priority="585" operator="equal">
      <formula>1</formula>
    </cfRule>
    <cfRule type="cellIs" dxfId="442" priority="584" operator="equal">
      <formula>0</formula>
    </cfRule>
  </conditionalFormatting>
  <conditionalFormatting sqref="H68">
    <cfRule type="cellIs" dxfId="441" priority="601" operator="equal">
      <formula>1</formula>
    </cfRule>
    <cfRule type="cellIs" dxfId="440" priority="600" operator="equal">
      <formula>0</formula>
    </cfRule>
  </conditionalFormatting>
  <conditionalFormatting sqref="H97">
    <cfRule type="cellIs" dxfId="439" priority="211" operator="equal">
      <formula>1</formula>
    </cfRule>
    <cfRule type="cellIs" dxfId="438" priority="210" operator="equal">
      <formula>0</formula>
    </cfRule>
  </conditionalFormatting>
  <conditionalFormatting sqref="H16:K17">
    <cfRule type="cellIs" dxfId="437" priority="598" operator="equal">
      <formula>0</formula>
    </cfRule>
    <cfRule type="cellIs" dxfId="436" priority="599" operator="equal">
      <formula>1</formula>
    </cfRule>
  </conditionalFormatting>
  <conditionalFormatting sqref="H87:K89">
    <cfRule type="cellIs" dxfId="435" priority="32" operator="greaterThanOrEqual">
      <formula>1</formula>
    </cfRule>
    <cfRule type="cellIs" dxfId="434" priority="31" operator="equal">
      <formula>0</formula>
    </cfRule>
  </conditionalFormatting>
  <conditionalFormatting sqref="I12">
    <cfRule type="cellIs" dxfId="433" priority="458" operator="equal">
      <formula>0</formula>
    </cfRule>
    <cfRule type="cellIs" dxfId="432" priority="459" operator="equal">
      <formula>1</formula>
    </cfRule>
  </conditionalFormatting>
  <conditionalFormatting sqref="I14">
    <cfRule type="cellIs" dxfId="431" priority="460" operator="equal">
      <formula>0</formula>
    </cfRule>
    <cfRule type="cellIs" dxfId="430" priority="461" operator="equal">
      <formula>1</formula>
    </cfRule>
  </conditionalFormatting>
  <conditionalFormatting sqref="I23">
    <cfRule type="cellIs" dxfId="429" priority="502" operator="equal">
      <formula>0</formula>
    </cfRule>
    <cfRule type="cellIs" dxfId="428" priority="503" operator="equal">
      <formula>1</formula>
    </cfRule>
  </conditionalFormatting>
  <conditionalFormatting sqref="I25">
    <cfRule type="cellIs" dxfId="427" priority="510" operator="equal">
      <formula>0</formula>
    </cfRule>
    <cfRule type="cellIs" dxfId="426" priority="511" operator="equal">
      <formula>1</formula>
    </cfRule>
  </conditionalFormatting>
  <conditionalFormatting sqref="I28">
    <cfRule type="cellIs" dxfId="425" priority="518" operator="equal">
      <formula>0</formula>
    </cfRule>
    <cfRule type="cellIs" dxfId="424" priority="519" operator="equal">
      <formula>1</formula>
    </cfRule>
  </conditionalFormatting>
  <conditionalFormatting sqref="I30">
    <cfRule type="cellIs" dxfId="423" priority="524" operator="equal">
      <formula>0</formula>
    </cfRule>
    <cfRule type="cellIs" dxfId="422" priority="525" operator="equal">
      <formula>1</formula>
    </cfRule>
  </conditionalFormatting>
  <conditionalFormatting sqref="I35">
    <cfRule type="cellIs" dxfId="421" priority="526" operator="equal">
      <formula>0</formula>
    </cfRule>
    <cfRule type="cellIs" dxfId="420" priority="527" operator="equal">
      <formula>1</formula>
    </cfRule>
  </conditionalFormatting>
  <conditionalFormatting sqref="I37">
    <cfRule type="cellIs" dxfId="419" priority="534" operator="equal">
      <formula>0</formula>
    </cfRule>
    <cfRule type="cellIs" dxfId="418" priority="535" operator="equal">
      <formula>1</formula>
    </cfRule>
  </conditionalFormatting>
  <conditionalFormatting sqref="I40">
    <cfRule type="cellIs" dxfId="417" priority="543" operator="equal">
      <formula>1</formula>
    </cfRule>
    <cfRule type="cellIs" dxfId="416" priority="542" operator="equal">
      <formula>0</formula>
    </cfRule>
  </conditionalFormatting>
  <conditionalFormatting sqref="I42">
    <cfRule type="cellIs" dxfId="415" priority="548" operator="equal">
      <formula>0</formula>
    </cfRule>
    <cfRule type="cellIs" dxfId="414" priority="549" operator="equal">
      <formula>1</formula>
    </cfRule>
  </conditionalFormatting>
  <conditionalFormatting sqref="I47">
    <cfRule type="cellIs" dxfId="413" priority="551" operator="equal">
      <formula>1</formula>
    </cfRule>
    <cfRule type="cellIs" dxfId="412" priority="550" operator="equal">
      <formula>0</formula>
    </cfRule>
  </conditionalFormatting>
  <conditionalFormatting sqref="I49">
    <cfRule type="cellIs" dxfId="411" priority="559" operator="equal">
      <formula>1</formula>
    </cfRule>
    <cfRule type="cellIs" dxfId="410" priority="558" operator="equal">
      <formula>0</formula>
    </cfRule>
  </conditionalFormatting>
  <conditionalFormatting sqref="I52">
    <cfRule type="cellIs" dxfId="409" priority="566" operator="equal">
      <formula>0</formula>
    </cfRule>
    <cfRule type="cellIs" dxfId="408" priority="567" operator="equal">
      <formula>1</formula>
    </cfRule>
  </conditionalFormatting>
  <conditionalFormatting sqref="I54">
    <cfRule type="cellIs" dxfId="407" priority="573" operator="equal">
      <formula>1</formula>
    </cfRule>
    <cfRule type="cellIs" dxfId="406" priority="572" operator="equal">
      <formula>0</formula>
    </cfRule>
  </conditionalFormatting>
  <conditionalFormatting sqref="I59">
    <cfRule type="cellIs" dxfId="405" priority="574" operator="equal">
      <formula>0</formula>
    </cfRule>
    <cfRule type="cellIs" dxfId="404" priority="575" operator="equal">
      <formula>1</formula>
    </cfRule>
  </conditionalFormatting>
  <conditionalFormatting sqref="I61">
    <cfRule type="cellIs" dxfId="403" priority="582" operator="equal">
      <formula>0</formula>
    </cfRule>
    <cfRule type="cellIs" dxfId="402" priority="583" operator="equal">
      <formula>1</formula>
    </cfRule>
  </conditionalFormatting>
  <conditionalFormatting sqref="I64">
    <cfRule type="cellIs" dxfId="401" priority="591" operator="equal">
      <formula>1</formula>
    </cfRule>
    <cfRule type="cellIs" dxfId="400" priority="590" operator="equal">
      <formula>0</formula>
    </cfRule>
  </conditionalFormatting>
  <conditionalFormatting sqref="I66">
    <cfRule type="cellIs" dxfId="399" priority="597" operator="equal">
      <formula>1</formula>
    </cfRule>
    <cfRule type="cellIs" dxfId="398" priority="596" operator="equal">
      <formula>0</formula>
    </cfRule>
  </conditionalFormatting>
  <conditionalFormatting sqref="I143:I144">
    <cfRule type="cellIs" dxfId="397" priority="148" operator="equal">
      <formula>0</formula>
    </cfRule>
    <cfRule type="cellIs" dxfId="396" priority="149" operator="equal">
      <formula>1</formula>
    </cfRule>
  </conditionalFormatting>
  <conditionalFormatting sqref="J4:J5">
    <cfRule type="cellIs" dxfId="395" priority="466" operator="equal">
      <formula>0</formula>
    </cfRule>
    <cfRule type="cellIs" dxfId="394" priority="467" operator="equal">
      <formula>1</formula>
    </cfRule>
  </conditionalFormatting>
  <conditionalFormatting sqref="J7">
    <cfRule type="cellIs" dxfId="393" priority="468" operator="equal">
      <formula>0</formula>
    </cfRule>
    <cfRule type="cellIs" dxfId="392" priority="469" operator="equal">
      <formula>1</formula>
    </cfRule>
  </conditionalFormatting>
  <conditionalFormatting sqref="J9">
    <cfRule type="cellIs" dxfId="391" priority="470" operator="equal">
      <formula>0</formula>
    </cfRule>
    <cfRule type="cellIs" dxfId="390" priority="471" operator="equal">
      <formula>1</formula>
    </cfRule>
  </conditionalFormatting>
  <conditionalFormatting sqref="J20">
    <cfRule type="cellIs" dxfId="389" priority="515" operator="equal">
      <formula>1</formula>
    </cfRule>
    <cfRule type="cellIs" dxfId="388" priority="514" operator="equal">
      <formula>0</formula>
    </cfRule>
  </conditionalFormatting>
  <conditionalFormatting sqref="J26">
    <cfRule type="cellIs" dxfId="387" priority="509" operator="equal">
      <formula>1</formula>
    </cfRule>
    <cfRule type="cellIs" dxfId="386" priority="508" operator="equal">
      <formula>0</formula>
    </cfRule>
  </conditionalFormatting>
  <conditionalFormatting sqref="J32">
    <cfRule type="cellIs" dxfId="385" priority="539" operator="equal">
      <formula>1</formula>
    </cfRule>
    <cfRule type="cellIs" dxfId="384" priority="538" operator="equal">
      <formula>0</formula>
    </cfRule>
  </conditionalFormatting>
  <conditionalFormatting sqref="J38">
    <cfRule type="cellIs" dxfId="383" priority="533" operator="equal">
      <formula>1</formula>
    </cfRule>
    <cfRule type="cellIs" dxfId="382" priority="532" operator="equal">
      <formula>0</formula>
    </cfRule>
  </conditionalFormatting>
  <conditionalFormatting sqref="J44">
    <cfRule type="cellIs" dxfId="381" priority="562" operator="equal">
      <formula>0</formula>
    </cfRule>
    <cfRule type="cellIs" dxfId="380" priority="563" operator="equal">
      <formula>1</formula>
    </cfRule>
  </conditionalFormatting>
  <conditionalFormatting sqref="J50">
    <cfRule type="cellIs" dxfId="379" priority="556" operator="equal">
      <formula>0</formula>
    </cfRule>
    <cfRule type="cellIs" dxfId="378" priority="557" operator="equal">
      <formula>1</formula>
    </cfRule>
  </conditionalFormatting>
  <conditionalFormatting sqref="J56">
    <cfRule type="cellIs" dxfId="377" priority="587" operator="equal">
      <formula>1</formula>
    </cfRule>
    <cfRule type="cellIs" dxfId="376" priority="586" operator="equal">
      <formula>0</formula>
    </cfRule>
  </conditionalFormatting>
  <conditionalFormatting sqref="J62">
    <cfRule type="cellIs" dxfId="375" priority="581" operator="equal">
      <formula>1</formula>
    </cfRule>
    <cfRule type="cellIs" dxfId="374" priority="580" operator="equal">
      <formula>0</formula>
    </cfRule>
  </conditionalFormatting>
  <conditionalFormatting sqref="J97">
    <cfRule type="cellIs" dxfId="373" priority="208" operator="equal">
      <formula>0</formula>
    </cfRule>
    <cfRule type="cellIs" dxfId="372" priority="209" operator="equal">
      <formula>1</formula>
    </cfRule>
  </conditionalFormatting>
  <conditionalFormatting sqref="J151">
    <cfRule type="cellIs" dxfId="371" priority="63" operator="equal">
      <formula>1</formula>
    </cfRule>
    <cfRule type="cellIs" dxfId="370" priority="62" operator="equal">
      <formula>0</formula>
    </cfRule>
  </conditionalFormatting>
  <conditionalFormatting sqref="J105:K105">
    <cfRule type="cellIs" dxfId="369" priority="153" operator="equal">
      <formula>1</formula>
    </cfRule>
    <cfRule type="cellIs" dxfId="368" priority="152" operator="equal">
      <formula>0</formula>
    </cfRule>
  </conditionalFormatting>
  <conditionalFormatting sqref="J115:K115">
    <cfRule type="cellIs" dxfId="367" priority="167" operator="equal">
      <formula>1</formula>
    </cfRule>
    <cfRule type="cellIs" dxfId="366" priority="166" operator="equal">
      <formula>0</formula>
    </cfRule>
  </conditionalFormatting>
  <conditionalFormatting sqref="J125:K125">
    <cfRule type="cellIs" dxfId="365" priority="180" operator="equal">
      <formula>0</formula>
    </cfRule>
    <cfRule type="cellIs" dxfId="364" priority="181" operator="equal">
      <formula>1</formula>
    </cfRule>
  </conditionalFormatting>
  <conditionalFormatting sqref="J135:K135">
    <cfRule type="cellIs" dxfId="363" priority="194" operator="equal">
      <formula>0</formula>
    </cfRule>
    <cfRule type="cellIs" dxfId="362" priority="195" operator="equal">
      <formula>1</formula>
    </cfRule>
  </conditionalFormatting>
  <conditionalFormatting sqref="J102:L102">
    <cfRule type="cellIs" dxfId="361" priority="155" operator="equal">
      <formula>1</formula>
    </cfRule>
    <cfRule type="cellIs" dxfId="360" priority="154" operator="equal">
      <formula>0</formula>
    </cfRule>
  </conditionalFormatting>
  <conditionalFormatting sqref="J112:L112">
    <cfRule type="cellIs" dxfId="359" priority="169" operator="equal">
      <formula>1</formula>
    </cfRule>
    <cfRule type="cellIs" dxfId="358" priority="168" operator="equal">
      <formula>0</formula>
    </cfRule>
  </conditionalFormatting>
  <conditionalFormatting sqref="J122:L122">
    <cfRule type="cellIs" dxfId="357" priority="182" operator="equal">
      <formula>0</formula>
    </cfRule>
    <cfRule type="cellIs" dxfId="356" priority="183" operator="equal">
      <formula>1</formula>
    </cfRule>
  </conditionalFormatting>
  <conditionalFormatting sqref="J132:L132">
    <cfRule type="cellIs" dxfId="355" priority="196" operator="equal">
      <formula>0</formula>
    </cfRule>
    <cfRule type="cellIs" dxfId="354" priority="197" operator="equal">
      <formula>1</formula>
    </cfRule>
  </conditionalFormatting>
  <conditionalFormatting sqref="J68:M68">
    <cfRule type="cellIs" dxfId="353" priority="602" operator="equal">
      <formula>0</formula>
    </cfRule>
    <cfRule type="cellIs" dxfId="352" priority="603" operator="equal">
      <formula>1</formula>
    </cfRule>
  </conditionalFormatting>
  <conditionalFormatting sqref="K6">
    <cfRule type="cellIs" dxfId="351" priority="477" operator="equal">
      <formula>1</formula>
    </cfRule>
    <cfRule type="cellIs" dxfId="350" priority="476" operator="equal">
      <formula>0</formula>
    </cfRule>
  </conditionalFormatting>
  <conditionalFormatting sqref="K8">
    <cfRule type="cellIs" dxfId="349" priority="479" operator="equal">
      <formula>1</formula>
    </cfRule>
    <cfRule type="cellIs" dxfId="348" priority="478" operator="equal">
      <formula>0</formula>
    </cfRule>
  </conditionalFormatting>
  <conditionalFormatting sqref="K12">
    <cfRule type="cellIs" dxfId="347" priority="480" operator="equal">
      <formula>0</formula>
    </cfRule>
    <cfRule type="cellIs" dxfId="346" priority="481" operator="equal">
      <formula>1</formula>
    </cfRule>
  </conditionalFormatting>
  <conditionalFormatting sqref="K14">
    <cfRule type="cellIs" dxfId="345" priority="483" operator="equal">
      <formula>1</formula>
    </cfRule>
    <cfRule type="cellIs" dxfId="344" priority="482" operator="equal">
      <formula>0</formula>
    </cfRule>
  </conditionalFormatting>
  <conditionalFormatting sqref="K22">
    <cfRule type="cellIs" dxfId="343" priority="504" operator="equal">
      <formula>0</formula>
    </cfRule>
    <cfRule type="cellIs" dxfId="342" priority="505" operator="equal">
      <formula>1</formula>
    </cfRule>
  </conditionalFormatting>
  <conditionalFormatting sqref="K24">
    <cfRule type="cellIs" dxfId="341" priority="506" operator="equal">
      <formula>0</formula>
    </cfRule>
    <cfRule type="cellIs" dxfId="340" priority="507" operator="equal">
      <formula>1</formula>
    </cfRule>
  </conditionalFormatting>
  <conditionalFormatting sqref="K30">
    <cfRule type="cellIs" dxfId="339" priority="523" operator="equal">
      <formula>1</formula>
    </cfRule>
    <cfRule type="cellIs" dxfId="338" priority="522" operator="equal">
      <formula>0</formula>
    </cfRule>
  </conditionalFormatting>
  <conditionalFormatting sqref="K34">
    <cfRule type="cellIs" dxfId="337" priority="529" operator="equal">
      <formula>1</formula>
    </cfRule>
    <cfRule type="cellIs" dxfId="336" priority="528" operator="equal">
      <formula>0</formula>
    </cfRule>
  </conditionalFormatting>
  <conditionalFormatting sqref="K36">
    <cfRule type="cellIs" dxfId="335" priority="531" operator="equal">
      <formula>1</formula>
    </cfRule>
    <cfRule type="cellIs" dxfId="334" priority="530" operator="equal">
      <formula>0</formula>
    </cfRule>
  </conditionalFormatting>
  <conditionalFormatting sqref="K42">
    <cfRule type="cellIs" dxfId="333" priority="547" operator="equal">
      <formula>1</formula>
    </cfRule>
    <cfRule type="cellIs" dxfId="332" priority="546" operator="equal">
      <formula>0</formula>
    </cfRule>
  </conditionalFormatting>
  <conditionalFormatting sqref="K46">
    <cfRule type="cellIs" dxfId="331" priority="552" operator="equal">
      <formula>0</formula>
    </cfRule>
    <cfRule type="cellIs" dxfId="330" priority="553" operator="equal">
      <formula>1</formula>
    </cfRule>
  </conditionalFormatting>
  <conditionalFormatting sqref="K48">
    <cfRule type="cellIs" dxfId="329" priority="555" operator="equal">
      <formula>1</formula>
    </cfRule>
    <cfRule type="cellIs" dxfId="328" priority="554" operator="equal">
      <formula>0</formula>
    </cfRule>
  </conditionalFormatting>
  <conditionalFormatting sqref="K54">
    <cfRule type="cellIs" dxfId="327" priority="571" operator="equal">
      <formula>1</formula>
    </cfRule>
    <cfRule type="cellIs" dxfId="326" priority="570" operator="equal">
      <formula>0</formula>
    </cfRule>
  </conditionalFormatting>
  <conditionalFormatting sqref="K58">
    <cfRule type="cellIs" dxfId="325" priority="577" operator="equal">
      <formula>1</formula>
    </cfRule>
    <cfRule type="cellIs" dxfId="324" priority="576" operator="equal">
      <formula>0</formula>
    </cfRule>
  </conditionalFormatting>
  <conditionalFormatting sqref="K60">
    <cfRule type="cellIs" dxfId="323" priority="579" operator="equal">
      <formula>1</formula>
    </cfRule>
    <cfRule type="cellIs" dxfId="322" priority="578" operator="equal">
      <formula>0</formula>
    </cfRule>
  </conditionalFormatting>
  <conditionalFormatting sqref="K66">
    <cfRule type="cellIs" dxfId="321" priority="595" operator="equal">
      <formula>1</formula>
    </cfRule>
    <cfRule type="cellIs" dxfId="320" priority="594" operator="equal">
      <formula>0</formula>
    </cfRule>
  </conditionalFormatting>
  <conditionalFormatting sqref="K107">
    <cfRule type="cellIs" dxfId="319" priority="156" operator="equal">
      <formula>0</formula>
    </cfRule>
    <cfRule type="cellIs" dxfId="318" priority="157" operator="equal">
      <formula>1</formula>
    </cfRule>
  </conditionalFormatting>
  <conditionalFormatting sqref="K109">
    <cfRule type="cellIs" dxfId="317" priority="158" operator="equal">
      <formula>0</formula>
    </cfRule>
    <cfRule type="cellIs" dxfId="316" priority="159" operator="equal">
      <formula>1</formula>
    </cfRule>
  </conditionalFormatting>
  <conditionalFormatting sqref="K117">
    <cfRule type="cellIs" dxfId="315" priority="171" operator="equal">
      <formula>1</formula>
    </cfRule>
    <cfRule type="cellIs" dxfId="314" priority="170" operator="equal">
      <formula>0</formula>
    </cfRule>
  </conditionalFormatting>
  <conditionalFormatting sqref="K119">
    <cfRule type="cellIs" dxfId="313" priority="173" operator="equal">
      <formula>1</formula>
    </cfRule>
    <cfRule type="cellIs" dxfId="312" priority="172" operator="equal">
      <formula>0</formula>
    </cfRule>
  </conditionalFormatting>
  <conditionalFormatting sqref="K127">
    <cfRule type="cellIs" dxfId="311" priority="185" operator="equal">
      <formula>1</formula>
    </cfRule>
    <cfRule type="cellIs" dxfId="310" priority="184" operator="equal">
      <formula>0</formula>
    </cfRule>
  </conditionalFormatting>
  <conditionalFormatting sqref="K129">
    <cfRule type="cellIs" dxfId="309" priority="187" operator="equal">
      <formula>1</formula>
    </cfRule>
    <cfRule type="cellIs" dxfId="308" priority="186" operator="equal">
      <formula>0</formula>
    </cfRule>
  </conditionalFormatting>
  <conditionalFormatting sqref="K137">
    <cfRule type="cellIs" dxfId="307" priority="199" operator="equal">
      <formula>1</formula>
    </cfRule>
    <cfRule type="cellIs" dxfId="306" priority="198" operator="equal">
      <formula>0</formula>
    </cfRule>
  </conditionalFormatting>
  <conditionalFormatting sqref="K139:L139">
    <cfRule type="cellIs" dxfId="305" priority="193" operator="equal">
      <formula>1</formula>
    </cfRule>
    <cfRule type="cellIs" dxfId="304" priority="192" operator="equal">
      <formula>0</formula>
    </cfRule>
  </conditionalFormatting>
  <conditionalFormatting sqref="L20">
    <cfRule type="cellIs" dxfId="303" priority="517" operator="equal">
      <formula>1</formula>
    </cfRule>
    <cfRule type="cellIs" dxfId="302" priority="516" operator="equal">
      <formula>0</formula>
    </cfRule>
  </conditionalFormatting>
  <conditionalFormatting sqref="L23">
    <cfRule type="cellIs" dxfId="301" priority="521" operator="equal">
      <formula>1</formula>
    </cfRule>
    <cfRule type="cellIs" dxfId="300" priority="520" operator="equal">
      <formula>0</formula>
    </cfRule>
  </conditionalFormatting>
  <conditionalFormatting sqref="L32">
    <cfRule type="cellIs" dxfId="299" priority="540" operator="equal">
      <formula>0</formula>
    </cfRule>
    <cfRule type="cellIs" dxfId="298" priority="541" operator="equal">
      <formula>1</formula>
    </cfRule>
  </conditionalFormatting>
  <conditionalFormatting sqref="L35">
    <cfRule type="cellIs" dxfId="297" priority="545" operator="equal">
      <formula>1</formula>
    </cfRule>
    <cfRule type="cellIs" dxfId="296" priority="544" operator="equal">
      <formula>0</formula>
    </cfRule>
  </conditionalFormatting>
  <conditionalFormatting sqref="L44">
    <cfRule type="cellIs" dxfId="295" priority="565" operator="equal">
      <formula>1</formula>
    </cfRule>
    <cfRule type="cellIs" dxfId="294" priority="564" operator="equal">
      <formula>0</formula>
    </cfRule>
  </conditionalFormatting>
  <conditionalFormatting sqref="L47">
    <cfRule type="cellIs" dxfId="293" priority="568" operator="equal">
      <formula>0</formula>
    </cfRule>
    <cfRule type="cellIs" dxfId="292" priority="569" operator="equal">
      <formula>1</formula>
    </cfRule>
  </conditionalFormatting>
  <conditionalFormatting sqref="L56">
    <cfRule type="cellIs" dxfId="291" priority="589" operator="equal">
      <formula>1</formula>
    </cfRule>
    <cfRule type="cellIs" dxfId="290" priority="588" operator="equal">
      <formula>0</formula>
    </cfRule>
  </conditionalFormatting>
  <conditionalFormatting sqref="L59">
    <cfRule type="cellIs" dxfId="289" priority="593" operator="equal">
      <formula>1</formula>
    </cfRule>
    <cfRule type="cellIs" dxfId="288" priority="592" operator="equal">
      <formula>0</formula>
    </cfRule>
  </conditionalFormatting>
  <conditionalFormatting sqref="L100">
    <cfRule type="cellIs" dxfId="287" priority="206" operator="equal">
      <formula>0</formula>
    </cfRule>
    <cfRule type="cellIs" dxfId="286" priority="207" operator="equal">
      <formula>1</formula>
    </cfRule>
  </conditionalFormatting>
  <conditionalFormatting sqref="L104">
    <cfRule type="cellIs" dxfId="285" priority="161" operator="equal">
      <formula>1</formula>
    </cfRule>
    <cfRule type="cellIs" dxfId="284" priority="160" operator="equal">
      <formula>0</formula>
    </cfRule>
  </conditionalFormatting>
  <conditionalFormatting sqref="L106">
    <cfRule type="cellIs" dxfId="283" priority="163" operator="equal">
      <formula>1</formula>
    </cfRule>
    <cfRule type="cellIs" dxfId="282" priority="162" operator="equal">
      <formula>0</formula>
    </cfRule>
  </conditionalFormatting>
  <conditionalFormatting sqref="L109:L110">
    <cfRule type="cellIs" dxfId="281" priority="151" operator="equal">
      <formula>1</formula>
    </cfRule>
    <cfRule type="cellIs" dxfId="280" priority="150" operator="equal">
      <formula>0</formula>
    </cfRule>
  </conditionalFormatting>
  <conditionalFormatting sqref="L114">
    <cfRule type="cellIs" dxfId="279" priority="174" operator="equal">
      <formula>0</formula>
    </cfRule>
    <cfRule type="cellIs" dxfId="278" priority="175" operator="equal">
      <formula>1</formula>
    </cfRule>
  </conditionalFormatting>
  <conditionalFormatting sqref="L116">
    <cfRule type="cellIs" dxfId="277" priority="176" operator="equal">
      <formula>0</formula>
    </cfRule>
    <cfRule type="cellIs" dxfId="276" priority="177" operator="equal">
      <formula>1</formula>
    </cfRule>
  </conditionalFormatting>
  <conditionalFormatting sqref="L119:L120">
    <cfRule type="cellIs" dxfId="275" priority="164" operator="equal">
      <formula>0</formula>
    </cfRule>
    <cfRule type="cellIs" dxfId="274" priority="165" operator="equal">
      <formula>1</formula>
    </cfRule>
  </conditionalFormatting>
  <conditionalFormatting sqref="L124">
    <cfRule type="cellIs" dxfId="273" priority="188" operator="equal">
      <formula>0</formula>
    </cfRule>
    <cfRule type="cellIs" dxfId="272" priority="189" operator="equal">
      <formula>1</formula>
    </cfRule>
  </conditionalFormatting>
  <conditionalFormatting sqref="L126">
    <cfRule type="cellIs" dxfId="271" priority="190" operator="equal">
      <formula>0</formula>
    </cfRule>
    <cfRule type="cellIs" dxfId="270" priority="191" operator="equal">
      <formula>1</formula>
    </cfRule>
  </conditionalFormatting>
  <conditionalFormatting sqref="L129:L130">
    <cfRule type="cellIs" dxfId="269" priority="178" operator="equal">
      <formula>0</formula>
    </cfRule>
    <cfRule type="cellIs" dxfId="268" priority="179" operator="equal">
      <formula>1</formula>
    </cfRule>
  </conditionalFormatting>
  <conditionalFormatting sqref="L134">
    <cfRule type="cellIs" dxfId="267" priority="200" operator="equal">
      <formula>0</formula>
    </cfRule>
    <cfRule type="cellIs" dxfId="266" priority="201" operator="equal">
      <formula>1</formula>
    </cfRule>
  </conditionalFormatting>
  <conditionalFormatting sqref="L136">
    <cfRule type="cellIs" dxfId="265" priority="203" operator="equal">
      <formula>1</formula>
    </cfRule>
    <cfRule type="cellIs" dxfId="264" priority="202" operator="equal">
      <formula>0</formula>
    </cfRule>
  </conditionalFormatting>
  <conditionalFormatting sqref="L97:O98">
    <cfRule type="cellIs" dxfId="263" priority="213" operator="equal">
      <formula>1</formula>
    </cfRule>
    <cfRule type="cellIs" dxfId="262" priority="212" operator="equal">
      <formula>0</formula>
    </cfRule>
  </conditionalFormatting>
  <conditionalFormatting sqref="L144:O144">
    <cfRule type="cellIs" dxfId="261" priority="204" operator="equal">
      <formula>0</formula>
    </cfRule>
    <cfRule type="cellIs" dxfId="260" priority="205" operator="equal">
      <formula>1</formula>
    </cfRule>
  </conditionalFormatting>
  <conditionalFormatting sqref="M12">
    <cfRule type="cellIs" dxfId="259" priority="485" operator="equal">
      <formula>1</formula>
    </cfRule>
    <cfRule type="cellIs" dxfId="258" priority="484" operator="equal">
      <formula>0</formula>
    </cfRule>
  </conditionalFormatting>
  <conditionalFormatting sqref="M14">
    <cfRule type="cellIs" dxfId="257" priority="487" operator="equal">
      <formula>1</formula>
    </cfRule>
    <cfRule type="cellIs" dxfId="256" priority="486" operator="equal">
      <formula>0</formula>
    </cfRule>
  </conditionalFormatting>
  <conditionalFormatting sqref="M151">
    <cfRule type="cellIs" dxfId="255" priority="65" operator="equal">
      <formula>1</formula>
    </cfRule>
    <cfRule type="cellIs" dxfId="254" priority="64" operator="equal">
      <formula>0</formula>
    </cfRule>
  </conditionalFormatting>
  <conditionalFormatting sqref="P151">
    <cfRule type="cellIs" dxfId="253" priority="67" operator="equal">
      <formula>1</formula>
    </cfRule>
    <cfRule type="cellIs" dxfId="252" priority="66" operator="equal">
      <formula>0</formula>
    </cfRule>
  </conditionalFormatting>
  <conditionalFormatting sqref="R16">
    <cfRule type="cellIs" dxfId="251" priority="404" operator="equal">
      <formula>0</formula>
    </cfRule>
    <cfRule type="cellIs" dxfId="250" priority="405" operator="equal">
      <formula>1</formula>
    </cfRule>
  </conditionalFormatting>
  <conditionalFormatting sqref="R23">
    <cfRule type="cellIs" dxfId="249" priority="700" operator="equal">
      <formula>0</formula>
    </cfRule>
    <cfRule type="cellIs" dxfId="248" priority="701" operator="equal">
      <formula>1</formula>
    </cfRule>
  </conditionalFormatting>
  <conditionalFormatting sqref="R25:U26">
    <cfRule type="cellIs" dxfId="247" priority="660" operator="equal">
      <formula>0</formula>
    </cfRule>
    <cfRule type="cellIs" dxfId="246" priority="661" operator="equal">
      <formula>1</formula>
    </cfRule>
  </conditionalFormatting>
  <conditionalFormatting sqref="S20">
    <cfRule type="cellIs" dxfId="245" priority="705" operator="equal">
      <formula>1</formula>
    </cfRule>
    <cfRule type="cellIs" dxfId="244" priority="704" operator="equal">
      <formula>0</formula>
    </cfRule>
  </conditionalFormatting>
  <conditionalFormatting sqref="S110">
    <cfRule type="cellIs" dxfId="243" priority="132" operator="equal">
      <formula>0</formula>
    </cfRule>
    <cfRule type="cellIs" dxfId="242" priority="133" operator="equal">
      <formula>1</formula>
    </cfRule>
  </conditionalFormatting>
  <conditionalFormatting sqref="S112">
    <cfRule type="cellIs" dxfId="241" priority="129" operator="equal">
      <formula>1</formula>
    </cfRule>
    <cfRule type="cellIs" dxfId="240" priority="128" operator="equal">
      <formula>0</formula>
    </cfRule>
  </conditionalFormatting>
  <conditionalFormatting sqref="S114">
    <cfRule type="cellIs" dxfId="239" priority="126" operator="equal">
      <formula>0</formula>
    </cfRule>
    <cfRule type="cellIs" dxfId="238" priority="127" operator="equal">
      <formula>1</formula>
    </cfRule>
  </conditionalFormatting>
  <conditionalFormatting sqref="S116">
    <cfRule type="cellIs" dxfId="237" priority="123" operator="equal">
      <formula>1</formula>
    </cfRule>
    <cfRule type="cellIs" dxfId="236" priority="122" operator="equal">
      <formula>0</formula>
    </cfRule>
  </conditionalFormatting>
  <conditionalFormatting sqref="S118">
    <cfRule type="cellIs" dxfId="235" priority="121" operator="equal">
      <formula>1</formula>
    </cfRule>
    <cfRule type="cellIs" dxfId="234" priority="120" operator="equal">
      <formula>0</formula>
    </cfRule>
  </conditionalFormatting>
  <conditionalFormatting sqref="S120">
    <cfRule type="cellIs" dxfId="233" priority="117" operator="equal">
      <formula>1</formula>
    </cfRule>
    <cfRule type="cellIs" dxfId="232" priority="116" operator="equal">
      <formula>0</formula>
    </cfRule>
  </conditionalFormatting>
  <conditionalFormatting sqref="S122">
    <cfRule type="cellIs" dxfId="231" priority="115" operator="equal">
      <formula>1</formula>
    </cfRule>
    <cfRule type="cellIs" dxfId="230" priority="114" operator="equal">
      <formula>0</formula>
    </cfRule>
  </conditionalFormatting>
  <conditionalFormatting sqref="S124">
    <cfRule type="cellIs" dxfId="229" priority="111" operator="equal">
      <formula>1</formula>
    </cfRule>
    <cfRule type="cellIs" dxfId="228" priority="110" operator="equal">
      <formula>0</formula>
    </cfRule>
  </conditionalFormatting>
  <conditionalFormatting sqref="S128">
    <cfRule type="cellIs" dxfId="227" priority="106" operator="equal">
      <formula>0</formula>
    </cfRule>
    <cfRule type="cellIs" dxfId="226" priority="107" operator="equal">
      <formula>1</formula>
    </cfRule>
  </conditionalFormatting>
  <conditionalFormatting sqref="S130">
    <cfRule type="cellIs" dxfId="225" priority="102" operator="equal">
      <formula>0</formula>
    </cfRule>
    <cfRule type="cellIs" dxfId="224" priority="103" operator="equal">
      <formula>1</formula>
    </cfRule>
  </conditionalFormatting>
  <conditionalFormatting sqref="S132">
    <cfRule type="cellIs" dxfId="223" priority="101" operator="equal">
      <formula>1</formula>
    </cfRule>
    <cfRule type="cellIs" dxfId="222" priority="100" operator="equal">
      <formula>0</formula>
    </cfRule>
  </conditionalFormatting>
  <conditionalFormatting sqref="S134">
    <cfRule type="cellIs" dxfId="221" priority="96" operator="equal">
      <formula>0</formula>
    </cfRule>
    <cfRule type="cellIs" dxfId="220" priority="97" operator="equal">
      <formula>1</formula>
    </cfRule>
  </conditionalFormatting>
  <conditionalFormatting sqref="S136">
    <cfRule type="cellIs" dxfId="219" priority="94" operator="equal">
      <formula>0</formula>
    </cfRule>
    <cfRule type="cellIs" dxfId="218" priority="95" operator="equal">
      <formula>1</formula>
    </cfRule>
  </conditionalFormatting>
  <conditionalFormatting sqref="S138">
    <cfRule type="cellIs" dxfId="217" priority="91" operator="equal">
      <formula>1</formula>
    </cfRule>
    <cfRule type="cellIs" dxfId="216" priority="90" operator="equal">
      <formula>0</formula>
    </cfRule>
  </conditionalFormatting>
  <conditionalFormatting sqref="S140">
    <cfRule type="cellIs" dxfId="215" priority="88" operator="equal">
      <formula>0</formula>
    </cfRule>
    <cfRule type="cellIs" dxfId="214" priority="89" operator="equal">
      <formula>1</formula>
    </cfRule>
  </conditionalFormatting>
  <conditionalFormatting sqref="S142">
    <cfRule type="cellIs" dxfId="213" priority="84" operator="equal">
      <formula>0</formula>
    </cfRule>
    <cfRule type="cellIs" dxfId="212" priority="85" operator="equal">
      <formula>1</formula>
    </cfRule>
  </conditionalFormatting>
  <conditionalFormatting sqref="S146:S149">
    <cfRule type="cellIs" dxfId="211" priority="75" operator="equal">
      <formula>1</formula>
    </cfRule>
    <cfRule type="cellIs" dxfId="210" priority="74" operator="equal">
      <formula>0</formula>
    </cfRule>
  </conditionalFormatting>
  <conditionalFormatting sqref="S151">
    <cfRule type="cellIs" dxfId="209" priority="72" operator="equal">
      <formula>0</formula>
    </cfRule>
    <cfRule type="cellIs" dxfId="208" priority="73" operator="equal">
      <formula>1</formula>
    </cfRule>
  </conditionalFormatting>
  <conditionalFormatting sqref="S33:T33">
    <cfRule type="cellIs" dxfId="207" priority="606" operator="equal">
      <formula>0</formula>
    </cfRule>
    <cfRule type="cellIs" dxfId="206" priority="607" operator="equal">
      <formula>1</formula>
    </cfRule>
  </conditionalFormatting>
  <conditionalFormatting sqref="S43:T43">
    <cfRule type="cellIs" dxfId="205" priority="620" operator="equal">
      <formula>0</formula>
    </cfRule>
    <cfRule type="cellIs" dxfId="204" priority="621" operator="equal">
      <formula>1</formula>
    </cfRule>
  </conditionalFormatting>
  <conditionalFormatting sqref="S53:T53">
    <cfRule type="cellIs" dxfId="203" priority="634" operator="equal">
      <formula>0</formula>
    </cfRule>
    <cfRule type="cellIs" dxfId="202" priority="635" operator="equal">
      <formula>1</formula>
    </cfRule>
  </conditionalFormatting>
  <conditionalFormatting sqref="S63:T63">
    <cfRule type="cellIs" dxfId="201" priority="648" operator="equal">
      <formula>0</formula>
    </cfRule>
    <cfRule type="cellIs" dxfId="200" priority="649" operator="equal">
      <formula>1</formula>
    </cfRule>
  </conditionalFormatting>
  <conditionalFormatting sqref="S30:U30">
    <cfRule type="cellIs" dxfId="199" priority="608" operator="equal">
      <formula>0</formula>
    </cfRule>
    <cfRule type="cellIs" dxfId="198" priority="609" operator="equal">
      <formula>1</formula>
    </cfRule>
  </conditionalFormatting>
  <conditionalFormatting sqref="S40:U40">
    <cfRule type="cellIs" dxfId="197" priority="622" operator="equal">
      <formula>0</formula>
    </cfRule>
    <cfRule type="cellIs" dxfId="196" priority="623" operator="equal">
      <formula>1</formula>
    </cfRule>
  </conditionalFormatting>
  <conditionalFormatting sqref="S50:U50">
    <cfRule type="cellIs" dxfId="195" priority="637" operator="equal">
      <formula>1</formula>
    </cfRule>
    <cfRule type="cellIs" dxfId="194" priority="636" operator="equal">
      <formula>0</formula>
    </cfRule>
  </conditionalFormatting>
  <conditionalFormatting sqref="S60:U60">
    <cfRule type="cellIs" dxfId="193" priority="651" operator="equal">
      <formula>1</formula>
    </cfRule>
    <cfRule type="cellIs" dxfId="192" priority="650" operator="equal">
      <formula>0</formula>
    </cfRule>
  </conditionalFormatting>
  <conditionalFormatting sqref="S101:V101">
    <cfRule type="cellIs" dxfId="191" priority="143" operator="equal">
      <formula>1</formula>
    </cfRule>
    <cfRule type="cellIs" dxfId="190" priority="142" operator="equal">
      <formula>0</formula>
    </cfRule>
  </conditionalFormatting>
  <conditionalFormatting sqref="S103:V103">
    <cfRule type="cellIs" dxfId="189" priority="145" operator="equal">
      <formula>1</formula>
    </cfRule>
    <cfRule type="cellIs" dxfId="188" priority="144" operator="equal">
      <formula>0</formula>
    </cfRule>
  </conditionalFormatting>
  <conditionalFormatting sqref="S106:V106">
    <cfRule type="cellIs" dxfId="187" priority="136" operator="equal">
      <formula>0</formula>
    </cfRule>
    <cfRule type="cellIs" dxfId="186" priority="137" operator="equal">
      <formula>1</formula>
    </cfRule>
  </conditionalFormatting>
  <conditionalFormatting sqref="S108:V108">
    <cfRule type="cellIs" dxfId="185" priority="138" operator="equal">
      <formula>0</formula>
    </cfRule>
    <cfRule type="cellIs" dxfId="184" priority="139" operator="equal">
      <formula>1</formula>
    </cfRule>
  </conditionalFormatting>
  <conditionalFormatting sqref="S126:V126">
    <cfRule type="cellIs" dxfId="183" priority="134" operator="equal">
      <formula>0</formula>
    </cfRule>
    <cfRule type="cellIs" dxfId="182" priority="135" operator="equal">
      <formula>1</formula>
    </cfRule>
  </conditionalFormatting>
  <conditionalFormatting sqref="S144:V144">
    <cfRule type="cellIs" dxfId="181" priority="108" operator="equal">
      <formula>0</formula>
    </cfRule>
    <cfRule type="cellIs" dxfId="180" priority="109" operator="equal">
      <formula>1</formula>
    </cfRule>
  </conditionalFormatting>
  <conditionalFormatting sqref="T16">
    <cfRule type="cellIs" dxfId="179" priority="402" operator="equal">
      <formula>0</formula>
    </cfRule>
    <cfRule type="cellIs" dxfId="178" priority="403" operator="equal">
      <formula>1</formula>
    </cfRule>
  </conditionalFormatting>
  <conditionalFormatting sqref="T18">
    <cfRule type="cellIs" dxfId="177" priority="707" operator="equal">
      <formula>1</formula>
    </cfRule>
    <cfRule type="cellIs" dxfId="176" priority="706" operator="equal">
      <formula>0</formula>
    </cfRule>
  </conditionalFormatting>
  <conditionalFormatting sqref="T23">
    <cfRule type="cellIs" dxfId="175" priority="703" operator="equal">
      <formula>1</formula>
    </cfRule>
    <cfRule type="cellIs" dxfId="174" priority="702" operator="equal">
      <formula>0</formula>
    </cfRule>
  </conditionalFormatting>
  <conditionalFormatting sqref="T35">
    <cfRule type="cellIs" dxfId="173" priority="610" operator="equal">
      <formula>0</formula>
    </cfRule>
    <cfRule type="cellIs" dxfId="172" priority="611" operator="equal">
      <formula>1</formula>
    </cfRule>
  </conditionalFormatting>
  <conditionalFormatting sqref="T37">
    <cfRule type="cellIs" dxfId="171" priority="613" operator="equal">
      <formula>1</formula>
    </cfRule>
    <cfRule type="cellIs" dxfId="170" priority="612" operator="equal">
      <formula>0</formula>
    </cfRule>
  </conditionalFormatting>
  <conditionalFormatting sqref="T45">
    <cfRule type="cellIs" dxfId="169" priority="625" operator="equal">
      <formula>1</formula>
    </cfRule>
    <cfRule type="cellIs" dxfId="168" priority="624" operator="equal">
      <formula>0</formula>
    </cfRule>
  </conditionalFormatting>
  <conditionalFormatting sqref="T47">
    <cfRule type="cellIs" dxfId="167" priority="626" operator="equal">
      <formula>0</formula>
    </cfRule>
    <cfRule type="cellIs" dxfId="166" priority="627" operator="equal">
      <formula>1</formula>
    </cfRule>
  </conditionalFormatting>
  <conditionalFormatting sqref="T55">
    <cfRule type="cellIs" dxfId="165" priority="639" operator="equal">
      <formula>1</formula>
    </cfRule>
    <cfRule type="cellIs" dxfId="164" priority="638" operator="equal">
      <formula>0</formula>
    </cfRule>
  </conditionalFormatting>
  <conditionalFormatting sqref="T57">
    <cfRule type="cellIs" dxfId="163" priority="640" operator="equal">
      <formula>0</formula>
    </cfRule>
    <cfRule type="cellIs" dxfId="162" priority="641" operator="equal">
      <formula>1</formula>
    </cfRule>
  </conditionalFormatting>
  <conditionalFormatting sqref="T65">
    <cfRule type="cellIs" dxfId="161" priority="653" operator="equal">
      <formula>1</formula>
    </cfRule>
    <cfRule type="cellIs" dxfId="160" priority="652" operator="equal">
      <formula>0</formula>
    </cfRule>
  </conditionalFormatting>
  <conditionalFormatting sqref="T8:U8">
    <cfRule type="cellIs" dxfId="159" priority="454" operator="equal">
      <formula>0</formula>
    </cfRule>
    <cfRule type="cellIs" dxfId="158" priority="455" operator="equal">
      <formula>1</formula>
    </cfRule>
  </conditionalFormatting>
  <conditionalFormatting sqref="T67:U67">
    <cfRule type="cellIs" dxfId="157" priority="647" operator="equal">
      <formula>1</formula>
    </cfRule>
    <cfRule type="cellIs" dxfId="156" priority="646" operator="equal">
      <formula>0</formula>
    </cfRule>
  </conditionalFormatting>
  <conditionalFormatting sqref="T111:U111">
    <cfRule type="cellIs" dxfId="155" priority="130" operator="equal">
      <formula>0</formula>
    </cfRule>
    <cfRule type="cellIs" dxfId="154" priority="131" operator="equal">
      <formula>1</formula>
    </cfRule>
  </conditionalFormatting>
  <conditionalFormatting sqref="T115:U115">
    <cfRule type="cellIs" dxfId="153" priority="125" operator="equal">
      <formula>1</formula>
    </cfRule>
    <cfRule type="cellIs" dxfId="152" priority="124" operator="equal">
      <formula>0</formula>
    </cfRule>
  </conditionalFormatting>
  <conditionalFormatting sqref="T119:U119">
    <cfRule type="cellIs" dxfId="151" priority="118" operator="equal">
      <formula>0</formula>
    </cfRule>
    <cfRule type="cellIs" dxfId="150" priority="119" operator="equal">
      <formula>1</formula>
    </cfRule>
  </conditionalFormatting>
  <conditionalFormatting sqref="T123:U123">
    <cfRule type="cellIs" dxfId="149" priority="113" operator="equal">
      <formula>1</formula>
    </cfRule>
    <cfRule type="cellIs" dxfId="148" priority="112" operator="equal">
      <formula>0</formula>
    </cfRule>
  </conditionalFormatting>
  <conditionalFormatting sqref="T129:U129">
    <cfRule type="cellIs" dxfId="147" priority="105" operator="equal">
      <formula>1</formula>
    </cfRule>
    <cfRule type="cellIs" dxfId="146" priority="104" operator="equal">
      <formula>0</formula>
    </cfRule>
  </conditionalFormatting>
  <conditionalFormatting sqref="T133:U133">
    <cfRule type="cellIs" dxfId="145" priority="98" operator="equal">
      <formula>0</formula>
    </cfRule>
    <cfRule type="cellIs" dxfId="144" priority="99" operator="equal">
      <formula>1</formula>
    </cfRule>
  </conditionalFormatting>
  <conditionalFormatting sqref="T137:U137">
    <cfRule type="cellIs" dxfId="143" priority="93" operator="equal">
      <formula>1</formula>
    </cfRule>
    <cfRule type="cellIs" dxfId="142" priority="92" operator="equal">
      <formula>0</formula>
    </cfRule>
  </conditionalFormatting>
  <conditionalFormatting sqref="T141:U141">
    <cfRule type="cellIs" dxfId="141" priority="86" operator="equal">
      <formula>0</formula>
    </cfRule>
    <cfRule type="cellIs" dxfId="140" priority="87" operator="equal">
      <formula>1</formula>
    </cfRule>
  </conditionalFormatting>
  <conditionalFormatting sqref="T5:V5">
    <cfRule type="cellIs" dxfId="139" priority="457" operator="equal">
      <formula>1</formula>
    </cfRule>
    <cfRule type="cellIs" dxfId="138" priority="456" operator="equal">
      <formula>0</formula>
    </cfRule>
  </conditionalFormatting>
  <conditionalFormatting sqref="U10">
    <cfRule type="cellIs" dxfId="137" priority="462" operator="equal">
      <formula>0</formula>
    </cfRule>
    <cfRule type="cellIs" dxfId="136" priority="463" operator="equal">
      <formula>1</formula>
    </cfRule>
  </conditionalFormatting>
  <conditionalFormatting sqref="U28">
    <cfRule type="cellIs" dxfId="135" priority="669" operator="equal">
      <formula>1</formula>
    </cfRule>
    <cfRule type="cellIs" dxfId="134" priority="668" operator="equal">
      <formula>0</formula>
    </cfRule>
  </conditionalFormatting>
  <conditionalFormatting sqref="U32">
    <cfRule type="cellIs" dxfId="133" priority="614" operator="equal">
      <formula>0</formula>
    </cfRule>
    <cfRule type="cellIs" dxfId="132" priority="615" operator="equal">
      <formula>1</formula>
    </cfRule>
  </conditionalFormatting>
  <conditionalFormatting sqref="U34">
    <cfRule type="cellIs" dxfId="131" priority="616" operator="equal">
      <formula>0</formula>
    </cfRule>
    <cfRule type="cellIs" dxfId="130" priority="617" operator="equal">
      <formula>1</formula>
    </cfRule>
  </conditionalFormatting>
  <conditionalFormatting sqref="U37:U38">
    <cfRule type="cellIs" dxfId="129" priority="605" operator="equal">
      <formula>1</formula>
    </cfRule>
    <cfRule type="cellIs" dxfId="128" priority="604" operator="equal">
      <formula>0</formula>
    </cfRule>
  </conditionalFormatting>
  <conditionalFormatting sqref="U42">
    <cfRule type="cellIs" dxfId="127" priority="628" operator="equal">
      <formula>0</formula>
    </cfRule>
    <cfRule type="cellIs" dxfId="126" priority="629" operator="equal">
      <formula>1</formula>
    </cfRule>
  </conditionalFormatting>
  <conditionalFormatting sqref="U44">
    <cfRule type="cellIs" dxfId="125" priority="630" operator="equal">
      <formula>0</formula>
    </cfRule>
    <cfRule type="cellIs" dxfId="124" priority="631" operator="equal">
      <formula>1</formula>
    </cfRule>
  </conditionalFormatting>
  <conditionalFormatting sqref="U47:U48">
    <cfRule type="cellIs" dxfId="123" priority="618" operator="equal">
      <formula>0</formula>
    </cfRule>
    <cfRule type="cellIs" dxfId="122" priority="619" operator="equal">
      <formula>1</formula>
    </cfRule>
  </conditionalFormatting>
  <conditionalFormatting sqref="U52">
    <cfRule type="cellIs" dxfId="121" priority="643" operator="equal">
      <formula>1</formula>
    </cfRule>
    <cfRule type="cellIs" dxfId="120" priority="642" operator="equal">
      <formula>0</formula>
    </cfRule>
  </conditionalFormatting>
  <conditionalFormatting sqref="U54">
    <cfRule type="cellIs" dxfId="119" priority="645" operator="equal">
      <formula>1</formula>
    </cfRule>
    <cfRule type="cellIs" dxfId="118" priority="644" operator="equal">
      <formula>0</formula>
    </cfRule>
  </conditionalFormatting>
  <conditionalFormatting sqref="U57:U58">
    <cfRule type="cellIs" dxfId="117" priority="632" operator="equal">
      <formula>0</formula>
    </cfRule>
    <cfRule type="cellIs" dxfId="116" priority="633" operator="equal">
      <formula>1</formula>
    </cfRule>
  </conditionalFormatting>
  <conditionalFormatting sqref="U62">
    <cfRule type="cellIs" dxfId="115" priority="656" operator="equal">
      <formula>0</formula>
    </cfRule>
    <cfRule type="cellIs" dxfId="114" priority="657" operator="equal">
      <formula>1</formula>
    </cfRule>
  </conditionalFormatting>
  <conditionalFormatting sqref="U64">
    <cfRule type="cellIs" dxfId="113" priority="659" operator="equal">
      <formula>1</formula>
    </cfRule>
    <cfRule type="cellIs" dxfId="112" priority="658" operator="equal">
      <formula>0</formula>
    </cfRule>
  </conditionalFormatting>
  <conditionalFormatting sqref="U72:X72">
    <cfRule type="cellIs" dxfId="111" priority="667" operator="equal">
      <formula>1</formula>
    </cfRule>
    <cfRule type="cellIs" dxfId="110" priority="666" operator="equal">
      <formula>0</formula>
    </cfRule>
  </conditionalFormatting>
  <conditionalFormatting sqref="U151:X151">
    <cfRule type="cellIs" dxfId="109" priority="70" operator="equal">
      <formula>0</formula>
    </cfRule>
    <cfRule type="cellIs" dxfId="108" priority="71" operator="equal">
      <formula>1</formula>
    </cfRule>
  </conditionalFormatting>
  <conditionalFormatting sqref="V7">
    <cfRule type="cellIs" dxfId="107" priority="472" operator="equal">
      <formula>0</formula>
    </cfRule>
    <cfRule type="cellIs" dxfId="106" priority="473" operator="equal">
      <formula>1</formula>
    </cfRule>
  </conditionalFormatting>
  <conditionalFormatting sqref="V9">
    <cfRule type="cellIs" dxfId="105" priority="474" operator="equal">
      <formula>0</formula>
    </cfRule>
    <cfRule type="cellIs" dxfId="104" priority="475" operator="equal">
      <formula>1</formula>
    </cfRule>
  </conditionalFormatting>
  <conditionalFormatting sqref="W25">
    <cfRule type="cellIs" dxfId="103" priority="662" operator="equal">
      <formula>0</formula>
    </cfRule>
    <cfRule type="cellIs" dxfId="102" priority="663" operator="equal">
      <formula>1</formula>
    </cfRule>
  </conditionalFormatting>
  <conditionalFormatting sqref="Z4">
    <cfRule type="cellIs" dxfId="101" priority="686" operator="equal">
      <formula>0</formula>
    </cfRule>
    <cfRule type="cellIs" dxfId="100" priority="687" operator="equal">
      <formula>1</formula>
    </cfRule>
  </conditionalFormatting>
  <conditionalFormatting sqref="Z16">
    <cfRule type="cellIs" dxfId="99" priority="489" operator="equal">
      <formula>1</formula>
    </cfRule>
    <cfRule type="cellIs" dxfId="98" priority="488" operator="equal">
      <formula>0</formula>
    </cfRule>
  </conditionalFormatting>
  <conditionalFormatting sqref="Z19">
    <cfRule type="cellIs" dxfId="97" priority="492" operator="equal">
      <formula>0</formula>
    </cfRule>
    <cfRule type="cellIs" dxfId="96" priority="493" operator="equal">
      <formula>1</formula>
    </cfRule>
  </conditionalFormatting>
  <conditionalFormatting sqref="Z21">
    <cfRule type="cellIs" dxfId="95" priority="494" operator="equal">
      <formula>0</formula>
    </cfRule>
    <cfRule type="cellIs" dxfId="94" priority="495" operator="equal">
      <formula>1</formula>
    </cfRule>
  </conditionalFormatting>
  <conditionalFormatting sqref="Z23">
    <cfRule type="cellIs" dxfId="93" priority="496" operator="equal">
      <formula>0</formula>
    </cfRule>
    <cfRule type="cellIs" dxfId="92" priority="497" operator="equal">
      <formula>1</formula>
    </cfRule>
  </conditionalFormatting>
  <conditionalFormatting sqref="AA7">
    <cfRule type="cellIs" dxfId="91" priority="676" operator="equal">
      <formula>0</formula>
    </cfRule>
    <cfRule type="cellIs" dxfId="90" priority="677" operator="equal">
      <formula>1</formula>
    </cfRule>
  </conditionalFormatting>
  <conditionalFormatting sqref="AA9">
    <cfRule type="cellIs" dxfId="89" priority="684" operator="equal">
      <formula>0</formula>
    </cfRule>
    <cfRule type="cellIs" dxfId="88" priority="685" operator="equal">
      <formula>1</formula>
    </cfRule>
  </conditionalFormatting>
  <conditionalFormatting sqref="AA12">
    <cfRule type="cellIs" dxfId="87" priority="692" operator="equal">
      <formula>0</formula>
    </cfRule>
    <cfRule type="cellIs" dxfId="86" priority="693" operator="equal">
      <formula>1</formula>
    </cfRule>
  </conditionalFormatting>
  <conditionalFormatting sqref="AA14">
    <cfRule type="cellIs" dxfId="85" priority="698" operator="equal">
      <formula>0</formula>
    </cfRule>
    <cfRule type="cellIs" dxfId="84" priority="699" operator="equal">
      <formula>1</formula>
    </cfRule>
  </conditionalFormatting>
  <conditionalFormatting sqref="AA82:AB82">
    <cfRule type="cellIs" dxfId="83" priority="17" operator="equal">
      <formula>0</formula>
    </cfRule>
    <cfRule type="cellIs" dxfId="82" priority="18" operator="greaterThanOrEqual">
      <formula>1</formula>
    </cfRule>
  </conditionalFormatting>
  <conditionalFormatting sqref="AB4">
    <cfRule type="cellIs" dxfId="81" priority="688" operator="equal">
      <formula>0</formula>
    </cfRule>
    <cfRule type="cellIs" dxfId="80" priority="689" operator="equal">
      <formula>1</formula>
    </cfRule>
  </conditionalFormatting>
  <conditionalFormatting sqref="AB10">
    <cfRule type="cellIs" dxfId="79" priority="682" operator="equal">
      <formula>0</formula>
    </cfRule>
    <cfRule type="cellIs" dxfId="78" priority="683" operator="equal">
      <formula>1</formula>
    </cfRule>
  </conditionalFormatting>
  <conditionalFormatting sqref="AB16">
    <cfRule type="cellIs" dxfId="77" priority="491" operator="equal">
      <formula>1</formula>
    </cfRule>
    <cfRule type="cellIs" dxfId="76" priority="490" operator="equal">
      <formula>0</formula>
    </cfRule>
  </conditionalFormatting>
  <conditionalFormatting sqref="AB18">
    <cfRule type="cellIs" dxfId="75" priority="498" operator="equal">
      <formula>0</formula>
    </cfRule>
    <cfRule type="cellIs" dxfId="74" priority="499" operator="equal">
      <formula>1</formula>
    </cfRule>
  </conditionalFormatting>
  <conditionalFormatting sqref="AB23">
    <cfRule type="cellIs" dxfId="73" priority="500" operator="equal">
      <formula>0</formula>
    </cfRule>
    <cfRule type="cellIs" dxfId="72" priority="501" operator="equal">
      <formula>1</formula>
    </cfRule>
  </conditionalFormatting>
  <conditionalFormatting sqref="AB25">
    <cfRule type="cellIs" dxfId="71" priority="420" operator="equal">
      <formula>0</formula>
    </cfRule>
    <cfRule type="cellIs" dxfId="70" priority="421" operator="equal">
      <formula>1</formula>
    </cfRule>
  </conditionalFormatting>
  <conditionalFormatting sqref="AB50">
    <cfRule type="cellIs" dxfId="69" priority="255" operator="equal">
      <formula>1</formula>
    </cfRule>
    <cfRule type="cellIs" dxfId="68" priority="254" operator="equal">
      <formula>0</formula>
    </cfRule>
  </conditionalFormatting>
  <conditionalFormatting sqref="AB52">
    <cfRule type="cellIs" dxfId="67" priority="250" operator="equal">
      <formula>0</formula>
    </cfRule>
    <cfRule type="cellIs" dxfId="66" priority="251" operator="equal">
      <formula>1</formula>
    </cfRule>
  </conditionalFormatting>
  <conditionalFormatting sqref="AB54">
    <cfRule type="cellIs" dxfId="65" priority="230" operator="equal">
      <formula>0</formula>
    </cfRule>
    <cfRule type="cellIs" dxfId="64" priority="231" operator="equal">
      <formula>1</formula>
    </cfRule>
  </conditionalFormatting>
  <conditionalFormatting sqref="AB56">
    <cfRule type="cellIs" dxfId="63" priority="226" operator="equal">
      <formula>0</formula>
    </cfRule>
    <cfRule type="cellIs" dxfId="62" priority="227" operator="equal">
      <formula>1</formula>
    </cfRule>
  </conditionalFormatting>
  <conditionalFormatting sqref="AB58">
    <cfRule type="cellIs" dxfId="61" priority="224" operator="equal">
      <formula>0</formula>
    </cfRule>
    <cfRule type="cellIs" dxfId="60" priority="225" operator="equal">
      <formula>1</formula>
    </cfRule>
  </conditionalFormatting>
  <conditionalFormatting sqref="AB60">
    <cfRule type="cellIs" dxfId="59" priority="220" operator="equal">
      <formula>0</formula>
    </cfRule>
    <cfRule type="cellIs" dxfId="58" priority="221" operator="equal">
      <formula>1</formula>
    </cfRule>
  </conditionalFormatting>
  <conditionalFormatting sqref="AB62">
    <cfRule type="cellIs" dxfId="57" priority="219" operator="equal">
      <formula>1</formula>
    </cfRule>
    <cfRule type="cellIs" dxfId="56" priority="218" operator="equal">
      <formula>0</formula>
    </cfRule>
  </conditionalFormatting>
  <conditionalFormatting sqref="AB64">
    <cfRule type="cellIs" dxfId="55" priority="214" operator="equal">
      <formula>0</formula>
    </cfRule>
    <cfRule type="cellIs" dxfId="54" priority="215" operator="equal">
      <formula>1</formula>
    </cfRule>
  </conditionalFormatting>
  <conditionalFormatting sqref="AB33:AE34">
    <cfRule type="cellIs" dxfId="53" priority="332" operator="equal">
      <formula>0</formula>
    </cfRule>
    <cfRule type="cellIs" dxfId="52" priority="333" operator="equal">
      <formula>1</formula>
    </cfRule>
  </conditionalFormatting>
  <conditionalFormatting sqref="AB36:AE36">
    <cfRule type="cellIs" dxfId="51" priority="262" operator="equal">
      <formula>0</formula>
    </cfRule>
    <cfRule type="cellIs" dxfId="50" priority="263" operator="equal">
      <formula>1</formula>
    </cfRule>
  </conditionalFormatting>
  <conditionalFormatting sqref="AB38:AE38">
    <cfRule type="cellIs" dxfId="49" priority="276" operator="equal">
      <formula>0</formula>
    </cfRule>
    <cfRule type="cellIs" dxfId="48" priority="277" operator="equal">
      <formula>1</formula>
    </cfRule>
  </conditionalFormatting>
  <conditionalFormatting sqref="AB40:AE41">
    <cfRule type="cellIs" dxfId="47" priority="317" operator="equal">
      <formula>1</formula>
    </cfRule>
    <cfRule type="cellIs" dxfId="46" priority="316" operator="equal">
      <formula>0</formula>
    </cfRule>
  </conditionalFormatting>
  <conditionalFormatting sqref="AB43:AE43">
    <cfRule type="cellIs" dxfId="45" priority="282" operator="equal">
      <formula>0</formula>
    </cfRule>
    <cfRule type="cellIs" dxfId="44" priority="283" operator="equal">
      <formula>1</formula>
    </cfRule>
  </conditionalFormatting>
  <conditionalFormatting sqref="AB45:AE45">
    <cfRule type="cellIs" dxfId="43" priority="295" operator="equal">
      <formula>1</formula>
    </cfRule>
    <cfRule type="cellIs" dxfId="42" priority="294" operator="equal">
      <formula>0</formula>
    </cfRule>
  </conditionalFormatting>
  <conditionalFormatting sqref="AB47:AE48">
    <cfRule type="cellIs" dxfId="41" priority="260" operator="equal">
      <formula>0</formula>
    </cfRule>
    <cfRule type="cellIs" dxfId="40" priority="261" operator="equal">
      <formula>1</formula>
    </cfRule>
  </conditionalFormatting>
  <conditionalFormatting sqref="AB66:AE66">
    <cfRule type="cellIs" dxfId="39" priority="256" operator="equal">
      <formula>0</formula>
    </cfRule>
    <cfRule type="cellIs" dxfId="38" priority="257" operator="equal">
      <formula>1</formula>
    </cfRule>
  </conditionalFormatting>
  <conditionalFormatting sqref="AC6">
    <cfRule type="cellIs" dxfId="37" priority="679" operator="equal">
      <formula>1</formula>
    </cfRule>
    <cfRule type="cellIs" dxfId="36" priority="678" operator="equal">
      <formula>0</formula>
    </cfRule>
  </conditionalFormatting>
  <conditionalFormatting sqref="AC8">
    <cfRule type="cellIs" dxfId="35" priority="681" operator="equal">
      <formula>1</formula>
    </cfRule>
    <cfRule type="cellIs" dxfId="34" priority="680" operator="equal">
      <formula>0</formula>
    </cfRule>
  </conditionalFormatting>
  <conditionalFormatting sqref="AC14">
    <cfRule type="cellIs" dxfId="33" priority="697" operator="equal">
      <formula>1</formula>
    </cfRule>
    <cfRule type="cellIs" dxfId="32" priority="696" operator="equal">
      <formula>0</formula>
    </cfRule>
  </conditionalFormatting>
  <conditionalFormatting sqref="AC27">
    <cfRule type="cellIs" dxfId="31" priority="415" operator="equal">
      <formula>1</formula>
    </cfRule>
    <cfRule type="cellIs" dxfId="30" priority="414" operator="equal">
      <formula>0</formula>
    </cfRule>
  </conditionalFormatting>
  <conditionalFormatting sqref="AC29">
    <cfRule type="cellIs" dxfId="29" priority="409" operator="equal">
      <formula>1</formula>
    </cfRule>
    <cfRule type="cellIs" dxfId="28" priority="408" operator="equal">
      <formula>0</formula>
    </cfRule>
  </conditionalFormatting>
  <conditionalFormatting sqref="AC31">
    <cfRule type="cellIs" dxfId="27" priority="406" operator="equal">
      <formula>0</formula>
    </cfRule>
    <cfRule type="cellIs" dxfId="26" priority="407" operator="equal">
      <formula>1</formula>
    </cfRule>
  </conditionalFormatting>
  <conditionalFormatting sqref="AC51:AD51">
    <cfRule type="cellIs" dxfId="25" priority="253" operator="equal">
      <formula>1</formula>
    </cfRule>
    <cfRule type="cellIs" dxfId="24" priority="252" operator="equal">
      <formula>0</formula>
    </cfRule>
  </conditionalFormatting>
  <conditionalFormatting sqref="AC55:AD55">
    <cfRule type="cellIs" dxfId="23" priority="229" operator="equal">
      <formula>1</formula>
    </cfRule>
    <cfRule type="cellIs" dxfId="22" priority="228" operator="equal">
      <formula>0</formula>
    </cfRule>
  </conditionalFormatting>
  <conditionalFormatting sqref="AC59:AD59">
    <cfRule type="cellIs" dxfId="21" priority="223" operator="equal">
      <formula>1</formula>
    </cfRule>
    <cfRule type="cellIs" dxfId="20" priority="222" operator="equal">
      <formula>0</formula>
    </cfRule>
  </conditionalFormatting>
  <conditionalFormatting sqref="AC63:AD63">
    <cfRule type="cellIs" dxfId="19" priority="217" operator="equal">
      <formula>1</formula>
    </cfRule>
    <cfRule type="cellIs" dxfId="18" priority="216" operator="equal">
      <formula>0</formula>
    </cfRule>
  </conditionalFormatting>
  <conditionalFormatting sqref="AD4">
    <cfRule type="cellIs" dxfId="17" priority="690" operator="equal">
      <formula>0</formula>
    </cfRule>
    <cfRule type="cellIs" dxfId="16" priority="691" operator="equal">
      <formula>1</formula>
    </cfRule>
  </conditionalFormatting>
  <conditionalFormatting sqref="AD7">
    <cfRule type="cellIs" dxfId="15" priority="694" operator="equal">
      <formula>0</formula>
    </cfRule>
    <cfRule type="cellIs" dxfId="14" priority="695" operator="equal">
      <formula>1</formula>
    </cfRule>
  </conditionalFormatting>
  <conditionalFormatting sqref="AD25">
    <cfRule type="cellIs" dxfId="13" priority="418" operator="equal">
      <formula>0</formula>
    </cfRule>
    <cfRule type="cellIs" dxfId="12" priority="419" operator="equal">
      <formula>1</formula>
    </cfRule>
  </conditionalFormatting>
  <conditionalFormatting sqref="AD28:AE28">
    <cfRule type="cellIs" dxfId="11" priority="411" operator="equal">
      <formula>1</formula>
    </cfRule>
    <cfRule type="cellIs" dxfId="10" priority="410" operator="equal">
      <formula>0</formula>
    </cfRule>
  </conditionalFormatting>
  <conditionalFormatting sqref="AD82:AG83">
    <cfRule type="cellIs" dxfId="9" priority="7" operator="equal">
      <formula>0</formula>
    </cfRule>
    <cfRule type="cellIs" dxfId="8" priority="8" operator="greaterThanOrEqual">
      <formula>1</formula>
    </cfRule>
  </conditionalFormatting>
  <conditionalFormatting sqref="AE86:AT86 AE88:AT101 AF87:AT87">
    <cfRule type="cellIs" dxfId="7" priority="2" operator="greaterThan">
      <formula>0</formula>
    </cfRule>
    <cfRule type="containsText" dxfId="6" priority="1" operator="containsText" text="0000">
      <formula>NOT(ISERROR(SEARCH("0000",AE86)))</formula>
    </cfRule>
  </conditionalFormatting>
  <conditionalFormatting sqref="AF25">
    <cfRule type="cellIs" dxfId="5" priority="416" operator="equal">
      <formula>0</formula>
    </cfRule>
    <cfRule type="cellIs" dxfId="4" priority="417" operator="equal">
      <formula>1</formula>
    </cfRule>
  </conditionalFormatting>
  <conditionalFormatting sqref="AG47">
    <cfRule type="cellIs" dxfId="3" priority="259" operator="equal">
      <formula>1</formula>
    </cfRule>
    <cfRule type="cellIs" dxfId="2" priority="258" operator="equal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N20" sqref="N20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P21"/>
  <sheetViews>
    <sheetView workbookViewId="0">
      <selection activeCell="F25" sqref="F25"/>
    </sheetView>
  </sheetViews>
  <sheetFormatPr defaultRowHeight="14.4" x14ac:dyDescent="0.3"/>
  <sheetData>
    <row r="1" spans="1:16" x14ac:dyDescent="0.3">
      <c r="A1" s="87" t="str">
        <f t="shared" ref="A1:P10" ca="1" si="0">IF(AND(RAMOP="11",RAMX=DEC2BIN(COLUMN(A1)-1,4),RAMY=DEC2BIN(ROW(A1)-1,4)),FULLDATABIT,A1)</f>
        <v>0101</v>
      </c>
      <c r="B1" s="87">
        <f t="shared" ca="1" si="0"/>
        <v>0</v>
      </c>
      <c r="C1" s="87">
        <f t="shared" ca="1" si="0"/>
        <v>0</v>
      </c>
      <c r="D1" s="87">
        <f t="shared" ca="1" si="0"/>
        <v>0</v>
      </c>
      <c r="E1" s="87">
        <f t="shared" ca="1" si="0"/>
        <v>0</v>
      </c>
      <c r="F1" s="87" t="str">
        <f t="shared" ca="1" si="0"/>
        <v>1010</v>
      </c>
      <c r="G1" s="87">
        <f t="shared" ca="1" si="0"/>
        <v>0</v>
      </c>
      <c r="H1" s="87">
        <f t="shared" ca="1" si="0"/>
        <v>0</v>
      </c>
      <c r="I1" s="87">
        <f t="shared" ca="1" si="0"/>
        <v>0</v>
      </c>
      <c r="J1" s="87">
        <f t="shared" ca="1" si="0"/>
        <v>0</v>
      </c>
      <c r="K1" s="87">
        <f t="shared" ca="1" si="0"/>
        <v>0</v>
      </c>
      <c r="L1" s="87">
        <f t="shared" ca="1" si="0"/>
        <v>0</v>
      </c>
      <c r="M1" s="87">
        <f t="shared" ca="1" si="0"/>
        <v>0</v>
      </c>
      <c r="N1" s="87">
        <f t="shared" ca="1" si="0"/>
        <v>0</v>
      </c>
      <c r="O1" s="87">
        <f t="shared" ca="1" si="0"/>
        <v>0</v>
      </c>
      <c r="P1" s="87">
        <f t="shared" ca="1" si="0"/>
        <v>0</v>
      </c>
    </row>
    <row r="2" spans="1:16" x14ac:dyDescent="0.3">
      <c r="A2" s="87">
        <f t="shared" ca="1" si="0"/>
        <v>0</v>
      </c>
      <c r="B2" s="87">
        <f t="shared" ca="1" si="0"/>
        <v>0</v>
      </c>
      <c r="C2" s="87">
        <f t="shared" ca="1" si="0"/>
        <v>0</v>
      </c>
      <c r="D2" s="87">
        <f t="shared" ca="1" si="0"/>
        <v>0</v>
      </c>
      <c r="E2" s="87">
        <f t="shared" ca="1" si="0"/>
        <v>0</v>
      </c>
      <c r="F2" s="87">
        <f t="shared" ca="1" si="0"/>
        <v>0</v>
      </c>
      <c r="G2" s="87">
        <f t="shared" ca="1" si="0"/>
        <v>0</v>
      </c>
      <c r="H2" s="87">
        <f t="shared" ca="1" si="0"/>
        <v>0</v>
      </c>
      <c r="I2" s="87">
        <f t="shared" ca="1" si="0"/>
        <v>0</v>
      </c>
      <c r="J2" s="87">
        <f t="shared" ca="1" si="0"/>
        <v>0</v>
      </c>
      <c r="K2" s="87">
        <f t="shared" ca="1" si="0"/>
        <v>0</v>
      </c>
      <c r="L2" s="87">
        <f t="shared" ca="1" si="0"/>
        <v>0</v>
      </c>
      <c r="M2" s="87">
        <f t="shared" ca="1" si="0"/>
        <v>0</v>
      </c>
      <c r="N2" s="87">
        <f t="shared" ca="1" si="0"/>
        <v>0</v>
      </c>
      <c r="O2" s="87">
        <f t="shared" ca="1" si="0"/>
        <v>0</v>
      </c>
      <c r="P2" s="87">
        <f t="shared" ca="1" si="0"/>
        <v>0</v>
      </c>
    </row>
    <row r="3" spans="1:16" x14ac:dyDescent="0.3">
      <c r="A3" s="87">
        <f t="shared" ca="1" si="0"/>
        <v>0</v>
      </c>
      <c r="B3" s="87">
        <f t="shared" ca="1" si="0"/>
        <v>0</v>
      </c>
      <c r="C3" s="87">
        <f t="shared" ca="1" si="0"/>
        <v>0</v>
      </c>
      <c r="D3" s="87">
        <f t="shared" ca="1" si="0"/>
        <v>0</v>
      </c>
      <c r="E3" s="87">
        <f t="shared" ca="1" si="0"/>
        <v>0</v>
      </c>
      <c r="F3" s="87">
        <f t="shared" ca="1" si="0"/>
        <v>0</v>
      </c>
      <c r="G3" s="87">
        <f t="shared" ca="1" si="0"/>
        <v>0</v>
      </c>
      <c r="H3" s="87">
        <f t="shared" ca="1" si="0"/>
        <v>0</v>
      </c>
      <c r="I3" s="87">
        <f t="shared" ca="1" si="0"/>
        <v>0</v>
      </c>
      <c r="J3" s="87">
        <f t="shared" ca="1" si="0"/>
        <v>0</v>
      </c>
      <c r="K3" s="87">
        <f t="shared" ca="1" si="0"/>
        <v>0</v>
      </c>
      <c r="L3" s="87">
        <f t="shared" ca="1" si="0"/>
        <v>0</v>
      </c>
      <c r="M3" s="87">
        <f t="shared" ca="1" si="0"/>
        <v>0</v>
      </c>
      <c r="N3" s="87">
        <f t="shared" ca="1" si="0"/>
        <v>0</v>
      </c>
      <c r="O3" s="87">
        <f t="shared" ca="1" si="0"/>
        <v>0</v>
      </c>
      <c r="P3" s="87">
        <f t="shared" ca="1" si="0"/>
        <v>0</v>
      </c>
    </row>
    <row r="4" spans="1:16" x14ac:dyDescent="0.3">
      <c r="A4" s="87">
        <f t="shared" ca="1" si="0"/>
        <v>0</v>
      </c>
      <c r="B4" s="87" t="str">
        <f t="shared" ca="1" si="0"/>
        <v>1111</v>
      </c>
      <c r="C4" s="87">
        <f t="shared" ca="1" si="0"/>
        <v>0</v>
      </c>
      <c r="D4" s="87">
        <f t="shared" ca="1" si="0"/>
        <v>0</v>
      </c>
      <c r="E4" s="87">
        <f t="shared" ca="1" si="0"/>
        <v>0</v>
      </c>
      <c r="F4" s="87">
        <f t="shared" ca="1" si="0"/>
        <v>0</v>
      </c>
      <c r="G4" s="87">
        <f t="shared" ca="1" si="0"/>
        <v>0</v>
      </c>
      <c r="H4" s="87">
        <f t="shared" ca="1" si="0"/>
        <v>0</v>
      </c>
      <c r="I4" s="87">
        <f t="shared" ca="1" si="0"/>
        <v>0</v>
      </c>
      <c r="J4" s="87">
        <f t="shared" ca="1" si="0"/>
        <v>0</v>
      </c>
      <c r="K4" s="87">
        <f t="shared" ca="1" si="0"/>
        <v>0</v>
      </c>
      <c r="L4" s="87">
        <f t="shared" ca="1" si="0"/>
        <v>0</v>
      </c>
      <c r="M4" s="87">
        <f t="shared" ca="1" si="0"/>
        <v>0</v>
      </c>
      <c r="N4" s="87">
        <f t="shared" ca="1" si="0"/>
        <v>0</v>
      </c>
      <c r="O4" s="87">
        <f t="shared" ca="1" si="0"/>
        <v>0</v>
      </c>
      <c r="P4" s="87">
        <f t="shared" ca="1" si="0"/>
        <v>0</v>
      </c>
    </row>
    <row r="5" spans="1:16" x14ac:dyDescent="0.3">
      <c r="A5" s="87">
        <f t="shared" ca="1" si="0"/>
        <v>0</v>
      </c>
      <c r="B5" s="87">
        <f t="shared" ca="1" si="0"/>
        <v>0</v>
      </c>
      <c r="C5" s="87">
        <f t="shared" ca="1" si="0"/>
        <v>0</v>
      </c>
      <c r="D5" s="87">
        <f t="shared" ca="1" si="0"/>
        <v>0</v>
      </c>
      <c r="E5" s="87">
        <f t="shared" ca="1" si="0"/>
        <v>0</v>
      </c>
      <c r="F5" s="87">
        <f t="shared" ca="1" si="0"/>
        <v>0</v>
      </c>
      <c r="G5" s="87">
        <f t="shared" ca="1" si="0"/>
        <v>0</v>
      </c>
      <c r="H5" s="87">
        <f t="shared" ca="1" si="0"/>
        <v>0</v>
      </c>
      <c r="I5" s="87">
        <f t="shared" ca="1" si="0"/>
        <v>0</v>
      </c>
      <c r="J5" s="87">
        <f t="shared" ca="1" si="0"/>
        <v>0</v>
      </c>
      <c r="K5" s="87">
        <f t="shared" ca="1" si="0"/>
        <v>0</v>
      </c>
      <c r="L5" s="87">
        <f t="shared" ca="1" si="0"/>
        <v>0</v>
      </c>
      <c r="M5" s="87">
        <f t="shared" ca="1" si="0"/>
        <v>0</v>
      </c>
      <c r="N5" s="87">
        <f t="shared" ca="1" si="0"/>
        <v>0</v>
      </c>
      <c r="O5" s="87">
        <f t="shared" ca="1" si="0"/>
        <v>0</v>
      </c>
      <c r="P5" s="87">
        <f t="shared" ca="1" si="0"/>
        <v>0</v>
      </c>
    </row>
    <row r="6" spans="1:16" x14ac:dyDescent="0.3">
      <c r="A6" s="87">
        <f t="shared" ca="1" si="0"/>
        <v>0</v>
      </c>
      <c r="B6" s="87">
        <f t="shared" ca="1" si="0"/>
        <v>0</v>
      </c>
      <c r="C6" s="87">
        <f t="shared" ca="1" si="0"/>
        <v>0</v>
      </c>
      <c r="D6" s="87">
        <f t="shared" ca="1" si="0"/>
        <v>0</v>
      </c>
      <c r="E6" s="87">
        <f t="shared" ca="1" si="0"/>
        <v>0</v>
      </c>
      <c r="F6" s="87">
        <f t="shared" ca="1" si="0"/>
        <v>0</v>
      </c>
      <c r="G6" s="87">
        <f t="shared" ca="1" si="0"/>
        <v>0</v>
      </c>
      <c r="H6" s="87">
        <f t="shared" ca="1" si="0"/>
        <v>0</v>
      </c>
      <c r="I6" s="87">
        <f t="shared" ca="1" si="0"/>
        <v>0</v>
      </c>
      <c r="J6" s="87">
        <f t="shared" ca="1" si="0"/>
        <v>0</v>
      </c>
      <c r="K6" s="87">
        <f t="shared" ca="1" si="0"/>
        <v>0</v>
      </c>
      <c r="L6" s="87">
        <f t="shared" ca="1" si="0"/>
        <v>0</v>
      </c>
      <c r="M6" s="87">
        <f t="shared" ca="1" si="0"/>
        <v>0</v>
      </c>
      <c r="N6" s="87">
        <f t="shared" ca="1" si="0"/>
        <v>0</v>
      </c>
      <c r="O6" s="87">
        <f t="shared" ca="1" si="0"/>
        <v>0</v>
      </c>
      <c r="P6" s="87">
        <f t="shared" ca="1" si="0"/>
        <v>0</v>
      </c>
    </row>
    <row r="7" spans="1:16" x14ac:dyDescent="0.3">
      <c r="A7" s="87">
        <f t="shared" ca="1" si="0"/>
        <v>0</v>
      </c>
      <c r="B7" s="87">
        <f t="shared" ca="1" si="0"/>
        <v>0</v>
      </c>
      <c r="C7" s="87">
        <f t="shared" ca="1" si="0"/>
        <v>0</v>
      </c>
      <c r="D7" s="87">
        <f t="shared" ca="1" si="0"/>
        <v>0</v>
      </c>
      <c r="E7" s="87">
        <f t="shared" ca="1" si="0"/>
        <v>0</v>
      </c>
      <c r="F7" s="87">
        <f t="shared" ca="1" si="0"/>
        <v>0</v>
      </c>
      <c r="G7" s="87">
        <f t="shared" ca="1" si="0"/>
        <v>0</v>
      </c>
      <c r="H7" s="87">
        <f t="shared" ca="1" si="0"/>
        <v>0</v>
      </c>
      <c r="I7" s="87">
        <f t="shared" ca="1" si="0"/>
        <v>0</v>
      </c>
      <c r="J7" s="87">
        <f t="shared" ca="1" si="0"/>
        <v>0</v>
      </c>
      <c r="K7" s="87">
        <f t="shared" ca="1" si="0"/>
        <v>0</v>
      </c>
      <c r="L7" s="87">
        <f t="shared" ca="1" si="0"/>
        <v>0</v>
      </c>
      <c r="M7" s="87">
        <f t="shared" ca="1" si="0"/>
        <v>0</v>
      </c>
      <c r="N7" s="87">
        <f t="shared" ca="1" si="0"/>
        <v>0</v>
      </c>
      <c r="O7" s="87">
        <f t="shared" ca="1" si="0"/>
        <v>0</v>
      </c>
      <c r="P7" s="87">
        <f t="shared" ca="1" si="0"/>
        <v>0</v>
      </c>
    </row>
    <row r="8" spans="1:16" x14ac:dyDescent="0.3">
      <c r="A8" s="87">
        <f t="shared" ca="1" si="0"/>
        <v>0</v>
      </c>
      <c r="B8" s="87">
        <f t="shared" ca="1" si="0"/>
        <v>0</v>
      </c>
      <c r="C8" s="87">
        <f t="shared" ca="1" si="0"/>
        <v>0</v>
      </c>
      <c r="D8" s="87">
        <f t="shared" ca="1" si="0"/>
        <v>0</v>
      </c>
      <c r="E8" s="87">
        <f t="shared" ca="1" si="0"/>
        <v>0</v>
      </c>
      <c r="F8" s="87">
        <f t="shared" ca="1" si="0"/>
        <v>0</v>
      </c>
      <c r="G8" s="87">
        <f t="shared" ca="1" si="0"/>
        <v>0</v>
      </c>
      <c r="H8" s="87">
        <f t="shared" ca="1" si="0"/>
        <v>0</v>
      </c>
      <c r="I8" s="87">
        <f t="shared" ca="1" si="0"/>
        <v>0</v>
      </c>
      <c r="J8" s="87">
        <f t="shared" ca="1" si="0"/>
        <v>0</v>
      </c>
      <c r="K8" s="87">
        <f t="shared" ca="1" si="0"/>
        <v>0</v>
      </c>
      <c r="L8" s="87">
        <f t="shared" ca="1" si="0"/>
        <v>0</v>
      </c>
      <c r="M8" s="87">
        <f t="shared" ca="1" si="0"/>
        <v>0</v>
      </c>
      <c r="N8" s="87">
        <f t="shared" ca="1" si="0"/>
        <v>0</v>
      </c>
      <c r="O8" s="87">
        <f t="shared" ca="1" si="0"/>
        <v>0</v>
      </c>
      <c r="P8" s="87">
        <f t="shared" ca="1" si="0"/>
        <v>0</v>
      </c>
    </row>
    <row r="9" spans="1:16" x14ac:dyDescent="0.3">
      <c r="A9" s="87">
        <f t="shared" ca="1" si="0"/>
        <v>0</v>
      </c>
      <c r="B9" s="87">
        <f t="shared" ca="1" si="0"/>
        <v>0</v>
      </c>
      <c r="C9" s="87">
        <f t="shared" ca="1" si="0"/>
        <v>0</v>
      </c>
      <c r="D9" s="87">
        <f t="shared" ca="1" si="0"/>
        <v>0</v>
      </c>
      <c r="E9" s="87">
        <f t="shared" ca="1" si="0"/>
        <v>0</v>
      </c>
      <c r="F9" s="87">
        <f t="shared" ca="1" si="0"/>
        <v>0</v>
      </c>
      <c r="G9" s="87">
        <f t="shared" ca="1" si="0"/>
        <v>0</v>
      </c>
      <c r="H9" s="87">
        <f t="shared" ca="1" si="0"/>
        <v>0</v>
      </c>
      <c r="I9" s="87">
        <f t="shared" ca="1" si="0"/>
        <v>0</v>
      </c>
      <c r="J9" s="87">
        <f t="shared" ca="1" si="0"/>
        <v>0</v>
      </c>
      <c r="K9" s="87">
        <f t="shared" ca="1" si="0"/>
        <v>0</v>
      </c>
      <c r="L9" s="87">
        <f t="shared" ca="1" si="0"/>
        <v>0</v>
      </c>
      <c r="M9" s="87">
        <f t="shared" ca="1" si="0"/>
        <v>0</v>
      </c>
      <c r="N9" s="87">
        <f t="shared" ca="1" si="0"/>
        <v>0</v>
      </c>
      <c r="O9" s="87">
        <f t="shared" ca="1" si="0"/>
        <v>0</v>
      </c>
      <c r="P9" s="87">
        <f t="shared" ca="1" si="0"/>
        <v>0</v>
      </c>
    </row>
    <row r="10" spans="1:16" x14ac:dyDescent="0.3">
      <c r="A10" s="87">
        <f t="shared" ca="1" si="0"/>
        <v>0</v>
      </c>
      <c r="B10" s="87">
        <f t="shared" ca="1" si="0"/>
        <v>0</v>
      </c>
      <c r="C10" s="87">
        <f t="shared" ca="1" si="0"/>
        <v>0</v>
      </c>
      <c r="D10" s="87">
        <f t="shared" ca="1" si="0"/>
        <v>0</v>
      </c>
      <c r="E10" s="87">
        <f t="shared" ca="1" si="0"/>
        <v>0</v>
      </c>
      <c r="F10" s="87">
        <f t="shared" ca="1" si="0"/>
        <v>0</v>
      </c>
      <c r="G10" s="87">
        <f t="shared" ca="1" si="0"/>
        <v>0</v>
      </c>
      <c r="H10" s="87">
        <f t="shared" ca="1" si="0"/>
        <v>0</v>
      </c>
      <c r="I10" s="87">
        <f t="shared" ca="1" si="0"/>
        <v>0</v>
      </c>
      <c r="J10" s="87">
        <f t="shared" ca="1" si="0"/>
        <v>0</v>
      </c>
      <c r="K10" s="87">
        <f t="shared" ca="1" si="0"/>
        <v>0</v>
      </c>
      <c r="L10" s="87">
        <f t="shared" ca="1" si="0"/>
        <v>0</v>
      </c>
      <c r="M10" s="87">
        <f t="shared" ca="1" si="0"/>
        <v>0</v>
      </c>
      <c r="N10" s="87">
        <f t="shared" ca="1" si="0"/>
        <v>0</v>
      </c>
      <c r="O10" s="87">
        <f t="shared" ca="1" si="0"/>
        <v>0</v>
      </c>
      <c r="P10" s="87">
        <f t="shared" ca="1" si="0"/>
        <v>0</v>
      </c>
    </row>
    <row r="11" spans="1:16" x14ac:dyDescent="0.3">
      <c r="A11" s="87">
        <f t="shared" ref="A11:P16" ca="1" si="1">IF(AND(RAMOP="11",RAMX=DEC2BIN(COLUMN(A11)-1,4),RAMY=DEC2BIN(ROW(A11)-1,4)),FULLDATABIT,A11)</f>
        <v>0</v>
      </c>
      <c r="B11" s="87">
        <f t="shared" ca="1" si="1"/>
        <v>0</v>
      </c>
      <c r="C11" s="87">
        <f t="shared" ca="1" si="1"/>
        <v>0</v>
      </c>
      <c r="D11" s="87">
        <f t="shared" ca="1" si="1"/>
        <v>0</v>
      </c>
      <c r="E11" s="87">
        <f t="shared" ca="1" si="1"/>
        <v>0</v>
      </c>
      <c r="F11" s="87">
        <f t="shared" ca="1" si="1"/>
        <v>0</v>
      </c>
      <c r="G11" s="87">
        <f t="shared" ca="1" si="1"/>
        <v>0</v>
      </c>
      <c r="H11" s="87">
        <f t="shared" ca="1" si="1"/>
        <v>0</v>
      </c>
      <c r="I11" s="87">
        <f t="shared" ca="1" si="1"/>
        <v>0</v>
      </c>
      <c r="J11" s="87">
        <f t="shared" ca="1" si="1"/>
        <v>0</v>
      </c>
      <c r="K11" s="87">
        <f t="shared" ca="1" si="1"/>
        <v>0</v>
      </c>
      <c r="L11" s="87">
        <f t="shared" ca="1" si="1"/>
        <v>0</v>
      </c>
      <c r="M11" s="87">
        <f t="shared" ca="1" si="1"/>
        <v>0</v>
      </c>
      <c r="N11" s="87">
        <f t="shared" ca="1" si="1"/>
        <v>0</v>
      </c>
      <c r="O11" s="87">
        <f t="shared" ca="1" si="1"/>
        <v>0</v>
      </c>
      <c r="P11" s="87">
        <f t="shared" ca="1" si="1"/>
        <v>0</v>
      </c>
    </row>
    <row r="12" spans="1:16" x14ac:dyDescent="0.3">
      <c r="A12" s="87">
        <f t="shared" ca="1" si="1"/>
        <v>0</v>
      </c>
      <c r="B12" s="87">
        <f t="shared" ca="1" si="1"/>
        <v>0</v>
      </c>
      <c r="C12" s="87">
        <f t="shared" ca="1" si="1"/>
        <v>0</v>
      </c>
      <c r="D12" s="87">
        <f t="shared" ca="1" si="1"/>
        <v>0</v>
      </c>
      <c r="E12" s="87">
        <f t="shared" ca="1" si="1"/>
        <v>0</v>
      </c>
      <c r="F12" s="87">
        <f t="shared" ca="1" si="1"/>
        <v>0</v>
      </c>
      <c r="G12" s="87">
        <f t="shared" ca="1" si="1"/>
        <v>0</v>
      </c>
      <c r="H12" s="87">
        <f t="shared" ca="1" si="1"/>
        <v>0</v>
      </c>
      <c r="I12" s="87">
        <f t="shared" ca="1" si="1"/>
        <v>0</v>
      </c>
      <c r="J12" s="87">
        <f t="shared" ca="1" si="1"/>
        <v>0</v>
      </c>
      <c r="K12" s="87">
        <f t="shared" ca="1" si="1"/>
        <v>0</v>
      </c>
      <c r="L12" s="87">
        <f t="shared" ca="1" si="1"/>
        <v>0</v>
      </c>
      <c r="M12" s="87">
        <f t="shared" ca="1" si="1"/>
        <v>0</v>
      </c>
      <c r="N12" s="87">
        <f t="shared" ca="1" si="1"/>
        <v>0</v>
      </c>
      <c r="O12" s="87">
        <f t="shared" ca="1" si="1"/>
        <v>0</v>
      </c>
      <c r="P12" s="87">
        <f t="shared" ca="1" si="1"/>
        <v>0</v>
      </c>
    </row>
    <row r="13" spans="1:16" x14ac:dyDescent="0.3">
      <c r="A13" s="87">
        <f t="shared" ca="1" si="1"/>
        <v>0</v>
      </c>
      <c r="B13" s="87">
        <f t="shared" ca="1" si="1"/>
        <v>0</v>
      </c>
      <c r="C13" s="87">
        <f t="shared" ca="1" si="1"/>
        <v>0</v>
      </c>
      <c r="D13" s="87">
        <f t="shared" ca="1" si="1"/>
        <v>0</v>
      </c>
      <c r="E13" s="87">
        <f t="shared" ca="1" si="1"/>
        <v>0</v>
      </c>
      <c r="F13" s="87">
        <f t="shared" ca="1" si="1"/>
        <v>0</v>
      </c>
      <c r="G13" s="87">
        <f t="shared" ca="1" si="1"/>
        <v>0</v>
      </c>
      <c r="H13" s="87">
        <f t="shared" ca="1" si="1"/>
        <v>0</v>
      </c>
      <c r="I13" s="87">
        <f t="shared" ca="1" si="1"/>
        <v>0</v>
      </c>
      <c r="J13" s="87">
        <f t="shared" ca="1" si="1"/>
        <v>0</v>
      </c>
      <c r="K13" s="87">
        <f t="shared" ca="1" si="1"/>
        <v>0</v>
      </c>
      <c r="L13" s="87">
        <f t="shared" ca="1" si="1"/>
        <v>0</v>
      </c>
      <c r="M13" s="87">
        <f t="shared" ca="1" si="1"/>
        <v>0</v>
      </c>
      <c r="N13" s="87">
        <f t="shared" ca="1" si="1"/>
        <v>0</v>
      </c>
      <c r="O13" s="87">
        <f t="shared" ca="1" si="1"/>
        <v>0</v>
      </c>
      <c r="P13" s="87">
        <f t="shared" ca="1" si="1"/>
        <v>0</v>
      </c>
    </row>
    <row r="14" spans="1:16" x14ac:dyDescent="0.3">
      <c r="A14" s="87">
        <f t="shared" ca="1" si="1"/>
        <v>0</v>
      </c>
      <c r="B14" s="87">
        <f t="shared" ca="1" si="1"/>
        <v>0</v>
      </c>
      <c r="C14" s="87">
        <f t="shared" ca="1" si="1"/>
        <v>0</v>
      </c>
      <c r="D14" s="87">
        <f t="shared" ca="1" si="1"/>
        <v>0</v>
      </c>
      <c r="E14" s="87">
        <f t="shared" ca="1" si="1"/>
        <v>0</v>
      </c>
      <c r="F14" s="87">
        <f t="shared" ca="1" si="1"/>
        <v>0</v>
      </c>
      <c r="G14" s="87">
        <f t="shared" ca="1" si="1"/>
        <v>0</v>
      </c>
      <c r="H14" s="87">
        <f t="shared" ca="1" si="1"/>
        <v>0</v>
      </c>
      <c r="I14" s="87">
        <f t="shared" ca="1" si="1"/>
        <v>0</v>
      </c>
      <c r="J14" s="87">
        <f t="shared" ca="1" si="1"/>
        <v>0</v>
      </c>
      <c r="K14" s="87">
        <f t="shared" ca="1" si="1"/>
        <v>0</v>
      </c>
      <c r="L14" s="87">
        <f t="shared" ca="1" si="1"/>
        <v>0</v>
      </c>
      <c r="M14" s="87">
        <f t="shared" ca="1" si="1"/>
        <v>0</v>
      </c>
      <c r="N14" s="87">
        <f t="shared" ca="1" si="1"/>
        <v>0</v>
      </c>
      <c r="O14" s="87">
        <f t="shared" ca="1" si="1"/>
        <v>0</v>
      </c>
      <c r="P14" s="87">
        <f t="shared" ca="1" si="1"/>
        <v>0</v>
      </c>
    </row>
    <row r="15" spans="1:16" x14ac:dyDescent="0.3">
      <c r="A15" s="87">
        <f t="shared" ca="1" si="1"/>
        <v>0</v>
      </c>
      <c r="B15" s="87">
        <f t="shared" ca="1" si="1"/>
        <v>0</v>
      </c>
      <c r="C15" s="87">
        <f t="shared" ca="1" si="1"/>
        <v>0</v>
      </c>
      <c r="D15" s="87">
        <f t="shared" ca="1" si="1"/>
        <v>0</v>
      </c>
      <c r="E15" s="87">
        <f t="shared" ca="1" si="1"/>
        <v>0</v>
      </c>
      <c r="F15" s="87">
        <f t="shared" ca="1" si="1"/>
        <v>0</v>
      </c>
      <c r="G15" s="87">
        <f t="shared" ca="1" si="1"/>
        <v>0</v>
      </c>
      <c r="H15" s="87">
        <f t="shared" ca="1" si="1"/>
        <v>0</v>
      </c>
      <c r="I15" s="87">
        <f t="shared" ca="1" si="1"/>
        <v>0</v>
      </c>
      <c r="J15" s="87">
        <f t="shared" ca="1" si="1"/>
        <v>0</v>
      </c>
      <c r="K15" s="87">
        <f t="shared" ca="1" si="1"/>
        <v>0</v>
      </c>
      <c r="L15" s="87">
        <f t="shared" ca="1" si="1"/>
        <v>0</v>
      </c>
      <c r="M15" s="87">
        <f t="shared" ca="1" si="1"/>
        <v>0</v>
      </c>
      <c r="N15" s="87">
        <f t="shared" ca="1" si="1"/>
        <v>0</v>
      </c>
      <c r="O15" s="87">
        <f t="shared" ca="1" si="1"/>
        <v>0</v>
      </c>
      <c r="P15" s="87">
        <f t="shared" ca="1" si="1"/>
        <v>0</v>
      </c>
    </row>
    <row r="16" spans="1:16" x14ac:dyDescent="0.3">
      <c r="A16" s="87">
        <f t="shared" ca="1" si="1"/>
        <v>0</v>
      </c>
      <c r="B16" s="87">
        <f t="shared" ca="1" si="1"/>
        <v>0</v>
      </c>
      <c r="C16" s="87">
        <f t="shared" ca="1" si="1"/>
        <v>0</v>
      </c>
      <c r="D16" s="87">
        <f t="shared" ca="1" si="1"/>
        <v>0</v>
      </c>
      <c r="E16" s="87">
        <f t="shared" ca="1" si="1"/>
        <v>0</v>
      </c>
      <c r="F16" s="87">
        <f t="shared" ca="1" si="1"/>
        <v>0</v>
      </c>
      <c r="G16" s="87">
        <f t="shared" ca="1" si="1"/>
        <v>0</v>
      </c>
      <c r="H16" s="87">
        <f t="shared" ca="1" si="1"/>
        <v>0</v>
      </c>
      <c r="I16" s="87">
        <f t="shared" ca="1" si="1"/>
        <v>0</v>
      </c>
      <c r="J16" s="87">
        <f t="shared" ca="1" si="1"/>
        <v>0</v>
      </c>
      <c r="K16" s="87">
        <f t="shared" ca="1" si="1"/>
        <v>0</v>
      </c>
      <c r="L16" s="87">
        <f t="shared" ca="1" si="1"/>
        <v>0</v>
      </c>
      <c r="M16" s="87">
        <f t="shared" ca="1" si="1"/>
        <v>0</v>
      </c>
      <c r="N16" s="87">
        <f t="shared" ca="1" si="1"/>
        <v>0</v>
      </c>
      <c r="O16" s="87">
        <f t="shared" ca="1" si="1"/>
        <v>0</v>
      </c>
      <c r="P16" s="87">
        <f t="shared" ca="1" si="1"/>
        <v>0</v>
      </c>
    </row>
    <row r="19" spans="1:7" x14ac:dyDescent="0.3">
      <c r="A19" t="str">
        <f>OPBIT</f>
        <v>10</v>
      </c>
      <c r="B19" t="str">
        <f ca="1">_xlfn.CONCAT(DATABIT4, DATABIT3, DATABIT2, DATABIT1)</f>
        <v>1010</v>
      </c>
      <c r="G19" s="102"/>
    </row>
    <row r="20" spans="1:7" x14ac:dyDescent="0.3">
      <c r="A20" t="str">
        <f ca="1">HIDDENX</f>
        <v>0101</v>
      </c>
      <c r="B20" s="102" t="s">
        <v>96</v>
      </c>
    </row>
    <row r="21" spans="1:7" x14ac:dyDescent="0.3">
      <c r="A21" t="str">
        <f ca="1">HIDDENY</f>
        <v>0000</v>
      </c>
      <c r="B21" s="102" t="s">
        <v>95</v>
      </c>
    </row>
  </sheetData>
  <conditionalFormatting sqref="A1:P16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Logic Gate Sheet</vt:lpstr>
      <vt:lpstr>ROM</vt:lpstr>
      <vt:lpstr>RAM</vt:lpstr>
      <vt:lpstr>Board</vt:lpstr>
      <vt:lpstr>AND.1</vt:lpstr>
      <vt:lpstr>AND.2</vt:lpstr>
      <vt:lpstr>CLOCK</vt:lpstr>
      <vt:lpstr>DATABIT1</vt:lpstr>
      <vt:lpstr>DATABIT2</vt:lpstr>
      <vt:lpstr>DATABIT3</vt:lpstr>
      <vt:lpstr>DATABIT4</vt:lpstr>
      <vt:lpstr>FULLDATABIT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RAMIN1</vt:lpstr>
      <vt:lpstr>RAMIN2</vt:lpstr>
      <vt:lpstr>RAMIN3</vt:lpstr>
      <vt:lpstr>RAMIN4</vt:lpstr>
      <vt:lpstr>RAMOP</vt:lpstr>
      <vt:lpstr>RAMX</vt:lpstr>
      <vt:lpstr>RAMY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2024-09-01T15:17:56Z</dcterms:modified>
</cp:coreProperties>
</file>