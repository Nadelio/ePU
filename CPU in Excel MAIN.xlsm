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0146766\ePU\"/>
    </mc:Choice>
  </mc:AlternateContent>
  <xr:revisionPtr revIDLastSave="0" documentId="13_ncr:1_{A50B7A4E-E740-4AB9-B824-5DBF479046EE}" xr6:coauthVersionLast="47" xr6:coauthVersionMax="47" xr10:uidLastSave="{00000000-0000-0000-0000-000000000000}"/>
  <bookViews>
    <workbookView xWindow="-120" yWindow="450" windowWidth="29040" windowHeight="15870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ND.1">'Logic Gate Sheet'!$K$6</definedName>
    <definedName name="AND.2">'Logic Gate Sheet'!$K$8</definedName>
    <definedName name="CLOCK">'Logic Gate Sheet'!$A$1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J102" i="1" l="1"/>
  <c r="U87" i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I37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S116" i="1" l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V81" i="1" a="1"/>
  <c r="V81" i="1"/>
  <c r="P85" i="1"/>
  <c r="R85" i="1"/>
  <c r="P89" i="1"/>
  <c r="R89" i="1"/>
  <c r="F91" i="1"/>
  <c r="G91" i="1"/>
  <c r="H91" i="1"/>
  <c r="I91" i="1"/>
  <c r="J91" i="1"/>
  <c r="K91" i="1"/>
  <c r="F92" i="1"/>
  <c r="G92" i="1"/>
  <c r="H92" i="1"/>
  <c r="I92" i="1"/>
  <c r="J92" i="1"/>
  <c r="K92" i="1"/>
  <c r="F93" i="1"/>
  <c r="G93" i="1"/>
  <c r="H93" i="1"/>
  <c r="I93" i="1"/>
  <c r="J93" i="1"/>
  <c r="K93" i="1"/>
  <c r="F94" i="1"/>
  <c r="G94" i="1"/>
  <c r="H94" i="1"/>
  <c r="I94" i="1"/>
  <c r="J94" i="1"/>
  <c r="K94" i="1"/>
  <c r="F95" i="1"/>
  <c r="G95" i="1"/>
  <c r="H95" i="1"/>
  <c r="I95" i="1"/>
  <c r="J95" i="1"/>
  <c r="K9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<sst xmlns="http://schemas.openxmlformats.org/spreadsheetml/2006/main" count="218" uniqueCount="81">
  <si>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</si>
  <si>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</si>
  <si>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</si>
  <si>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</si>
  <si>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</si>
  <si>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</si>
  <si>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</si>
  <si>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</si>
  <si>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</si>
  <si>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</si>
  <si>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</si>
  <si>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</si>
  <si>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</si>
  <si>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</si>
  <si>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</si>
  <si>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</si>
  <si>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</si>
  <si>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</si>
  <si>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</si>
  <si>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</si>
  <si>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</si>
  <si>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</si>
  <si>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</si>
  <si>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</si>
  <si>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</si>
  <si>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</si>
  <si>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</si>
  <si>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</si>
  <si>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</si>
  <si>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</si>
  <si>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</si>
  <si>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</si>
  <si>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</si>
  <si>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</si>
  <si>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</si>
  <si>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</si>
  <si>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</si>
  <si>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</si>
  <si>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</si>
  <si>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</si>
  <si>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</si>
  <si>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</si>
  <si>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</si>
  <si>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</si>
  <si>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</si>
  <si>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</si>
  <si>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</si>
  <si>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</si>
  <si>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</si>
  <si>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</si>
  <si>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</si>
  <si>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</si>
  <si>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</si>
  <si>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</si>
  <si>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</si>
  <si>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</si>
  <si>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</si>
  <si>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</si>
  <si>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</si>
  <si>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</si>
  <si>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</si>
  <si>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</si>
  <si>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</si>
  <si>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</si>
  <si>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</si>
  <si>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</si>
  <si>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</si>
  <si>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</si>
  <si>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</si>
  <si>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</si>
  <si>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</si>
  <si>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</si>
  <si>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</si>
  <si>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</si>
  <si>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</si>
  <si>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</si>
  <si>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</si>
  <si>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DATA</t>
  </si>
  <si>
    <t>NEED TO ADD ADDRESSING</t>
  </si>
  <si>
    <t xml:space="preserve">AND ASSIGN ADDRESSES </t>
  </si>
  <si>
    <t>TO REGISTERS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</si>
</sst>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4" fillId="3" borderId="2" xfId="0" applyFont="1" applyFill="1" applyBorder="1"/>
    <xf numFmtId="0" fontId="4" fillId="0" borderId="3" xfId="0" applyFont="1" applyBorder="1" applyAlignment="1">
      <alignment horizontal="center"/>
    </xf>
    <xf numFmtId="0" fontId="4" fillId="2" borderId="4" xfId="0" applyFont="1" applyFill="1" applyBorder="1"/>
    <xf numFmtId="0" fontId="4" fillId="2" borderId="5" xfId="0" applyFont="1" applyFill="1" applyBorder="1"/>
    <xf numFmtId="0" fontId="4" fillId="0" borderId="6" xfId="0" applyFont="1" applyBorder="1" applyAlignment="1">
      <alignment horizontal="center"/>
    </xf>
    <xf numFmtId="0" fontId="4" fillId="2" borderId="7" xfId="0" applyFont="1" applyFill="1" applyBorder="1"/>
    <xf numFmtId="0" fontId="4" fillId="2" borderId="8" xfId="0" applyFont="1" applyFill="1" applyBorder="1"/>
    <xf numFmtId="0" fontId="4" fillId="3" borderId="9" xfId="0" applyFont="1" applyFill="1" applyBorder="1"/>
    <xf numFmtId="0" fontId="4" fillId="2" borderId="10" xfId="0" applyFont="1" applyFill="1" applyBorder="1"/>
    <xf numFmtId="0" fontId="4" fillId="2" borderId="12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4" fillId="2" borderId="18" xfId="0" applyFont="1" applyFill="1" applyBorder="1"/>
    <xf numFmtId="0" fontId="4" fillId="2" borderId="19" xfId="0" applyFont="1" applyFill="1" applyBorder="1"/>
    <xf numFmtId="0" fontId="4" fillId="2" borderId="22" xfId="0" applyFont="1" applyFill="1" applyBorder="1"/>
    <xf numFmtId="0" fontId="4" fillId="2" borderId="27" xfId="0" applyFont="1" applyFill="1" applyBorder="1"/>
    <xf numFmtId="0" fontId="4" fillId="2" borderId="9" xfId="0" applyFont="1" applyFill="1" applyBorder="1"/>
    <xf numFmtId="0" fontId="4" fillId="2" borderId="28" xfId="0" applyFont="1" applyFill="1" applyBorder="1"/>
    <xf numFmtId="0" fontId="4" fillId="2" borderId="29" xfId="0" applyFont="1" applyFill="1" applyBorder="1"/>
    <xf numFmtId="0" fontId="4" fillId="0" borderId="30" xfId="0" applyFont="1" applyBorder="1" applyAlignment="1">
      <alignment horizontal="center"/>
    </xf>
    <xf numFmtId="0" fontId="4" fillId="2" borderId="34" xfId="0" applyFont="1" applyFill="1" applyBorder="1"/>
    <xf numFmtId="0" fontId="4" fillId="3" borderId="35" xfId="0" applyFont="1" applyFill="1" applyBorder="1"/>
    <xf numFmtId="0" fontId="4" fillId="0" borderId="36" xfId="0" applyFont="1" applyBorder="1" applyAlignment="1">
      <alignment horizontal="center"/>
    </xf>
    <xf numFmtId="0" fontId="4" fillId="2" borderId="37" xfId="0" applyFont="1" applyFill="1" applyBorder="1"/>
    <xf numFmtId="0" fontId="4" fillId="0" borderId="40" xfId="0" applyFont="1" applyBorder="1" applyAlignment="1">
      <alignment horizontal="center"/>
    </xf>
    <xf numFmtId="0" fontId="4" fillId="2" borderId="43" xfId="0" applyFont="1" applyFill="1" applyBorder="1"/>
    <xf numFmtId="0" fontId="4" fillId="2" borderId="44" xfId="0" applyFont="1" applyFill="1" applyBorder="1"/>
    <xf numFmtId="0" fontId="4" fillId="2" borderId="45" xfId="0" applyFont="1" applyFill="1" applyBorder="1"/>
    <xf numFmtId="0" fontId="4" fillId="2" borderId="46" xfId="0" applyFont="1" applyFill="1" applyBorder="1"/>
    <xf numFmtId="0" fontId="4" fillId="2" borderId="48" xfId="0" applyFont="1" applyFill="1" applyBorder="1"/>
    <xf numFmtId="0" fontId="4" fillId="2" borderId="49" xfId="0" applyFont="1" applyFill="1" applyBorder="1"/>
    <xf numFmtId="0" fontId="4" fillId="2" borderId="51" xfId="0" applyFont="1" applyFill="1" applyBorder="1"/>
    <xf numFmtId="0" fontId="4" fillId="2" borderId="54" xfId="0" applyFont="1" applyFill="1" applyBorder="1"/>
    <xf numFmtId="0" fontId="4" fillId="2" borderId="35" xfId="0" applyFont="1" applyFill="1" applyBorder="1"/>
    <xf numFmtId="0" fontId="4" fillId="2" borderId="56" xfId="0" applyFont="1" applyFill="1" applyBorder="1"/>
    <xf numFmtId="0" fontId="4" fillId="2" borderId="57" xfId="0" applyFont="1" applyFill="1" applyBorder="1"/>
    <xf numFmtId="0" fontId="4" fillId="2" borderId="58" xfId="0" applyFont="1" applyFill="1" applyBorder="1"/>
    <xf numFmtId="0" fontId="4" fillId="2" borderId="59" xfId="0" applyFont="1" applyFill="1" applyBorder="1"/>
    <xf numFmtId="0" fontId="4" fillId="2" borderId="60" xfId="0" applyFont="1" applyFill="1" applyBorder="1"/>
    <xf numFmtId="0" fontId="6" fillId="3" borderId="57" xfId="0" applyFont="1" applyFill="1" applyBorder="1"/>
    <xf numFmtId="0" fontId="4" fillId="0" borderId="64" xfId="0" applyFont="1" applyBorder="1" applyAlignment="1">
      <alignment horizontal="center"/>
    </xf>
    <xf numFmtId="0" fontId="4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4" fillId="0" borderId="65" xfId="0" applyFont="1" applyBorder="1" applyAlignment="1">
      <alignment horizontal="center"/>
    </xf>
    <xf numFmtId="0" fontId="4" fillId="0" borderId="61" xfId="0" applyFont="1" applyBorder="1" applyAlignment="1">
      <alignment horizontal="center"/>
    </xf>
    <xf numFmtId="0" fontId="4" fillId="2" borderId="72" xfId="0" applyFont="1" applyFill="1" applyBorder="1"/>
    <xf numFmtId="0" fontId="4" fillId="2" borderId="73" xfId="0" applyFont="1" applyFill="1" applyBorder="1"/>
    <xf numFmtId="0" fontId="4" fillId="3" borderId="74" xfId="0" applyFont="1" applyFill="1" applyBorder="1"/>
    <xf numFmtId="0" fontId="4" fillId="3" borderId="47" xfId="0" applyFont="1" applyFill="1" applyBorder="1"/>
    <xf numFmtId="0" fontId="4" fillId="0" borderId="58" xfId="0" applyFont="1" applyBorder="1" applyAlignment="1">
      <alignment horizontal="center"/>
    </xf>
    <xf numFmtId="0" fontId="4" fillId="2" borderId="76" xfId="0" applyFont="1" applyFill="1" applyBorder="1"/>
    <xf numFmtId="0" fontId="4" fillId="2" borderId="65" xfId="0" applyFont="1" applyFill="1" applyBorder="1"/>
    <xf numFmtId="0" fontId="4" fillId="2" borderId="30" xfId="0" applyFont="1" applyFill="1" applyBorder="1"/>
    <xf numFmtId="0" fontId="4" fillId="2" borderId="61" xfId="0" applyFont="1" applyFill="1" applyBorder="1"/>
    <xf numFmtId="0" fontId="4" fillId="2" borderId="75" xfId="0" applyFont="1" applyFill="1" applyBorder="1"/>
    <xf numFmtId="0" fontId="4" fillId="2" borderId="77" xfId="0" applyFont="1" applyFill="1" applyBorder="1"/>
    <xf numFmtId="0" fontId="3" fillId="0" borderId="0" xfId="0" applyFont="1"/>
    <xf numFmtId="0" fontId="8" fillId="0" borderId="65" xfId="0" applyFont="1" applyBorder="1" applyAlignment="1">
      <alignment horizontal="center"/>
    </xf>
    <xf numFmtId="0" fontId="2" fillId="0" borderId="61" xfId="0" applyFont="1" applyBorder="1"/>
    <xf numFmtId="0" fontId="1" fillId="0" borderId="61" xfId="0" applyFont="1" applyBorder="1"/>
    <xf numFmtId="0" fontId="1" fillId="0" borderId="0" xfId="0" applyFont="1"/>
    <xf numFmtId="0" fontId="1" fillId="0" borderId="69" xfId="0" applyFont="1" applyBorder="1"/>
    <xf numFmtId="0" fontId="1" fillId="0" borderId="67" xfId="0" applyFont="1" applyBorder="1"/>
    <xf numFmtId="0" fontId="2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1" fillId="0" borderId="70" xfId="0" applyNumberFormat="1" applyFont="1" applyBorder="1"/>
    <xf numFmtId="49" fontId="1" fillId="0" borderId="64" xfId="0" applyNumberFormat="1" applyFont="1" applyBorder="1"/>
    <xf numFmtId="49" fontId="0" fillId="0" borderId="68" xfId="0" applyNumberFormat="1" applyBorder="1"/>
    <xf numFmtId="0" fontId="4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4" fillId="3" borderId="62" xfId="0" applyFont="1" applyFill="1" applyBorder="1" applyAlignment="1">
      <alignment horizontal="center" vertical="center" wrapText="1"/>
    </xf>
    <xf numFmtId="0" fontId="7" fillId="0" borderId="63" xfId="0" applyFont="1" applyBorder="1"/>
    <xf numFmtId="0" fontId="4" fillId="3" borderId="64" xfId="0" applyFont="1" applyFill="1" applyBorder="1" applyAlignment="1">
      <alignment horizontal="center"/>
    </xf>
    <xf numFmtId="0" fontId="4" fillId="3" borderId="31" xfId="0" applyFont="1" applyFill="1" applyBorder="1" applyAlignment="1">
      <alignment horizontal="center" vertical="center"/>
    </xf>
    <xf numFmtId="0" fontId="7" fillId="0" borderId="61" xfId="0" applyFont="1" applyBorder="1"/>
    <xf numFmtId="0" fontId="4" fillId="3" borderId="61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10" fillId="3" borderId="65" xfId="0" applyFont="1" applyFill="1" applyBorder="1" applyAlignment="1">
      <alignment horizontal="center" vertical="center" wrapText="1"/>
    </xf>
    <xf numFmtId="0" fontId="10" fillId="3" borderId="61" xfId="0" applyFont="1" applyFill="1" applyBorder="1" applyAlignment="1">
      <alignment horizontal="center" vertical="center" wrapText="1"/>
    </xf>
    <xf numFmtId="16" fontId="4" fillId="3" borderId="53" xfId="0" applyNumberFormat="1" applyFont="1" applyFill="1" applyBorder="1" applyAlignment="1">
      <alignment horizontal="center" vertical="center" wrapText="1"/>
    </xf>
    <xf numFmtId="0" fontId="7" fillId="0" borderId="25" xfId="0" applyFont="1" applyBorder="1"/>
    <xf numFmtId="0" fontId="7" fillId="0" borderId="55" xfId="0" applyFont="1" applyBorder="1"/>
    <xf numFmtId="0" fontId="4" fillId="3" borderId="17" xfId="0" applyFont="1" applyFill="1" applyBorder="1" applyAlignment="1">
      <alignment horizontal="center" vertical="center" wrapText="1"/>
    </xf>
    <xf numFmtId="0" fontId="7" fillId="0" borderId="21" xfId="0" applyFont="1" applyBorder="1"/>
    <xf numFmtId="0" fontId="7" fillId="0" borderId="23" xfId="0" applyFont="1" applyBorder="1"/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9" fillId="3" borderId="66" xfId="0" applyFont="1" applyFill="1" applyBorder="1" applyAlignment="1">
      <alignment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7" fillId="0" borderId="26" xfId="0" applyFont="1" applyBorder="1"/>
    <xf numFmtId="0" fontId="8" fillId="3" borderId="6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7" fillId="0" borderId="16" xfId="0" applyFont="1" applyBorder="1"/>
    <xf numFmtId="0" fontId="7" fillId="0" borderId="20" xfId="0" applyFont="1" applyBorder="1"/>
    <xf numFmtId="0" fontId="4" fillId="3" borderId="24" xfId="0" applyFont="1" applyFill="1" applyBorder="1" applyAlignment="1">
      <alignment horizontal="center" vertical="center" wrapText="1"/>
    </xf>
    <xf numFmtId="0" fontId="4" fillId="3" borderId="31" xfId="0" applyFont="1" applyFill="1" applyBorder="1" applyAlignment="1">
      <alignment horizontal="center" vertical="center" wrapText="1"/>
    </xf>
    <xf numFmtId="0" fontId="7" fillId="0" borderId="32" xfId="0" applyFont="1" applyBorder="1"/>
    <xf numFmtId="0" fontId="7" fillId="0" borderId="33" xfId="0" applyFont="1" applyBorder="1"/>
    <xf numFmtId="0" fontId="7" fillId="0" borderId="38" xfId="0" applyFont="1" applyBorder="1"/>
    <xf numFmtId="0" fontId="0" fillId="0" borderId="0" xfId="0"/>
    <xf numFmtId="0" fontId="7" fillId="0" borderId="39" xfId="0" applyFont="1" applyBorder="1"/>
    <xf numFmtId="0" fontId="7" fillId="0" borderId="41" xfId="0" applyFont="1" applyBorder="1"/>
    <xf numFmtId="0" fontId="7" fillId="0" borderId="36" xfId="0" applyFont="1" applyBorder="1"/>
    <xf numFmtId="0" fontId="7" fillId="0" borderId="42" xfId="0" applyFont="1" applyBorder="1"/>
    <xf numFmtId="0" fontId="4" fillId="3" borderId="47" xfId="0" applyFont="1" applyFill="1" applyBorder="1" applyAlignment="1">
      <alignment horizontal="center" vertical="center" wrapText="1"/>
    </xf>
    <xf numFmtId="0" fontId="7" fillId="0" borderId="50" xfId="0" applyFont="1" applyBorder="1"/>
    <xf numFmtId="0" fontId="7" fillId="0" borderId="52" xfId="0" applyFont="1" applyBorder="1"/>
    <xf numFmtId="0" fontId="4" fillId="3" borderId="53" xfId="0" applyFont="1" applyFill="1" applyBorder="1" applyAlignment="1">
      <alignment horizontal="center" vertical="center" wrapText="1"/>
    </xf>
    <xf numFmtId="0" fontId="6" fillId="3" borderId="75" xfId="0" applyFont="1" applyFill="1" applyBorder="1" applyAlignment="1">
      <alignment horizontal="center" vertical="center" wrapText="1"/>
    </xf>
    <xf numFmtId="0" fontId="9" fillId="3" borderId="68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8" fillId="3" borderId="68" xfId="0" applyFont="1" applyFill="1" applyBorder="1" applyAlignment="1">
      <alignment horizontal="center" vertical="center" wrapText="1"/>
    </xf>
  </cellXfs>
  <cellStyles count="1">
    <cellStyle name="Normal" xfId="0" builtinId="0"/>
  </cellStyles>
  <dxfs count="3932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3"/>
  <sheetViews>
    <sheetView tabSelected="1" topLeftCell="A69" zoomScaleNormal="100" workbookViewId="0">
      <selection activeCell="J75" sqref="J75"/>
    </sheetView>
  </sheetViews>
  <sheetFormatPr defaultColWidth="8.7109375" defaultRowHeight="15" customHeight="1" x14ac:dyDescent="0.25"/>
  <cols>
    <col min="10" max="11" width="8.7109375" customWidth="1"/>
  </cols>
  <sheetData>
    <row r="1" spans="1:32" ht="15" customHeight="1" x14ac:dyDescent="0.25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25">
      <c r="A2" s="1"/>
      <c r="C2" s="1"/>
    </row>
    <row r="3" spans="1:32" ht="15" customHeight="1" x14ac:dyDescent="0.25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25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25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14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25">
      <c r="A6" s="1"/>
      <c r="G6" s="15"/>
      <c r="H6" s="11"/>
      <c r="I6" s="12"/>
      <c r="J6" s="12"/>
      <c r="K6" s="1">
        <f ca="1">IF(AND(JK.1 = 1, JK.2 = 1), 1, 0)</f>
        <v>1</v>
      </c>
      <c r="L6" s="13"/>
      <c r="M6" s="115"/>
      <c r="N6" s="13"/>
      <c r="O6" s="13"/>
      <c r="P6" s="13"/>
      <c r="Q6" s="14"/>
      <c r="S6" s="15"/>
      <c r="T6" s="13"/>
      <c r="U6" s="13"/>
      <c r="V6" s="13"/>
      <c r="W6" s="13"/>
      <c r="X6" s="105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25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16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06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25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07"/>
      <c r="Z8" s="18"/>
      <c r="AA8" s="12"/>
      <c r="AB8" s="12"/>
      <c r="AC8" s="1">
        <f>IF(AC6 = 1, 0, 1)</f>
        <v>1</v>
      </c>
      <c r="AD8" s="12"/>
      <c r="AE8" s="17"/>
      <c r="AF8" s="117" t="s">
        <v>12</v>
      </c>
    </row>
    <row r="9" spans="1:32" ht="15" customHeight="1" x14ac:dyDescent="0.25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0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03"/>
    </row>
    <row r="10" spans="1:32" ht="15" customHeight="1" x14ac:dyDescent="0.25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12"/>
    </row>
    <row r="11" spans="1:32" ht="15" customHeight="1" x14ac:dyDescent="0.25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25">
      <c r="A12" s="1"/>
      <c r="G12" s="25">
        <f ca="1">IF(JK.4 = 1, 0, 1)</f>
        <v>1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18" t="s">
        <v>15</v>
      </c>
      <c r="P12" s="119"/>
      <c r="Q12" s="120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25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21"/>
      <c r="P13" s="122"/>
      <c r="Q13" s="123"/>
      <c r="Z13" s="16"/>
      <c r="AA13" s="17"/>
      <c r="AB13" s="17"/>
      <c r="AC13" s="17"/>
      <c r="AD13" s="17"/>
      <c r="AE13" s="17"/>
      <c r="AF13" s="14"/>
    </row>
    <row r="14" spans="1:32" ht="15" customHeight="1" x14ac:dyDescent="0.25">
      <c r="A14" s="1"/>
      <c r="G14" s="30">
        <f ca="1">NOT.4</f>
        <v>1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24"/>
      <c r="P14" s="125"/>
      <c r="Q14" s="126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25">
      <c r="A15" s="1">
        <f ca="1">IF(AND(A3 = 1, C3 = 1), 0, 1)</f>
        <v>0</v>
      </c>
      <c r="B15" s="2" t="s">
        <v>22</v>
      </c>
    </row>
    <row r="16" spans="1:32" ht="15" customHeight="1" x14ac:dyDescent="0.25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27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25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28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25">
      <c r="G18" s="16"/>
      <c r="H18" s="17"/>
      <c r="I18" s="17"/>
      <c r="J18" s="17"/>
      <c r="K18" s="17"/>
      <c r="L18" s="17"/>
      <c r="M18" s="17"/>
      <c r="N18" s="129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05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30" t="s">
        <v>26</v>
      </c>
    </row>
    <row r="19" spans="1:34" ht="15" customHeight="1" x14ac:dyDescent="0.25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06"/>
      <c r="Y19" s="18"/>
      <c r="Z19" s="1">
        <f>IF(Z16 = 1, 0, 1)</f>
        <v>1</v>
      </c>
      <c r="AA19" s="12"/>
      <c r="AB19" s="12"/>
      <c r="AC19" s="12"/>
      <c r="AD19" s="22"/>
      <c r="AE19" s="103"/>
    </row>
    <row r="20" spans="1:34" ht="15" customHeight="1" x14ac:dyDescent="0.25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07"/>
      <c r="Y20" s="18"/>
      <c r="Z20" s="12"/>
      <c r="AA20" s="12"/>
      <c r="AB20" s="12"/>
      <c r="AC20" s="12"/>
      <c r="AD20" s="22"/>
      <c r="AE20" s="104"/>
    </row>
    <row r="21" spans="1:34" ht="15" customHeight="1" x14ac:dyDescent="0.25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25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25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25">
      <c r="G24" s="16"/>
      <c r="H24" s="18"/>
      <c r="I24" s="12"/>
      <c r="J24" s="12"/>
      <c r="K24" s="1">
        <f>IF(K22 = 1, 0, 1)</f>
        <v>1</v>
      </c>
      <c r="L24" s="12"/>
      <c r="M24" s="17"/>
      <c r="N24" s="117" t="s">
        <v>12</v>
      </c>
      <c r="O24" s="14"/>
    </row>
    <row r="25" spans="1:34" ht="15" customHeight="1" x14ac:dyDescent="0.25">
      <c r="G25" s="16"/>
      <c r="H25" s="18"/>
      <c r="I25" s="1">
        <f>IF(AND(J20 = 1, I23 = 1), 1, 0)</f>
        <v>0</v>
      </c>
      <c r="J25" s="12"/>
      <c r="K25" s="12"/>
      <c r="L25" s="12"/>
      <c r="M25" s="17"/>
      <c r="N25" s="103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25">
      <c r="G26" s="16"/>
      <c r="H26" s="18"/>
      <c r="I26" s="12"/>
      <c r="J26" s="1">
        <f>IF(AND(H20 = 1, K24 = 1), 1, 0)</f>
        <v>0</v>
      </c>
      <c r="K26" s="12"/>
      <c r="L26" s="12"/>
      <c r="M26" s="17"/>
      <c r="N26" s="112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25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02" t="s">
        <v>51</v>
      </c>
    </row>
    <row r="28" spans="1:34" ht="15" customHeight="1" x14ac:dyDescent="0.25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11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03"/>
    </row>
    <row r="29" spans="1:34" ht="15" customHeight="1" x14ac:dyDescent="0.25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03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04"/>
    </row>
    <row r="30" spans="1:34" ht="15" customHeight="1" x14ac:dyDescent="0.25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12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25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05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25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06"/>
      <c r="X32" s="17"/>
      <c r="Y32" s="14"/>
    </row>
    <row r="33" spans="7:35" ht="15" customHeight="1" x14ac:dyDescent="0.25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07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25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25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13" t="s">
        <v>35</v>
      </c>
    </row>
    <row r="36" spans="7:35" ht="15" customHeight="1" x14ac:dyDescent="0.25">
      <c r="G36" s="16"/>
      <c r="H36" s="18"/>
      <c r="I36" s="12"/>
      <c r="J36" s="12"/>
      <c r="K36" s="1">
        <f>IF(K34 = 1, 0, 1)</f>
        <v>1</v>
      </c>
      <c r="L36" s="12"/>
      <c r="M36" s="17"/>
      <c r="N36" s="117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13"/>
    </row>
    <row r="37" spans="7:35" ht="15" customHeight="1" x14ac:dyDescent="0.25">
      <c r="G37" s="16"/>
      <c r="H37" s="18"/>
      <c r="I37" s="1">
        <f>IF(AND(J32 = 1, I35 = 1), 1, 0)</f>
        <v>0</v>
      </c>
      <c r="J37" s="12"/>
      <c r="K37" s="12"/>
      <c r="L37" s="12"/>
      <c r="M37" s="17"/>
      <c r="N37" s="103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13"/>
    </row>
    <row r="38" spans="7:35" ht="15" customHeight="1" x14ac:dyDescent="0.25">
      <c r="G38" s="16"/>
      <c r="H38" s="18"/>
      <c r="I38" s="12"/>
      <c r="J38" s="1">
        <f>IF(AND(H32 = 1, K36 = 1), 1, 0)</f>
        <v>0</v>
      </c>
      <c r="K38" s="12"/>
      <c r="L38" s="12"/>
      <c r="M38" s="17"/>
      <c r="N38" s="112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25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25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25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05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25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06"/>
      <c r="X42" s="17"/>
      <c r="Y42" s="14"/>
      <c r="AA42" s="18"/>
      <c r="AB42" s="22"/>
      <c r="AC42" s="22"/>
      <c r="AD42" s="22"/>
      <c r="AE42" s="22"/>
      <c r="AF42" s="22"/>
      <c r="AG42" s="110" t="s">
        <v>36</v>
      </c>
    </row>
    <row r="43" spans="7:35" ht="15" customHeight="1" x14ac:dyDescent="0.25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07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10"/>
    </row>
    <row r="44" spans="7:35" ht="15" customHeight="1" x14ac:dyDescent="0.25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10"/>
    </row>
    <row r="45" spans="7:35" ht="15" customHeight="1" x14ac:dyDescent="0.25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25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25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25">
      <c r="G48" s="16"/>
      <c r="H48" s="18"/>
      <c r="I48" s="12"/>
      <c r="J48" s="12"/>
      <c r="K48" s="1">
        <f>IF(K46 = 1, 0, 1)</f>
        <v>1</v>
      </c>
      <c r="L48" s="12"/>
      <c r="M48" s="17"/>
      <c r="N48" s="117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25">
      <c r="G49" s="16"/>
      <c r="H49" s="18"/>
      <c r="I49" s="1">
        <f>IF(AND(J44 = 1, I47 = 1), 1, 0)</f>
        <v>0</v>
      </c>
      <c r="J49" s="12"/>
      <c r="K49" s="12"/>
      <c r="L49" s="12"/>
      <c r="M49" s="17"/>
      <c r="N49" s="103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25">
      <c r="G50" s="16"/>
      <c r="H50" s="18"/>
      <c r="I50" s="12"/>
      <c r="J50" s="1">
        <f>IF(AND(H44 = 1, K48 = 1), 1, 0)</f>
        <v>0</v>
      </c>
      <c r="K50" s="12"/>
      <c r="L50" s="12"/>
      <c r="M50" s="17"/>
      <c r="N50" s="112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25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05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25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06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25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07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25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25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25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02" t="s">
        <v>50</v>
      </c>
    </row>
    <row r="57" spans="7:35" ht="15" customHeight="1" x14ac:dyDescent="0.25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03"/>
    </row>
    <row r="58" spans="7:35" ht="15" customHeight="1" x14ac:dyDescent="0.25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04"/>
    </row>
    <row r="59" spans="7:35" ht="15" customHeight="1" x14ac:dyDescent="0.25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25">
      <c r="G60" s="16"/>
      <c r="H60" s="18"/>
      <c r="I60" s="12"/>
      <c r="J60" s="12"/>
      <c r="K60" s="1">
        <f>IF(K58 = 1, 0, 1)</f>
        <v>1</v>
      </c>
      <c r="L60" s="12"/>
      <c r="M60" s="17"/>
      <c r="N60" s="117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25">
      <c r="G61" s="16"/>
      <c r="H61" s="18"/>
      <c r="I61" s="1">
        <f>IF(AND(J56 = 1, I59 = 1), 1, 0)</f>
        <v>0</v>
      </c>
      <c r="J61" s="12"/>
      <c r="K61" s="12"/>
      <c r="L61" s="12"/>
      <c r="M61" s="17"/>
      <c r="N61" s="103"/>
      <c r="O61" s="14"/>
      <c r="Q61" s="16"/>
      <c r="R61" s="15"/>
      <c r="S61" s="13"/>
      <c r="T61" s="13"/>
      <c r="U61" s="13"/>
      <c r="V61" s="13"/>
      <c r="W61" s="105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25">
      <c r="G62" s="16"/>
      <c r="H62" s="18"/>
      <c r="I62" s="12"/>
      <c r="J62" s="1">
        <f>IF(AND(H56 = 1, K60 = 1), 1, 0)</f>
        <v>0</v>
      </c>
      <c r="K62" s="12"/>
      <c r="L62" s="12"/>
      <c r="M62" s="17"/>
      <c r="N62" s="112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06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25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07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25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5" ht="15" customHeight="1" x14ac:dyDescent="0.25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5" ht="15" customHeight="1" x14ac:dyDescent="0.25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5" ht="15" customHeight="1" x14ac:dyDescent="0.25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5" ht="15" customHeight="1" x14ac:dyDescent="0.25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5" ht="15" customHeight="1" x14ac:dyDescent="0.25">
      <c r="Q69" s="16"/>
      <c r="R69" s="17"/>
      <c r="S69" s="17"/>
      <c r="T69" s="17"/>
      <c r="U69" s="17"/>
      <c r="V69" s="17"/>
      <c r="W69" s="17"/>
      <c r="X69" s="17"/>
      <c r="Y69" s="14"/>
    </row>
    <row r="70" spans="4:35" ht="15" customHeight="1" x14ac:dyDescent="0.25">
      <c r="Q70" s="16"/>
      <c r="R70" s="17"/>
      <c r="S70" s="17"/>
      <c r="T70" s="17"/>
      <c r="U70" s="17"/>
      <c r="V70" s="17"/>
      <c r="W70" s="17"/>
      <c r="X70" s="17"/>
      <c r="Y70" s="14"/>
    </row>
    <row r="71" spans="4:35" ht="15" customHeight="1" x14ac:dyDescent="0.25">
      <c r="Q71" s="16"/>
      <c r="R71" s="1">
        <f>IF(_xlfn.XOR(T67 = 1, T57 = 1), 1, 0)</f>
        <v>0</v>
      </c>
      <c r="S71" s="96" t="s">
        <v>32</v>
      </c>
      <c r="T71" s="97"/>
      <c r="U71" s="17"/>
      <c r="V71" s="17"/>
      <c r="W71" s="17"/>
      <c r="X71" s="17"/>
      <c r="Y71" s="14"/>
    </row>
    <row r="72" spans="4:35" ht="15" customHeight="1" x14ac:dyDescent="0.25">
      <c r="Q72" s="31"/>
      <c r="R72" s="28">
        <f>T67</f>
        <v>0</v>
      </c>
      <c r="S72" s="93" t="s">
        <v>33</v>
      </c>
      <c r="T72" s="94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5" ht="15" customHeight="1" x14ac:dyDescent="0.25">
      <c r="E78" s="74" t="s">
        <v>66</v>
      </c>
    </row>
    <row r="79" spans="4:35" ht="15" customHeight="1" x14ac:dyDescent="0.25">
      <c r="D79" s="52"/>
      <c r="E79" s="52"/>
      <c r="F79" s="52"/>
      <c r="G79" s="73" t="s">
        <v>64</v>
      </c>
      <c r="H79" s="79" cm="1">
        <f t="array" aca="1" ref="H79" ca="1">INDIRECT(ADDRESS(J83 + H83, J84 + H84))</f>
        <v>1011</v>
      </c>
      <c r="I79" s="52"/>
      <c r="J79" s="52"/>
      <c r="K79" s="52"/>
      <c r="L79" s="52"/>
      <c r="N79" t="s">
        <v>42</v>
      </c>
    </row>
    <row r="80" spans="4:35" ht="15" customHeight="1" x14ac:dyDescent="0.25">
      <c r="D80" s="52"/>
      <c r="E80" s="52"/>
      <c r="F80" s="52"/>
      <c r="G80" s="90" t="s">
        <v>49</v>
      </c>
      <c r="H80" s="91"/>
      <c r="I80" s="91"/>
      <c r="J80" s="92"/>
      <c r="K80" s="52"/>
      <c r="L80" s="52"/>
      <c r="N80" s="48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</row>
    <row r="81" spans="3:24" ht="15" customHeight="1" x14ac:dyDescent="0.25">
      <c r="D81" s="52"/>
      <c r="E81" s="52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N81" s="51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0</v>
      </c>
      <c r="W81" s="52" t="s">
        <v>46</v>
      </c>
      <c r="X81" s="53"/>
    </row>
    <row r="82" spans="3:24" ht="15" customHeight="1" x14ac:dyDescent="0.25"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N82" s="51"/>
      <c r="O82" s="52"/>
      <c r="P82" s="52"/>
      <c r="Q82" s="52"/>
      <c r="R82" s="52"/>
      <c r="S82" s="52"/>
      <c r="T82" s="52"/>
      <c r="U82" s="52"/>
      <c r="V82" s="52"/>
      <c r="W82" s="52"/>
      <c r="X82" s="53"/>
    </row>
    <row r="83" spans="3:24" ht="15" customHeight="1" x14ac:dyDescent="0.25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N83" s="51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</row>
    <row r="84" spans="3:24" ht="15" customHeight="1" x14ac:dyDescent="0.25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N84" s="51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3:24" ht="15" customHeight="1" x14ac:dyDescent="0.25">
      <c r="E85" s="88" t="s">
        <v>62</v>
      </c>
      <c r="F85" s="89"/>
      <c r="G85" s="88" t="s">
        <v>63</v>
      </c>
      <c r="H85" s="108"/>
      <c r="I85" s="108"/>
      <c r="J85" s="109"/>
      <c r="K85" s="52"/>
      <c r="L85" s="52"/>
      <c r="N85" s="51" t="s">
        <v>47</v>
      </c>
      <c r="O85" s="52"/>
      <c r="P85" s="52" t="str">
        <f ca="1">MID(P83, R85, 1)</f>
        <v>0</v>
      </c>
      <c r="Q85" s="52"/>
      <c r="R85" s="52">
        <f ca="1">IF(CLOCK = 1, IF(R85 = (LEN(P83) + 1), 1, R85 + 1),  R85)</f>
        <v>5</v>
      </c>
      <c r="S85" s="52" t="s">
        <v>48</v>
      </c>
      <c r="T85" s="52"/>
      <c r="U85" s="52"/>
      <c r="V85" s="52"/>
      <c r="W85" s="52"/>
      <c r="X85" s="53"/>
    </row>
    <row r="86" spans="3:24" ht="15" customHeight="1" x14ac:dyDescent="0.25">
      <c r="D86" s="52"/>
      <c r="E86" s="52"/>
      <c r="F86" s="52"/>
      <c r="G86" s="52"/>
      <c r="H86" s="52"/>
      <c r="I86" s="52"/>
      <c r="J86" s="52"/>
      <c r="K86" s="52"/>
      <c r="L86" s="52"/>
      <c r="N86" s="51"/>
      <c r="O86" s="52"/>
      <c r="P86" s="52"/>
      <c r="Q86" s="52"/>
      <c r="R86" s="52"/>
      <c r="S86" s="52"/>
      <c r="T86" s="52"/>
      <c r="U86" s="52"/>
      <c r="V86" s="52"/>
      <c r="W86" s="52"/>
      <c r="X86" s="53"/>
    </row>
    <row r="87" spans="3:24" ht="15" customHeight="1" x14ac:dyDescent="0.25">
      <c r="D87" s="52"/>
      <c r="E87" s="86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N87" s="51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</row>
    <row r="88" spans="3:24" ht="15" customHeight="1" x14ac:dyDescent="0.25">
      <c r="D88" s="52"/>
      <c r="E88" s="52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N88" s="51"/>
      <c r="O88" s="52"/>
      <c r="P88" s="52"/>
      <c r="Q88" s="52"/>
      <c r="R88" s="52"/>
      <c r="S88" s="52"/>
      <c r="T88" s="52"/>
      <c r="U88" s="52"/>
      <c r="V88" s="52"/>
      <c r="W88" s="52"/>
      <c r="X88" s="53"/>
    </row>
    <row r="89" spans="3:24" ht="15" customHeight="1" x14ac:dyDescent="0.25">
      <c r="D89" s="52"/>
      <c r="E89" s="52"/>
      <c r="F89" s="52"/>
      <c r="G89" s="52"/>
      <c r="H89" s="52"/>
      <c r="I89" s="52"/>
      <c r="J89" s="52"/>
      <c r="K89" s="52"/>
      <c r="L89" s="52"/>
      <c r="N89" s="51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1010</v>
      </c>
      <c r="S89" s="52"/>
      <c r="T89" s="52"/>
      <c r="U89" s="52"/>
      <c r="V89" s="52"/>
      <c r="W89" s="52"/>
      <c r="X89" s="53"/>
    </row>
    <row r="90" spans="3:24" ht="15" customHeight="1" x14ac:dyDescent="0.25">
      <c r="D90" s="52"/>
      <c r="E90" s="52"/>
      <c r="F90" s="52"/>
      <c r="G90" s="52"/>
      <c r="H90" s="52"/>
      <c r="I90" s="52"/>
      <c r="J90" s="52"/>
      <c r="K90" s="52"/>
      <c r="L90" s="52"/>
      <c r="N90" s="54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</row>
    <row r="91" spans="3:24" ht="15" customHeight="1" x14ac:dyDescent="0.25">
      <c r="C91" t="s">
        <v>78</v>
      </c>
      <c r="D91" s="52"/>
      <c r="E91" s="52"/>
      <c r="F91" s="87" t="str">
        <f ca="1">IF(F87 = 1, _xlfn.CONCAT(H88, I88, J88, K88), F91)</f>
        <v>0000</v>
      </c>
      <c r="G91" s="87" t="str">
        <f ca="1">IF(F87 = 1, _xlfn.CONCAT(H88, I88, J88, K88), G91)</f>
        <v>0000</v>
      </c>
      <c r="H91" s="87" t="str">
        <f ca="1">IF(F87 = 1, _xlfn.CONCAT(H88, I88, J88, K88), H91)</f>
        <v>0000</v>
      </c>
      <c r="I91" s="87" t="str">
        <f ca="1">IF(F87 = 1, _xlfn.CONCAT(H88, I88, J88, K88), I91)</f>
        <v>0000</v>
      </c>
      <c r="J91" s="87" t="str">
        <f ca="1">IF(F87 = 1, _xlfn.CONCAT(H88, I88, J88, K88), J91)</f>
        <v>0000</v>
      </c>
      <c r="K91" s="87" t="str">
        <f ca="1">IF(F87 = 1, _xlfn.CONCAT(H88, I88, J88, K88), K91)</f>
        <v>0000</v>
      </c>
      <c r="L91" s="52"/>
    </row>
    <row r="92" spans="3:24" ht="15" customHeight="1" x14ac:dyDescent="0.25">
      <c r="C92" t="s">
        <v>79</v>
      </c>
      <c r="D92" s="52"/>
      <c r="E92" s="52"/>
      <c r="F92" s="87" t="str">
        <f ca="1">IF(F87 = 1, _xlfn.CONCAT(H88, I88, J88, K88), F92)</f>
        <v>0000</v>
      </c>
      <c r="G92" s="87" t="str">
        <f ca="1">IF(F87 = 1, _xlfn.CONCAT(H88, I88, J88, K88), G92)</f>
        <v>0000</v>
      </c>
      <c r="H92" s="87" t="str">
        <f ca="1">IF(F87 = 1, _xlfn.CONCAT(H88, I88, J88, K88), H92)</f>
        <v>0000</v>
      </c>
      <c r="I92" s="87" t="str">
        <f ca="1">IF(F87 = 1, _xlfn.CONCAT(H88, I88, J88, K88), I92)</f>
        <v>0000</v>
      </c>
      <c r="J92" s="87" t="str">
        <f ca="1">IF(F87 = 1, _xlfn.CONCAT(H88, I88, J88, K88), J92)</f>
        <v>0000</v>
      </c>
      <c r="K92" s="87" t="str">
        <f ca="1">IF(F87 = 1, _xlfn.CONCAT(H88, I88, J88, K88), K92)</f>
        <v>0000</v>
      </c>
      <c r="L92" s="52"/>
    </row>
    <row r="93" spans="3:24" ht="15" customHeight="1" x14ac:dyDescent="0.25">
      <c r="C93" t="s">
        <v>80</v>
      </c>
      <c r="D93" s="52"/>
      <c r="E93" s="52"/>
      <c r="F93" s="87" t="str">
        <f ca="1">IF(F87 = 1, _xlfn.CONCAT(H88, I88, J88, K88), F93)</f>
        <v>0000</v>
      </c>
      <c r="G93" s="87" t="str">
        <f ca="1">IF(F87 = 1, _xlfn.CONCAT(H88, I88, J88, K88), G93)</f>
        <v>0000</v>
      </c>
      <c r="H93" s="87" t="str">
        <f ca="1">IF(F87 = 1, _xlfn.CONCAT(H88, I88, J88, K88), H93)</f>
        <v>0000</v>
      </c>
      <c r="I93" s="87" t="str">
        <f ca="1">IF(F87 = 1, _xlfn.CONCAT(H88, I88, J88, K88), I93)</f>
        <v>0000</v>
      </c>
      <c r="J93" s="87" t="str">
        <f ca="1">IF(F87 = 1, _xlfn.CONCAT(H88, I88, J88, K88), J93)</f>
        <v>0000</v>
      </c>
      <c r="K93" s="87" t="str">
        <f ca="1">IF(F87 = 1, _xlfn.CONCAT(H88, I88, J88, K88), K93)</f>
        <v>0000</v>
      </c>
      <c r="L93" s="52"/>
    </row>
    <row r="94" spans="3:24" ht="15" customHeight="1" x14ac:dyDescent="0.25">
      <c r="F94" s="87" t="str">
        <f ca="1">IF(F87 = 1, _xlfn.CONCAT(H88, I88, J88, K88), F94)</f>
        <v>0000</v>
      </c>
      <c r="G94" s="87" t="str">
        <f ca="1">IF(F87 = 1, _xlfn.CONCAT(H88, I88, J88, K88), G94)</f>
        <v>0000</v>
      </c>
      <c r="H94" s="87" t="str">
        <f ca="1">IF(F87 = 1, _xlfn.CONCAT(H88, I88, J88, K88), H94)</f>
        <v>0000</v>
      </c>
      <c r="I94" s="87" t="str">
        <f ca="1">IF(F87 = 1, _xlfn.CONCAT(H88, I88, J88, K88), I94)</f>
        <v>0000</v>
      </c>
      <c r="J94" s="87" t="str">
        <f ca="1">IF(F87 = 1, _xlfn.CONCAT(H88, I88, J88, K88), J94)</f>
        <v>0000</v>
      </c>
      <c r="K94" s="87" t="str">
        <f ca="1">IF(F87 = 1, _xlfn.CONCAT(H88, I88, J88, K88), K94)</f>
        <v>0000</v>
      </c>
    </row>
    <row r="95" spans="3:24" ht="15" customHeight="1" x14ac:dyDescent="0.25">
      <c r="F95" s="87" t="str">
        <f ca="1">IF(F87 = 1, _xlfn.CONCAT(H88, I88, J88, K88), F95)</f>
        <v>0000</v>
      </c>
      <c r="G95" s="87" t="str">
        <f ca="1">IF(F87 = 1, _xlfn.CONCAT(H88, I88, J88, K88), G95)</f>
        <v>0000</v>
      </c>
      <c r="H95" s="87" t="str">
        <f ca="1">IF(F87 = 1, _xlfn.CONCAT(H88, I88, J88, K88), H95)</f>
        <v>0000</v>
      </c>
      <c r="I95" s="87" t="str">
        <f ca="1">IF(F87 = 1, _xlfn.CONCAT(H88, I88, J88, K88), I95)</f>
        <v>0000</v>
      </c>
      <c r="J95" s="87" t="str">
        <f ca="1">IF(F87 = 1, _xlfn.CONCAT(H88, I88, J88, K88), J95)</f>
        <v>0000</v>
      </c>
      <c r="K95" s="87" t="str">
        <f ca="1">IF(F87 = 1, _xlfn.CONCAT(H88, I88, J88, K88), K95)</f>
        <v>0000</v>
      </c>
      <c r="N95" s="70"/>
    </row>
    <row r="97" spans="7:27" ht="15" customHeight="1" x14ac:dyDescent="0.25">
      <c r="G97" s="59"/>
      <c r="H97" s="71">
        <v>0</v>
      </c>
      <c r="I97" s="65"/>
      <c r="J97" s="57">
        <v>0</v>
      </c>
      <c r="K97" s="100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</row>
    <row r="98" spans="7:27" ht="15" customHeight="1" x14ac:dyDescent="0.25">
      <c r="G98" s="16"/>
      <c r="H98" s="98" t="s">
        <v>54</v>
      </c>
      <c r="I98" s="99"/>
      <c r="J98" s="17"/>
      <c r="K98" s="101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</row>
    <row r="99" spans="7:27" ht="15" customHeight="1" x14ac:dyDescent="0.25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</row>
    <row r="100" spans="7:27" ht="15" customHeight="1" x14ac:dyDescent="0.25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31" t="s">
        <v>30</v>
      </c>
      <c r="Q100" s="13"/>
      <c r="R100" s="64"/>
      <c r="S100" s="65"/>
      <c r="T100" s="65"/>
      <c r="U100" s="65"/>
      <c r="V100" s="65"/>
      <c r="W100" s="65"/>
      <c r="X100" s="132" t="s">
        <v>36</v>
      </c>
      <c r="Y100" s="13"/>
      <c r="Z100" s="22"/>
      <c r="AA100" s="37"/>
    </row>
    <row r="101" spans="7:27" ht="15" customHeight="1" x14ac:dyDescent="0.25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04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33"/>
      <c r="Y101" s="13"/>
      <c r="Z101" s="22"/>
      <c r="AA101" s="37"/>
    </row>
    <row r="102" spans="7:27" ht="15" customHeight="1" x14ac:dyDescent="0.25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12"/>
      <c r="Q102" s="13"/>
      <c r="R102" s="66"/>
      <c r="S102" s="67"/>
      <c r="T102" s="67"/>
      <c r="U102" s="67"/>
      <c r="V102" s="67"/>
      <c r="W102" s="67"/>
      <c r="X102" s="133"/>
      <c r="Y102" s="13"/>
      <c r="Z102" s="22"/>
      <c r="AA102" s="37"/>
    </row>
    <row r="103" spans="7:27" ht="15" customHeight="1" x14ac:dyDescent="0.25">
      <c r="G103" s="16"/>
      <c r="H103" s="16"/>
      <c r="I103" s="15"/>
      <c r="J103" s="13"/>
      <c r="K103" s="13"/>
      <c r="L103" s="13"/>
      <c r="M103" s="13"/>
      <c r="N103" s="105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13" t="s">
        <v>53</v>
      </c>
    </row>
    <row r="104" spans="7:27" ht="15" customHeight="1" x14ac:dyDescent="0.25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06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13"/>
    </row>
    <row r="105" spans="7:27" ht="15" customHeight="1" x14ac:dyDescent="0.25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07"/>
      <c r="O105" s="17"/>
      <c r="P105" s="14"/>
      <c r="Q105" s="13"/>
      <c r="R105" s="64"/>
      <c r="S105" s="65"/>
      <c r="T105" s="65"/>
      <c r="U105" s="65"/>
      <c r="V105" s="65"/>
      <c r="W105" s="65"/>
      <c r="X105" s="134" t="s">
        <v>35</v>
      </c>
      <c r="Y105" s="13"/>
      <c r="Z105" s="22"/>
      <c r="AA105" s="113"/>
    </row>
    <row r="106" spans="7:27" ht="15" customHeight="1" x14ac:dyDescent="0.25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13"/>
      <c r="Y106" s="13"/>
      <c r="Z106" s="22"/>
      <c r="AA106" s="37"/>
    </row>
    <row r="107" spans="7:27" ht="15" customHeight="1" x14ac:dyDescent="0.25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13"/>
      <c r="Y107" s="13"/>
      <c r="Z107" s="22"/>
      <c r="AA107" s="37"/>
    </row>
    <row r="108" spans="7:27" ht="15" customHeight="1" x14ac:dyDescent="0.25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27" ht="15" customHeight="1" x14ac:dyDescent="0.25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27" ht="15" customHeight="1" x14ac:dyDescent="0.25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27" ht="15" customHeight="1" x14ac:dyDescent="0.25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27" ht="15" customHeight="1" x14ac:dyDescent="0.25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25">
      <c r="G113" s="16"/>
      <c r="H113" s="16"/>
      <c r="I113" s="15"/>
      <c r="J113" s="13"/>
      <c r="K113" s="13"/>
      <c r="L113" s="13"/>
      <c r="M113" s="13"/>
      <c r="N113" s="105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25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06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25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07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25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02" t="s">
        <v>50</v>
      </c>
      <c r="AA116" s="37"/>
    </row>
    <row r="117" spans="7:27" ht="15" customHeight="1" x14ac:dyDescent="0.25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03"/>
      <c r="AA117" s="37"/>
    </row>
    <row r="118" spans="7:27" ht="15" customHeight="1" x14ac:dyDescent="0.25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04"/>
      <c r="AA118" s="37"/>
    </row>
    <row r="119" spans="7:27" ht="15" customHeight="1" x14ac:dyDescent="0.25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25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25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25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25">
      <c r="G123" s="16"/>
      <c r="H123" s="16"/>
      <c r="I123" s="15"/>
      <c r="J123" s="13"/>
      <c r="K123" s="13"/>
      <c r="L123" s="13"/>
      <c r="M123" s="13"/>
      <c r="N123" s="105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25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06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25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07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25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25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25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25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25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25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25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25">
      <c r="G133" s="16"/>
      <c r="H133" s="16"/>
      <c r="I133" s="15"/>
      <c r="J133" s="13"/>
      <c r="K133" s="13"/>
      <c r="L133" s="13"/>
      <c r="M133" s="13"/>
      <c r="N133" s="105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25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06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02" t="s">
        <v>50</v>
      </c>
      <c r="AA134" s="37"/>
    </row>
    <row r="135" spans="7:27" ht="15" customHeight="1" x14ac:dyDescent="0.25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07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03"/>
      <c r="AA135" s="37"/>
    </row>
    <row r="136" spans="7:27" ht="15" customHeight="1" x14ac:dyDescent="0.25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04"/>
      <c r="AA136" s="37"/>
    </row>
    <row r="137" spans="7:27" ht="15" customHeight="1" x14ac:dyDescent="0.25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25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25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25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25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25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25">
      <c r="G143" s="16"/>
      <c r="H143" s="16"/>
      <c r="I143" s="1">
        <f>IF(_xlfn.XOR(K139 = 1, K129 = 1), 1, 0)</f>
        <v>0</v>
      </c>
      <c r="J143" s="96" t="s">
        <v>32</v>
      </c>
      <c r="K143" s="97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25">
      <c r="G144" s="16"/>
      <c r="H144" s="31"/>
      <c r="I144" s="28">
        <f>K139</f>
        <v>0</v>
      </c>
      <c r="J144" s="93" t="s">
        <v>33</v>
      </c>
      <c r="K144" s="94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25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25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25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25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25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25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25">
      <c r="G151" s="40"/>
      <c r="H151" s="39"/>
      <c r="I151" s="39"/>
      <c r="J151" s="46">
        <f>S144</f>
        <v>0</v>
      </c>
      <c r="K151" s="95" t="s">
        <v>52</v>
      </c>
      <c r="L151" s="95"/>
      <c r="M151" s="28">
        <f>I144</f>
        <v>0</v>
      </c>
      <c r="N151" s="93" t="s">
        <v>33</v>
      </c>
      <c r="O151" s="94"/>
      <c r="P151" s="28">
        <f>I143</f>
        <v>0</v>
      </c>
      <c r="Q151" s="93" t="s">
        <v>32</v>
      </c>
      <c r="R151" s="94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25">
      <c r="P153" s="70" t="s">
        <v>45</v>
      </c>
    </row>
  </sheetData>
  <mergeCells count="42"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Z134:Z136"/>
    <mergeCell ref="N133:N135"/>
    <mergeCell ref="G85:J85"/>
    <mergeCell ref="W51:W53"/>
    <mergeCell ref="AG42:AG44"/>
    <mergeCell ref="W41:W43"/>
    <mergeCell ref="N48:N50"/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</mergeCells>
  <conditionalFormatting sqref="A1 U12:V12">
    <cfRule type="cellIs" dxfId="1027" priority="384" operator="equal">
      <formula>0</formula>
    </cfRule>
    <cfRule type="cellIs" dxfId="1026" priority="385" operator="equal">
      <formula>1</formula>
    </cfRule>
  </conditionalFormatting>
  <conditionalFormatting sqref="A3">
    <cfRule type="cellIs" dxfId="1025" priority="386" operator="equal">
      <formula>0</formula>
    </cfRule>
    <cfRule type="cellIs" dxfId="1024" priority="387" operator="equal">
      <formula>1</formula>
    </cfRule>
  </conditionalFormatting>
  <conditionalFormatting sqref="A5">
    <cfRule type="cellIs" dxfId="1023" priority="388" operator="equal">
      <formula>0</formula>
    </cfRule>
    <cfRule type="cellIs" dxfId="1022" priority="389" operator="equal">
      <formula>1</formula>
    </cfRule>
  </conditionalFormatting>
  <conditionalFormatting sqref="A7">
    <cfRule type="cellIs" dxfId="1021" priority="390" operator="equal">
      <formula>0</formula>
    </cfRule>
    <cfRule type="cellIs" dxfId="1020" priority="391" operator="equal">
      <formula>1</formula>
    </cfRule>
  </conditionalFormatting>
  <conditionalFormatting sqref="A9">
    <cfRule type="cellIs" dxfId="1019" priority="392" operator="equal">
      <formula>0</formula>
    </cfRule>
    <cfRule type="cellIs" dxfId="1018" priority="393" operator="equal">
      <formula>1</formula>
    </cfRule>
  </conditionalFormatting>
  <conditionalFormatting sqref="A11 R71:R72">
    <cfRule type="cellIs" dxfId="1017" priority="394" operator="equal">
      <formula>0</formula>
    </cfRule>
    <cfRule type="cellIs" dxfId="1016" priority="395" operator="equal">
      <formula>1</formula>
    </cfRule>
  </conditionalFormatting>
  <conditionalFormatting sqref="A13">
    <cfRule type="cellIs" dxfId="1015" priority="396" operator="equal">
      <formula>0</formula>
    </cfRule>
    <cfRule type="cellIs" dxfId="1014" priority="397" operator="equal">
      <formula>1</formula>
    </cfRule>
  </conditionalFormatting>
  <conditionalFormatting sqref="A15">
    <cfRule type="cellIs" dxfId="1013" priority="398" operator="equal">
      <formula>0</formula>
    </cfRule>
    <cfRule type="cellIs" dxfId="1012" priority="399" operator="equal">
      <formula>1</formula>
    </cfRule>
  </conditionalFormatting>
  <conditionalFormatting sqref="A17">
    <cfRule type="cellIs" dxfId="1011" priority="400" operator="equal">
      <formula>0</formula>
    </cfRule>
    <cfRule type="cellIs" dxfId="1010" priority="401" operator="equal">
      <formula>1</formula>
    </cfRule>
  </conditionalFormatting>
  <conditionalFormatting sqref="A19">
    <cfRule type="cellIs" dxfId="1009" priority="402" operator="equal">
      <formula>0</formula>
    </cfRule>
    <cfRule type="cellIs" dxfId="1008" priority="403" operator="equal">
      <formula>1</formula>
    </cfRule>
  </conditionalFormatting>
  <conditionalFormatting sqref="A21">
    <cfRule type="cellIs" dxfId="1007" priority="404" operator="equal">
      <formula>0</formula>
    </cfRule>
    <cfRule type="cellIs" dxfId="1006" priority="405" operator="equal">
      <formula>1</formula>
    </cfRule>
  </conditionalFormatting>
  <conditionalFormatting sqref="C1">
    <cfRule type="cellIs" dxfId="1005" priority="406" operator="equal">
      <formula>0</formula>
    </cfRule>
    <cfRule type="cellIs" dxfId="1004" priority="407" operator="equal">
      <formula>1</formula>
    </cfRule>
  </conditionalFormatting>
  <conditionalFormatting sqref="C3">
    <cfRule type="cellIs" dxfId="1003" priority="408" operator="equal">
      <formula>0</formula>
    </cfRule>
    <cfRule type="cellIs" dxfId="1002" priority="409" operator="equal">
      <formula>1</formula>
    </cfRule>
  </conditionalFormatting>
  <conditionalFormatting sqref="E1">
    <cfRule type="cellIs" dxfId="1001" priority="410" operator="equal">
      <formula>0</formula>
    </cfRule>
    <cfRule type="cellIs" dxfId="1000" priority="411" operator="equal">
      <formula>1</formula>
    </cfRule>
  </conditionalFormatting>
  <conditionalFormatting sqref="G12">
    <cfRule type="cellIs" dxfId="999" priority="412" operator="equal">
      <formula>0</formula>
    </cfRule>
    <cfRule type="cellIs" dxfId="998" priority="413" operator="equal">
      <formula>1</formula>
    </cfRule>
  </conditionalFormatting>
  <conditionalFormatting sqref="G14">
    <cfRule type="cellIs" dxfId="997" priority="414" operator="equal">
      <formula>0</formula>
    </cfRule>
    <cfRule type="cellIs" dxfId="996" priority="415" operator="equal">
      <formula>1</formula>
    </cfRule>
  </conditionalFormatting>
  <conditionalFormatting sqref="H20">
    <cfRule type="cellIs" dxfId="995" priority="474" operator="equal">
      <formula>0</formula>
    </cfRule>
    <cfRule type="cellIs" dxfId="994" priority="475" operator="equal">
      <formula>1</formula>
    </cfRule>
  </conditionalFormatting>
  <conditionalFormatting sqref="H32">
    <cfRule type="cellIs" dxfId="993" priority="498" operator="equal">
      <formula>0</formula>
    </cfRule>
    <cfRule type="cellIs" dxfId="992" priority="499" operator="equal">
      <formula>1</formula>
    </cfRule>
  </conditionalFormatting>
  <conditionalFormatting sqref="H44">
    <cfRule type="cellIs" dxfId="991" priority="522" operator="equal">
      <formula>0</formula>
    </cfRule>
    <cfRule type="cellIs" dxfId="990" priority="523" operator="equal">
      <formula>1</formula>
    </cfRule>
  </conditionalFormatting>
  <conditionalFormatting sqref="H56">
    <cfRule type="cellIs" dxfId="989" priority="546" operator="equal">
      <formula>0</formula>
    </cfRule>
    <cfRule type="cellIs" dxfId="988" priority="547" operator="equal">
      <formula>1</formula>
    </cfRule>
  </conditionalFormatting>
  <conditionalFormatting sqref="H68">
    <cfRule type="cellIs" dxfId="987" priority="562" operator="equal">
      <formula>0</formula>
    </cfRule>
    <cfRule type="cellIs" dxfId="986" priority="563" operator="equal">
      <formula>1</formula>
    </cfRule>
  </conditionalFormatting>
  <conditionalFormatting sqref="H97">
    <cfRule type="cellIs" dxfId="985" priority="172" operator="equal">
      <formula>0</formula>
    </cfRule>
    <cfRule type="cellIs" dxfId="984" priority="173" operator="equal">
      <formula>1</formula>
    </cfRule>
  </conditionalFormatting>
  <conditionalFormatting sqref="H16:K17">
    <cfRule type="cellIs" dxfId="983" priority="560" operator="equal">
      <formula>0</formula>
    </cfRule>
    <cfRule type="cellIs" dxfId="982" priority="561" operator="equal">
      <formula>1</formula>
    </cfRule>
  </conditionalFormatting>
  <conditionalFormatting sqref="I12">
    <cfRule type="cellIs" dxfId="981" priority="420" operator="equal">
      <formula>0</formula>
    </cfRule>
    <cfRule type="cellIs" dxfId="980" priority="421" operator="equal">
      <formula>1</formula>
    </cfRule>
  </conditionalFormatting>
  <conditionalFormatting sqref="I14">
    <cfRule type="cellIs" dxfId="979" priority="422" operator="equal">
      <formula>0</formula>
    </cfRule>
    <cfRule type="cellIs" dxfId="978" priority="423" operator="equal">
      <formula>1</formula>
    </cfRule>
  </conditionalFormatting>
  <conditionalFormatting sqref="I23">
    <cfRule type="cellIs" dxfId="977" priority="464" operator="equal">
      <formula>0</formula>
    </cfRule>
    <cfRule type="cellIs" dxfId="976" priority="465" operator="equal">
      <formula>1</formula>
    </cfRule>
  </conditionalFormatting>
  <conditionalFormatting sqref="I25">
    <cfRule type="cellIs" dxfId="975" priority="472" operator="equal">
      <formula>0</formula>
    </cfRule>
    <cfRule type="cellIs" dxfId="974" priority="473" operator="equal">
      <formula>1</formula>
    </cfRule>
  </conditionalFormatting>
  <conditionalFormatting sqref="I28">
    <cfRule type="cellIs" dxfId="973" priority="480" operator="equal">
      <formula>0</formula>
    </cfRule>
    <cfRule type="cellIs" dxfId="972" priority="481" operator="equal">
      <formula>1</formula>
    </cfRule>
  </conditionalFormatting>
  <conditionalFormatting sqref="I30">
    <cfRule type="cellIs" dxfId="971" priority="486" operator="equal">
      <formula>0</formula>
    </cfRule>
    <cfRule type="cellIs" dxfId="970" priority="487" operator="equal">
      <formula>1</formula>
    </cfRule>
  </conditionalFormatting>
  <conditionalFormatting sqref="I35">
    <cfRule type="cellIs" dxfId="969" priority="488" operator="equal">
      <formula>0</formula>
    </cfRule>
    <cfRule type="cellIs" dxfId="968" priority="489" operator="equal">
      <formula>1</formula>
    </cfRule>
  </conditionalFormatting>
  <conditionalFormatting sqref="I37">
    <cfRule type="cellIs" dxfId="967" priority="496" operator="equal">
      <formula>0</formula>
    </cfRule>
    <cfRule type="cellIs" dxfId="966" priority="497" operator="equal">
      <formula>1</formula>
    </cfRule>
  </conditionalFormatting>
  <conditionalFormatting sqref="I40">
    <cfRule type="cellIs" dxfId="965" priority="504" operator="equal">
      <formula>0</formula>
    </cfRule>
    <cfRule type="cellIs" dxfId="964" priority="505" operator="equal">
      <formula>1</formula>
    </cfRule>
  </conditionalFormatting>
  <conditionalFormatting sqref="I42">
    <cfRule type="cellIs" dxfId="963" priority="510" operator="equal">
      <formula>0</formula>
    </cfRule>
    <cfRule type="cellIs" dxfId="962" priority="511" operator="equal">
      <formula>1</formula>
    </cfRule>
  </conditionalFormatting>
  <conditionalFormatting sqref="I47">
    <cfRule type="cellIs" dxfId="961" priority="512" operator="equal">
      <formula>0</formula>
    </cfRule>
    <cfRule type="cellIs" dxfId="960" priority="513" operator="equal">
      <formula>1</formula>
    </cfRule>
  </conditionalFormatting>
  <conditionalFormatting sqref="I49">
    <cfRule type="cellIs" dxfId="959" priority="520" operator="equal">
      <formula>0</formula>
    </cfRule>
    <cfRule type="cellIs" dxfId="958" priority="521" operator="equal">
      <formula>1</formula>
    </cfRule>
  </conditionalFormatting>
  <conditionalFormatting sqref="I52">
    <cfRule type="cellIs" dxfId="957" priority="528" operator="equal">
      <formula>0</formula>
    </cfRule>
    <cfRule type="cellIs" dxfId="956" priority="529" operator="equal">
      <formula>1</formula>
    </cfRule>
  </conditionalFormatting>
  <conditionalFormatting sqref="I54">
    <cfRule type="cellIs" dxfId="955" priority="534" operator="equal">
      <formula>0</formula>
    </cfRule>
    <cfRule type="cellIs" dxfId="954" priority="535" operator="equal">
      <formula>1</formula>
    </cfRule>
  </conditionalFormatting>
  <conditionalFormatting sqref="I59">
    <cfRule type="cellIs" dxfId="953" priority="536" operator="equal">
      <formula>0</formula>
    </cfRule>
    <cfRule type="cellIs" dxfId="952" priority="537" operator="equal">
      <formula>1</formula>
    </cfRule>
  </conditionalFormatting>
  <conditionalFormatting sqref="I61">
    <cfRule type="cellIs" dxfId="951" priority="544" operator="equal">
      <formula>0</formula>
    </cfRule>
    <cfRule type="cellIs" dxfId="950" priority="545" operator="equal">
      <formula>1</formula>
    </cfRule>
  </conditionalFormatting>
  <conditionalFormatting sqref="I64">
    <cfRule type="cellIs" dxfId="949" priority="552" operator="equal">
      <formula>0</formula>
    </cfRule>
    <cfRule type="cellIs" dxfId="948" priority="553" operator="equal">
      <formula>1</formula>
    </cfRule>
  </conditionalFormatting>
  <conditionalFormatting sqref="I66">
    <cfRule type="cellIs" dxfId="947" priority="558" operator="equal">
      <formula>0</formula>
    </cfRule>
    <cfRule type="cellIs" dxfId="946" priority="559" operator="equal">
      <formula>1</formula>
    </cfRule>
  </conditionalFormatting>
  <conditionalFormatting sqref="I143:I144">
    <cfRule type="cellIs" dxfId="945" priority="110" operator="equal">
      <formula>0</formula>
    </cfRule>
    <cfRule type="cellIs" dxfId="944" priority="111" operator="equal">
      <formula>1</formula>
    </cfRule>
  </conditionalFormatting>
  <conditionalFormatting sqref="J4:J5">
    <cfRule type="cellIs" dxfId="943" priority="428" operator="equal">
      <formula>0</formula>
    </cfRule>
    <cfRule type="cellIs" dxfId="942" priority="429" operator="equal">
      <formula>1</formula>
    </cfRule>
  </conditionalFormatting>
  <conditionalFormatting sqref="J7">
    <cfRule type="cellIs" dxfId="941" priority="430" operator="equal">
      <formula>0</formula>
    </cfRule>
    <cfRule type="cellIs" dxfId="940" priority="431" operator="equal">
      <formula>1</formula>
    </cfRule>
  </conditionalFormatting>
  <conditionalFormatting sqref="J9">
    <cfRule type="cellIs" dxfId="939" priority="432" operator="equal">
      <formula>0</formula>
    </cfRule>
    <cfRule type="cellIs" dxfId="938" priority="433" operator="equal">
      <formula>1</formula>
    </cfRule>
  </conditionalFormatting>
  <conditionalFormatting sqref="J20">
    <cfRule type="cellIs" dxfId="937" priority="476" operator="equal">
      <formula>0</formula>
    </cfRule>
    <cfRule type="cellIs" dxfId="936" priority="477" operator="equal">
      <formula>1</formula>
    </cfRule>
  </conditionalFormatting>
  <conditionalFormatting sqref="J26">
    <cfRule type="cellIs" dxfId="935" priority="470" operator="equal">
      <formula>0</formula>
    </cfRule>
    <cfRule type="cellIs" dxfId="934" priority="471" operator="equal">
      <formula>1</formula>
    </cfRule>
  </conditionalFormatting>
  <conditionalFormatting sqref="J32">
    <cfRule type="cellIs" dxfId="933" priority="500" operator="equal">
      <formula>0</formula>
    </cfRule>
    <cfRule type="cellIs" dxfId="932" priority="501" operator="equal">
      <formula>1</formula>
    </cfRule>
  </conditionalFormatting>
  <conditionalFormatting sqref="J38">
    <cfRule type="cellIs" dxfId="931" priority="494" operator="equal">
      <formula>0</formula>
    </cfRule>
    <cfRule type="cellIs" dxfId="930" priority="495" operator="equal">
      <formula>1</formula>
    </cfRule>
  </conditionalFormatting>
  <conditionalFormatting sqref="J44">
    <cfRule type="cellIs" dxfId="929" priority="524" operator="equal">
      <formula>0</formula>
    </cfRule>
    <cfRule type="cellIs" dxfId="928" priority="525" operator="equal">
      <formula>1</formula>
    </cfRule>
  </conditionalFormatting>
  <conditionalFormatting sqref="J50">
    <cfRule type="cellIs" dxfId="927" priority="518" operator="equal">
      <formula>0</formula>
    </cfRule>
    <cfRule type="cellIs" dxfId="926" priority="519" operator="equal">
      <formula>1</formula>
    </cfRule>
  </conditionalFormatting>
  <conditionalFormatting sqref="J56">
    <cfRule type="cellIs" dxfId="925" priority="548" operator="equal">
      <formula>0</formula>
    </cfRule>
    <cfRule type="cellIs" dxfId="924" priority="549" operator="equal">
      <formula>1</formula>
    </cfRule>
  </conditionalFormatting>
  <conditionalFormatting sqref="J62">
    <cfRule type="cellIs" dxfId="923" priority="542" operator="equal">
      <formula>0</formula>
    </cfRule>
    <cfRule type="cellIs" dxfId="922" priority="543" operator="equal">
      <formula>1</formula>
    </cfRule>
  </conditionalFormatting>
  <conditionalFormatting sqref="J97">
    <cfRule type="cellIs" dxfId="921" priority="170" operator="equal">
      <formula>0</formula>
    </cfRule>
    <cfRule type="cellIs" dxfId="920" priority="171" operator="equal">
      <formula>1</formula>
    </cfRule>
  </conditionalFormatting>
  <conditionalFormatting sqref="J151">
    <cfRule type="cellIs" dxfId="919" priority="24" operator="equal">
      <formula>0</formula>
    </cfRule>
    <cfRule type="cellIs" dxfId="918" priority="25" operator="equal">
      <formula>1</formula>
    </cfRule>
  </conditionalFormatting>
  <conditionalFormatting sqref="J105:K105">
    <cfRule type="cellIs" dxfId="917" priority="114" operator="equal">
      <formula>0</formula>
    </cfRule>
    <cfRule type="cellIs" dxfId="916" priority="115" operator="equal">
      <formula>1</formula>
    </cfRule>
  </conditionalFormatting>
  <conditionalFormatting sqref="J115:K115">
    <cfRule type="cellIs" dxfId="915" priority="128" operator="equal">
      <formula>0</formula>
    </cfRule>
    <cfRule type="cellIs" dxfId="914" priority="129" operator="equal">
      <formula>1</formula>
    </cfRule>
  </conditionalFormatting>
  <conditionalFormatting sqref="J125:K125">
    <cfRule type="cellIs" dxfId="913" priority="142" operator="equal">
      <formula>0</formula>
    </cfRule>
    <cfRule type="cellIs" dxfId="912" priority="143" operator="equal">
      <formula>1</formula>
    </cfRule>
  </conditionalFormatting>
  <conditionalFormatting sqref="J135:K135">
    <cfRule type="cellIs" dxfId="911" priority="156" operator="equal">
      <formula>0</formula>
    </cfRule>
    <cfRule type="cellIs" dxfId="910" priority="157" operator="equal">
      <formula>1</formula>
    </cfRule>
  </conditionalFormatting>
  <conditionalFormatting sqref="J102:L102">
    <cfRule type="cellIs" dxfId="909" priority="116" operator="equal">
      <formula>0</formula>
    </cfRule>
    <cfRule type="cellIs" dxfId="908" priority="117" operator="equal">
      <formula>1</formula>
    </cfRule>
  </conditionalFormatting>
  <conditionalFormatting sqref="J112:L112">
    <cfRule type="cellIs" dxfId="907" priority="130" operator="equal">
      <formula>0</formula>
    </cfRule>
    <cfRule type="cellIs" dxfId="906" priority="131" operator="equal">
      <formula>1</formula>
    </cfRule>
  </conditionalFormatting>
  <conditionalFormatting sqref="J122:L122">
    <cfRule type="cellIs" dxfId="905" priority="144" operator="equal">
      <formula>0</formula>
    </cfRule>
    <cfRule type="cellIs" dxfId="904" priority="145" operator="equal">
      <formula>1</formula>
    </cfRule>
  </conditionalFormatting>
  <conditionalFormatting sqref="J132:L132">
    <cfRule type="cellIs" dxfId="903" priority="158" operator="equal">
      <formula>0</formula>
    </cfRule>
    <cfRule type="cellIs" dxfId="902" priority="159" operator="equal">
      <formula>1</formula>
    </cfRule>
  </conditionalFormatting>
  <conditionalFormatting sqref="J68:M68">
    <cfRule type="cellIs" dxfId="901" priority="564" operator="equal">
      <formula>0</formula>
    </cfRule>
    <cfRule type="cellIs" dxfId="900" priority="565" operator="equal">
      <formula>1</formula>
    </cfRule>
  </conditionalFormatting>
  <conditionalFormatting sqref="K6">
    <cfRule type="cellIs" dxfId="899" priority="438" operator="equal">
      <formula>0</formula>
    </cfRule>
    <cfRule type="cellIs" dxfId="898" priority="439" operator="equal">
      <formula>1</formula>
    </cfRule>
  </conditionalFormatting>
  <conditionalFormatting sqref="K8">
    <cfRule type="cellIs" dxfId="897" priority="440" operator="equal">
      <formula>0</formula>
    </cfRule>
    <cfRule type="cellIs" dxfId="896" priority="441" operator="equal">
      <formula>1</formula>
    </cfRule>
  </conditionalFormatting>
  <conditionalFormatting sqref="K12">
    <cfRule type="cellIs" dxfId="895" priority="442" operator="equal">
      <formula>0</formula>
    </cfRule>
    <cfRule type="cellIs" dxfId="894" priority="443" operator="equal">
      <formula>1</formula>
    </cfRule>
  </conditionalFormatting>
  <conditionalFormatting sqref="K14">
    <cfRule type="cellIs" dxfId="893" priority="444" operator="equal">
      <formula>0</formula>
    </cfRule>
    <cfRule type="cellIs" dxfId="892" priority="445" operator="equal">
      <formula>1</formula>
    </cfRule>
  </conditionalFormatting>
  <conditionalFormatting sqref="K22">
    <cfRule type="cellIs" dxfId="891" priority="466" operator="equal">
      <formula>0</formula>
    </cfRule>
    <cfRule type="cellIs" dxfId="890" priority="467" operator="equal">
      <formula>1</formula>
    </cfRule>
  </conditionalFormatting>
  <conditionalFormatting sqref="K24">
    <cfRule type="cellIs" dxfId="889" priority="468" operator="equal">
      <formula>0</formula>
    </cfRule>
    <cfRule type="cellIs" dxfId="888" priority="469" operator="equal">
      <formula>1</formula>
    </cfRule>
  </conditionalFormatting>
  <conditionalFormatting sqref="K30">
    <cfRule type="cellIs" dxfId="887" priority="484" operator="equal">
      <formula>0</formula>
    </cfRule>
    <cfRule type="cellIs" dxfId="886" priority="485" operator="equal">
      <formula>1</formula>
    </cfRule>
  </conditionalFormatting>
  <conditionalFormatting sqref="K34">
    <cfRule type="cellIs" dxfId="885" priority="490" operator="equal">
      <formula>0</formula>
    </cfRule>
    <cfRule type="cellIs" dxfId="884" priority="491" operator="equal">
      <formula>1</formula>
    </cfRule>
  </conditionalFormatting>
  <conditionalFormatting sqref="K36">
    <cfRule type="cellIs" dxfId="883" priority="492" operator="equal">
      <formula>0</formula>
    </cfRule>
    <cfRule type="cellIs" dxfId="882" priority="493" operator="equal">
      <formula>1</formula>
    </cfRule>
  </conditionalFormatting>
  <conditionalFormatting sqref="K42">
    <cfRule type="cellIs" dxfId="881" priority="508" operator="equal">
      <formula>0</formula>
    </cfRule>
    <cfRule type="cellIs" dxfId="880" priority="509" operator="equal">
      <formula>1</formula>
    </cfRule>
  </conditionalFormatting>
  <conditionalFormatting sqref="K46">
    <cfRule type="cellIs" dxfId="879" priority="514" operator="equal">
      <formula>0</formula>
    </cfRule>
    <cfRule type="cellIs" dxfId="878" priority="515" operator="equal">
      <formula>1</formula>
    </cfRule>
  </conditionalFormatting>
  <conditionalFormatting sqref="K48">
    <cfRule type="cellIs" dxfId="877" priority="516" operator="equal">
      <formula>0</formula>
    </cfRule>
    <cfRule type="cellIs" dxfId="876" priority="517" operator="equal">
      <formula>1</formula>
    </cfRule>
  </conditionalFormatting>
  <conditionalFormatting sqref="K54">
    <cfRule type="cellIs" dxfId="875" priority="532" operator="equal">
      <formula>0</formula>
    </cfRule>
    <cfRule type="cellIs" dxfId="874" priority="533" operator="equal">
      <formula>1</formula>
    </cfRule>
  </conditionalFormatting>
  <conditionalFormatting sqref="K58">
    <cfRule type="cellIs" dxfId="873" priority="538" operator="equal">
      <formula>0</formula>
    </cfRule>
    <cfRule type="cellIs" dxfId="872" priority="539" operator="equal">
      <formula>1</formula>
    </cfRule>
  </conditionalFormatting>
  <conditionalFormatting sqref="K60">
    <cfRule type="cellIs" dxfId="871" priority="540" operator="equal">
      <formula>0</formula>
    </cfRule>
    <cfRule type="cellIs" dxfId="870" priority="541" operator="equal">
      <formula>1</formula>
    </cfRule>
  </conditionalFormatting>
  <conditionalFormatting sqref="K66">
    <cfRule type="cellIs" dxfId="869" priority="556" operator="equal">
      <formula>0</formula>
    </cfRule>
    <cfRule type="cellIs" dxfId="868" priority="557" operator="equal">
      <formula>1</formula>
    </cfRule>
  </conditionalFormatting>
  <conditionalFormatting sqref="K107">
    <cfRule type="cellIs" dxfId="867" priority="118" operator="equal">
      <formula>0</formula>
    </cfRule>
    <cfRule type="cellIs" dxfId="866" priority="119" operator="equal">
      <formula>1</formula>
    </cfRule>
  </conditionalFormatting>
  <conditionalFormatting sqref="K109">
    <cfRule type="cellIs" dxfId="865" priority="120" operator="equal">
      <formula>0</formula>
    </cfRule>
    <cfRule type="cellIs" dxfId="864" priority="121" operator="equal">
      <formula>1</formula>
    </cfRule>
  </conditionalFormatting>
  <conditionalFormatting sqref="K117">
    <cfRule type="cellIs" dxfId="863" priority="132" operator="equal">
      <formula>0</formula>
    </cfRule>
    <cfRule type="cellIs" dxfId="862" priority="133" operator="equal">
      <formula>1</formula>
    </cfRule>
  </conditionalFormatting>
  <conditionalFormatting sqref="K119">
    <cfRule type="cellIs" dxfId="861" priority="134" operator="equal">
      <formula>0</formula>
    </cfRule>
    <cfRule type="cellIs" dxfId="860" priority="135" operator="equal">
      <formula>1</formula>
    </cfRule>
  </conditionalFormatting>
  <conditionalFormatting sqref="K127">
    <cfRule type="cellIs" dxfId="859" priority="146" operator="equal">
      <formula>0</formula>
    </cfRule>
    <cfRule type="cellIs" dxfId="858" priority="147" operator="equal">
      <formula>1</formula>
    </cfRule>
  </conditionalFormatting>
  <conditionalFormatting sqref="K129">
    <cfRule type="cellIs" dxfId="857" priority="148" operator="equal">
      <formula>0</formula>
    </cfRule>
    <cfRule type="cellIs" dxfId="856" priority="149" operator="equal">
      <formula>1</formula>
    </cfRule>
  </conditionalFormatting>
  <conditionalFormatting sqref="K137">
    <cfRule type="cellIs" dxfId="855" priority="160" operator="equal">
      <formula>0</formula>
    </cfRule>
    <cfRule type="cellIs" dxfId="854" priority="161" operator="equal">
      <formula>1</formula>
    </cfRule>
  </conditionalFormatting>
  <conditionalFormatting sqref="K139:L139">
    <cfRule type="cellIs" dxfId="853" priority="154" operator="equal">
      <formula>0</formula>
    </cfRule>
    <cfRule type="cellIs" dxfId="852" priority="155" operator="equal">
      <formula>1</formula>
    </cfRule>
  </conditionalFormatting>
  <conditionalFormatting sqref="L20">
    <cfRule type="cellIs" dxfId="851" priority="478" operator="equal">
      <formula>0</formula>
    </cfRule>
    <cfRule type="cellIs" dxfId="850" priority="479" operator="equal">
      <formula>1</formula>
    </cfRule>
  </conditionalFormatting>
  <conditionalFormatting sqref="L23">
    <cfRule type="cellIs" dxfId="849" priority="482" operator="equal">
      <formula>0</formula>
    </cfRule>
    <cfRule type="cellIs" dxfId="848" priority="483" operator="equal">
      <formula>1</formula>
    </cfRule>
  </conditionalFormatting>
  <conditionalFormatting sqref="L32">
    <cfRule type="cellIs" dxfId="847" priority="502" operator="equal">
      <formula>0</formula>
    </cfRule>
    <cfRule type="cellIs" dxfId="846" priority="503" operator="equal">
      <formula>1</formula>
    </cfRule>
  </conditionalFormatting>
  <conditionalFormatting sqref="L35">
    <cfRule type="cellIs" dxfId="845" priority="506" operator="equal">
      <formula>0</formula>
    </cfRule>
    <cfRule type="cellIs" dxfId="844" priority="507" operator="equal">
      <formula>1</formula>
    </cfRule>
  </conditionalFormatting>
  <conditionalFormatting sqref="L44">
    <cfRule type="cellIs" dxfId="843" priority="526" operator="equal">
      <formula>0</formula>
    </cfRule>
    <cfRule type="cellIs" dxfId="842" priority="527" operator="equal">
      <formula>1</formula>
    </cfRule>
  </conditionalFormatting>
  <conditionalFormatting sqref="L47">
    <cfRule type="cellIs" dxfId="841" priority="530" operator="equal">
      <formula>0</formula>
    </cfRule>
    <cfRule type="cellIs" dxfId="840" priority="531" operator="equal">
      <formula>1</formula>
    </cfRule>
  </conditionalFormatting>
  <conditionalFormatting sqref="L56">
    <cfRule type="cellIs" dxfId="839" priority="550" operator="equal">
      <formula>0</formula>
    </cfRule>
    <cfRule type="cellIs" dxfId="838" priority="551" operator="equal">
      <formula>1</formula>
    </cfRule>
  </conditionalFormatting>
  <conditionalFormatting sqref="L59">
    <cfRule type="cellIs" dxfId="837" priority="554" operator="equal">
      <formula>0</formula>
    </cfRule>
    <cfRule type="cellIs" dxfId="836" priority="555" operator="equal">
      <formula>1</formula>
    </cfRule>
  </conditionalFormatting>
  <conditionalFormatting sqref="L100">
    <cfRule type="cellIs" dxfId="835" priority="168" operator="equal">
      <formula>0</formula>
    </cfRule>
    <cfRule type="cellIs" dxfId="834" priority="169" operator="equal">
      <formula>1</formula>
    </cfRule>
  </conditionalFormatting>
  <conditionalFormatting sqref="L104">
    <cfRule type="cellIs" dxfId="833" priority="122" operator="equal">
      <formula>0</formula>
    </cfRule>
    <cfRule type="cellIs" dxfId="832" priority="123" operator="equal">
      <formula>1</formula>
    </cfRule>
  </conditionalFormatting>
  <conditionalFormatting sqref="L106">
    <cfRule type="cellIs" dxfId="831" priority="124" operator="equal">
      <formula>0</formula>
    </cfRule>
    <cfRule type="cellIs" dxfId="830" priority="125" operator="equal">
      <formula>1</formula>
    </cfRule>
  </conditionalFormatting>
  <conditionalFormatting sqref="L109:L110">
    <cfRule type="cellIs" dxfId="829" priority="112" operator="equal">
      <formula>0</formula>
    </cfRule>
    <cfRule type="cellIs" dxfId="828" priority="113" operator="equal">
      <formula>1</formula>
    </cfRule>
  </conditionalFormatting>
  <conditionalFormatting sqref="L114">
    <cfRule type="cellIs" dxfId="827" priority="136" operator="equal">
      <formula>0</formula>
    </cfRule>
    <cfRule type="cellIs" dxfId="826" priority="137" operator="equal">
      <formula>1</formula>
    </cfRule>
  </conditionalFormatting>
  <conditionalFormatting sqref="L116">
    <cfRule type="cellIs" dxfId="825" priority="138" operator="equal">
      <formula>0</formula>
    </cfRule>
    <cfRule type="cellIs" dxfId="824" priority="139" operator="equal">
      <formula>1</formula>
    </cfRule>
  </conditionalFormatting>
  <conditionalFormatting sqref="L119:L120">
    <cfRule type="cellIs" dxfId="823" priority="126" operator="equal">
      <formula>0</formula>
    </cfRule>
    <cfRule type="cellIs" dxfId="822" priority="127" operator="equal">
      <formula>1</formula>
    </cfRule>
  </conditionalFormatting>
  <conditionalFormatting sqref="L124">
    <cfRule type="cellIs" dxfId="821" priority="150" operator="equal">
      <formula>0</formula>
    </cfRule>
    <cfRule type="cellIs" dxfId="820" priority="151" operator="equal">
      <formula>1</formula>
    </cfRule>
  </conditionalFormatting>
  <conditionalFormatting sqref="L126">
    <cfRule type="cellIs" dxfId="819" priority="152" operator="equal">
      <formula>0</formula>
    </cfRule>
    <cfRule type="cellIs" dxfId="818" priority="153" operator="equal">
      <formula>1</formula>
    </cfRule>
  </conditionalFormatting>
  <conditionalFormatting sqref="L129:L130">
    <cfRule type="cellIs" dxfId="817" priority="140" operator="equal">
      <formula>0</formula>
    </cfRule>
    <cfRule type="cellIs" dxfId="816" priority="141" operator="equal">
      <formula>1</formula>
    </cfRule>
  </conditionalFormatting>
  <conditionalFormatting sqref="L134">
    <cfRule type="cellIs" dxfId="815" priority="162" operator="equal">
      <formula>0</formula>
    </cfRule>
    <cfRule type="cellIs" dxfId="814" priority="163" operator="equal">
      <formula>1</formula>
    </cfRule>
  </conditionalFormatting>
  <conditionalFormatting sqref="L136">
    <cfRule type="cellIs" dxfId="813" priority="164" operator="equal">
      <formula>0</formula>
    </cfRule>
    <cfRule type="cellIs" dxfId="812" priority="165" operator="equal">
      <formula>1</formula>
    </cfRule>
  </conditionalFormatting>
  <conditionalFormatting sqref="L97:O98">
    <cfRule type="cellIs" dxfId="811" priority="174" operator="equal">
      <formula>0</formula>
    </cfRule>
    <cfRule type="cellIs" dxfId="810" priority="175" operator="equal">
      <formula>1</formula>
    </cfRule>
  </conditionalFormatting>
  <conditionalFormatting sqref="L144:O144">
    <cfRule type="cellIs" dxfId="809" priority="166" operator="equal">
      <formula>0</formula>
    </cfRule>
    <cfRule type="cellIs" dxfId="808" priority="167" operator="equal">
      <formula>1</formula>
    </cfRule>
  </conditionalFormatting>
  <conditionalFormatting sqref="M12">
    <cfRule type="cellIs" dxfId="807" priority="446" operator="equal">
      <formula>0</formula>
    </cfRule>
    <cfRule type="cellIs" dxfId="806" priority="447" operator="equal">
      <formula>1</formula>
    </cfRule>
  </conditionalFormatting>
  <conditionalFormatting sqref="M14">
    <cfRule type="cellIs" dxfId="805" priority="448" operator="equal">
      <formula>0</formula>
    </cfRule>
    <cfRule type="cellIs" dxfId="804" priority="449" operator="equal">
      <formula>1</formula>
    </cfRule>
  </conditionalFormatting>
  <conditionalFormatting sqref="M151">
    <cfRule type="cellIs" dxfId="803" priority="26" operator="equal">
      <formula>0</formula>
    </cfRule>
    <cfRule type="cellIs" dxfId="802" priority="27" operator="equal">
      <formula>1</formula>
    </cfRule>
  </conditionalFormatting>
  <conditionalFormatting sqref="P151">
    <cfRule type="cellIs" dxfId="801" priority="28" operator="equal">
      <formula>0</formula>
    </cfRule>
    <cfRule type="cellIs" dxfId="800" priority="29" operator="equal">
      <formula>1</formula>
    </cfRule>
  </conditionalFormatting>
  <conditionalFormatting sqref="R16">
    <cfRule type="cellIs" dxfId="799" priority="366" operator="equal">
      <formula>0</formula>
    </cfRule>
    <cfRule type="cellIs" dxfId="798" priority="367" operator="equal">
      <formula>1</formula>
    </cfRule>
  </conditionalFormatting>
  <conditionalFormatting sqref="R23">
    <cfRule type="cellIs" dxfId="797" priority="662" operator="equal">
      <formula>0</formula>
    </cfRule>
    <cfRule type="cellIs" dxfId="796" priority="663" operator="equal">
      <formula>1</formula>
    </cfRule>
  </conditionalFormatting>
  <conditionalFormatting sqref="R25:U26">
    <cfRule type="cellIs" dxfId="795" priority="622" operator="equal">
      <formula>0</formula>
    </cfRule>
    <cfRule type="cellIs" dxfId="794" priority="623" operator="equal">
      <formula>1</formula>
    </cfRule>
  </conditionalFormatting>
  <conditionalFormatting sqref="S20">
    <cfRule type="cellIs" dxfId="793" priority="666" operator="equal">
      <formula>0</formula>
    </cfRule>
    <cfRule type="cellIs" dxfId="792" priority="667" operator="equal">
      <formula>1</formula>
    </cfRule>
  </conditionalFormatting>
  <conditionalFormatting sqref="S110">
    <cfRule type="cellIs" dxfId="791" priority="94" operator="equal">
      <formula>0</formula>
    </cfRule>
    <cfRule type="cellIs" dxfId="790" priority="95" operator="equal">
      <formula>1</formula>
    </cfRule>
  </conditionalFormatting>
  <conditionalFormatting sqref="S112">
    <cfRule type="cellIs" dxfId="789" priority="90" operator="equal">
      <formula>0</formula>
    </cfRule>
    <cfRule type="cellIs" dxfId="788" priority="91" operator="equal">
      <formula>1</formula>
    </cfRule>
  </conditionalFormatting>
  <conditionalFormatting sqref="S114">
    <cfRule type="cellIs" dxfId="787" priority="88" operator="equal">
      <formula>0</formula>
    </cfRule>
    <cfRule type="cellIs" dxfId="786" priority="89" operator="equal">
      <formula>1</formula>
    </cfRule>
  </conditionalFormatting>
  <conditionalFormatting sqref="S116">
    <cfRule type="cellIs" dxfId="785" priority="84" operator="equal">
      <formula>0</formula>
    </cfRule>
    <cfRule type="cellIs" dxfId="784" priority="85" operator="equal">
      <formula>1</formula>
    </cfRule>
  </conditionalFormatting>
  <conditionalFormatting sqref="S118">
    <cfRule type="cellIs" dxfId="783" priority="82" operator="equal">
      <formula>0</formula>
    </cfRule>
    <cfRule type="cellIs" dxfId="782" priority="83" operator="equal">
      <formula>1</formula>
    </cfRule>
  </conditionalFormatting>
  <conditionalFormatting sqref="S120">
    <cfRule type="cellIs" dxfId="781" priority="78" operator="equal">
      <formula>0</formula>
    </cfRule>
    <cfRule type="cellIs" dxfId="780" priority="79" operator="equal">
      <formula>1</formula>
    </cfRule>
  </conditionalFormatting>
  <conditionalFormatting sqref="S122">
    <cfRule type="cellIs" dxfId="779" priority="76" operator="equal">
      <formula>0</formula>
    </cfRule>
    <cfRule type="cellIs" dxfId="778" priority="77" operator="equal">
      <formula>1</formula>
    </cfRule>
  </conditionalFormatting>
  <conditionalFormatting sqref="S124">
    <cfRule type="cellIs" dxfId="777" priority="72" operator="equal">
      <formula>0</formula>
    </cfRule>
    <cfRule type="cellIs" dxfId="776" priority="73" operator="equal">
      <formula>1</formula>
    </cfRule>
  </conditionalFormatting>
  <conditionalFormatting sqref="S128">
    <cfRule type="cellIs" dxfId="775" priority="68" operator="equal">
      <formula>0</formula>
    </cfRule>
    <cfRule type="cellIs" dxfId="774" priority="69" operator="equal">
      <formula>1</formula>
    </cfRule>
  </conditionalFormatting>
  <conditionalFormatting sqref="S130">
    <cfRule type="cellIs" dxfId="773" priority="64" operator="equal">
      <formula>0</formula>
    </cfRule>
    <cfRule type="cellIs" dxfId="772" priority="65" operator="equal">
      <formula>1</formula>
    </cfRule>
  </conditionalFormatting>
  <conditionalFormatting sqref="S132">
    <cfRule type="cellIs" dxfId="771" priority="62" operator="equal">
      <formula>0</formula>
    </cfRule>
    <cfRule type="cellIs" dxfId="770" priority="63" operator="equal">
      <formula>1</formula>
    </cfRule>
  </conditionalFormatting>
  <conditionalFormatting sqref="S134">
    <cfRule type="cellIs" dxfId="769" priority="58" operator="equal">
      <formula>0</formula>
    </cfRule>
    <cfRule type="cellIs" dxfId="768" priority="59" operator="equal">
      <formula>1</formula>
    </cfRule>
  </conditionalFormatting>
  <conditionalFormatting sqref="S136">
    <cfRule type="cellIs" dxfId="767" priority="56" operator="equal">
      <formula>0</formula>
    </cfRule>
    <cfRule type="cellIs" dxfId="766" priority="57" operator="equal">
      <formula>1</formula>
    </cfRule>
  </conditionalFormatting>
  <conditionalFormatting sqref="S138">
    <cfRule type="cellIs" dxfId="765" priority="52" operator="equal">
      <formula>0</formula>
    </cfRule>
    <cfRule type="cellIs" dxfId="764" priority="53" operator="equal">
      <formula>1</formula>
    </cfRule>
  </conditionalFormatting>
  <conditionalFormatting sqref="S140">
    <cfRule type="cellIs" dxfId="763" priority="50" operator="equal">
      <formula>0</formula>
    </cfRule>
    <cfRule type="cellIs" dxfId="762" priority="51" operator="equal">
      <formula>1</formula>
    </cfRule>
  </conditionalFormatting>
  <conditionalFormatting sqref="S142">
    <cfRule type="cellIs" dxfId="761" priority="46" operator="equal">
      <formula>0</formula>
    </cfRule>
    <cfRule type="cellIs" dxfId="760" priority="47" operator="equal">
      <formula>1</formula>
    </cfRule>
  </conditionalFormatting>
  <conditionalFormatting sqref="S146:S149">
    <cfRule type="cellIs" dxfId="759" priority="36" operator="equal">
      <formula>0</formula>
    </cfRule>
    <cfRule type="cellIs" dxfId="758" priority="37" operator="equal">
      <formula>1</formula>
    </cfRule>
  </conditionalFormatting>
  <conditionalFormatting sqref="S151">
    <cfRule type="cellIs" dxfId="757" priority="34" operator="equal">
      <formula>0</formula>
    </cfRule>
    <cfRule type="cellIs" dxfId="756" priority="35" operator="equal">
      <formula>1</formula>
    </cfRule>
  </conditionalFormatting>
  <conditionalFormatting sqref="S33:T33">
    <cfRule type="cellIs" dxfId="755" priority="568" operator="equal">
      <formula>0</formula>
    </cfRule>
    <cfRule type="cellIs" dxfId="754" priority="569" operator="equal">
      <formula>1</formula>
    </cfRule>
  </conditionalFormatting>
  <conditionalFormatting sqref="S43:T43">
    <cfRule type="cellIs" dxfId="753" priority="582" operator="equal">
      <formula>0</formula>
    </cfRule>
    <cfRule type="cellIs" dxfId="752" priority="583" operator="equal">
      <formula>1</formula>
    </cfRule>
  </conditionalFormatting>
  <conditionalFormatting sqref="S53:T53">
    <cfRule type="cellIs" dxfId="751" priority="596" operator="equal">
      <formula>0</formula>
    </cfRule>
    <cfRule type="cellIs" dxfId="750" priority="597" operator="equal">
      <formula>1</formula>
    </cfRule>
  </conditionalFormatting>
  <conditionalFormatting sqref="S63:T63">
    <cfRule type="cellIs" dxfId="749" priority="610" operator="equal">
      <formula>0</formula>
    </cfRule>
    <cfRule type="cellIs" dxfId="748" priority="611" operator="equal">
      <formula>1</formula>
    </cfRule>
  </conditionalFormatting>
  <conditionalFormatting sqref="S30:U30">
    <cfRule type="cellIs" dxfId="747" priority="570" operator="equal">
      <formula>0</formula>
    </cfRule>
    <cfRule type="cellIs" dxfId="746" priority="571" operator="equal">
      <formula>1</formula>
    </cfRule>
  </conditionalFormatting>
  <conditionalFormatting sqref="S40:U40">
    <cfRule type="cellIs" dxfId="745" priority="584" operator="equal">
      <formula>0</formula>
    </cfRule>
    <cfRule type="cellIs" dxfId="744" priority="585" operator="equal">
      <formula>1</formula>
    </cfRule>
  </conditionalFormatting>
  <conditionalFormatting sqref="S50:U50">
    <cfRule type="cellIs" dxfId="743" priority="598" operator="equal">
      <formula>0</formula>
    </cfRule>
    <cfRule type="cellIs" dxfId="742" priority="599" operator="equal">
      <formula>1</formula>
    </cfRule>
  </conditionalFormatting>
  <conditionalFormatting sqref="S60:U60">
    <cfRule type="cellIs" dxfId="741" priority="612" operator="equal">
      <formula>0</formula>
    </cfRule>
    <cfRule type="cellIs" dxfId="740" priority="613" operator="equal">
      <formula>1</formula>
    </cfRule>
  </conditionalFormatting>
  <conditionalFormatting sqref="S101:V101">
    <cfRule type="cellIs" dxfId="739" priority="104" operator="equal">
      <formula>0</formula>
    </cfRule>
    <cfRule type="cellIs" dxfId="738" priority="105" operator="equal">
      <formula>1</formula>
    </cfRule>
  </conditionalFormatting>
  <conditionalFormatting sqref="S103:V103">
    <cfRule type="cellIs" dxfId="737" priority="106" operator="equal">
      <formula>0</formula>
    </cfRule>
    <cfRule type="cellIs" dxfId="736" priority="107" operator="equal">
      <formula>1</formula>
    </cfRule>
  </conditionalFormatting>
  <conditionalFormatting sqref="S106:V106">
    <cfRule type="cellIs" dxfId="735" priority="98" operator="equal">
      <formula>0</formula>
    </cfRule>
    <cfRule type="cellIs" dxfId="734" priority="99" operator="equal">
      <formula>1</formula>
    </cfRule>
  </conditionalFormatting>
  <conditionalFormatting sqref="S108:V108">
    <cfRule type="cellIs" dxfId="733" priority="100" operator="equal">
      <formula>0</formula>
    </cfRule>
    <cfRule type="cellIs" dxfId="732" priority="101" operator="equal">
      <formula>1</formula>
    </cfRule>
  </conditionalFormatting>
  <conditionalFormatting sqref="S126:V126">
    <cfRule type="cellIs" dxfId="731" priority="96" operator="equal">
      <formula>0</formula>
    </cfRule>
    <cfRule type="cellIs" dxfId="730" priority="97" operator="equal">
      <formula>1</formula>
    </cfRule>
  </conditionalFormatting>
  <conditionalFormatting sqref="S144:V144">
    <cfRule type="cellIs" dxfId="729" priority="70" operator="equal">
      <formula>0</formula>
    </cfRule>
    <cfRule type="cellIs" dxfId="728" priority="71" operator="equal">
      <formula>1</formula>
    </cfRule>
  </conditionalFormatting>
  <conditionalFormatting sqref="T16">
    <cfRule type="cellIs" dxfId="727" priority="364" operator="equal">
      <formula>0</formula>
    </cfRule>
    <cfRule type="cellIs" dxfId="726" priority="365" operator="equal">
      <formula>1</formula>
    </cfRule>
  </conditionalFormatting>
  <conditionalFormatting sqref="T18">
    <cfRule type="cellIs" dxfId="725" priority="668" operator="equal">
      <formula>0</formula>
    </cfRule>
    <cfRule type="cellIs" dxfId="724" priority="669" operator="equal">
      <formula>1</formula>
    </cfRule>
  </conditionalFormatting>
  <conditionalFormatting sqref="T23">
    <cfRule type="cellIs" dxfId="723" priority="664" operator="equal">
      <formula>0</formula>
    </cfRule>
    <cfRule type="cellIs" dxfId="722" priority="665" operator="equal">
      <formula>1</formula>
    </cfRule>
  </conditionalFormatting>
  <conditionalFormatting sqref="T35">
    <cfRule type="cellIs" dxfId="721" priority="572" operator="equal">
      <formula>0</formula>
    </cfRule>
    <cfRule type="cellIs" dxfId="720" priority="573" operator="equal">
      <formula>1</formula>
    </cfRule>
  </conditionalFormatting>
  <conditionalFormatting sqref="T37">
    <cfRule type="cellIs" dxfId="719" priority="574" operator="equal">
      <formula>0</formula>
    </cfRule>
    <cfRule type="cellIs" dxfId="718" priority="575" operator="equal">
      <formula>1</formula>
    </cfRule>
  </conditionalFormatting>
  <conditionalFormatting sqref="T45">
    <cfRule type="cellIs" dxfId="717" priority="586" operator="equal">
      <formula>0</formula>
    </cfRule>
    <cfRule type="cellIs" dxfId="716" priority="587" operator="equal">
      <formula>1</formula>
    </cfRule>
  </conditionalFormatting>
  <conditionalFormatting sqref="T47">
    <cfRule type="cellIs" dxfId="715" priority="588" operator="equal">
      <formula>0</formula>
    </cfRule>
    <cfRule type="cellIs" dxfId="714" priority="589" operator="equal">
      <formula>1</formula>
    </cfRule>
  </conditionalFormatting>
  <conditionalFormatting sqref="T55">
    <cfRule type="cellIs" dxfId="713" priority="600" operator="equal">
      <formula>0</formula>
    </cfRule>
    <cfRule type="cellIs" dxfId="712" priority="601" operator="equal">
      <formula>1</formula>
    </cfRule>
  </conditionalFormatting>
  <conditionalFormatting sqref="T57">
    <cfRule type="cellIs" dxfId="711" priority="602" operator="equal">
      <formula>0</formula>
    </cfRule>
    <cfRule type="cellIs" dxfId="710" priority="603" operator="equal">
      <formula>1</formula>
    </cfRule>
  </conditionalFormatting>
  <conditionalFormatting sqref="T65">
    <cfRule type="cellIs" dxfId="709" priority="614" operator="equal">
      <formula>0</formula>
    </cfRule>
    <cfRule type="cellIs" dxfId="708" priority="615" operator="equal">
      <formula>1</formula>
    </cfRule>
  </conditionalFormatting>
  <conditionalFormatting sqref="T8:U8">
    <cfRule type="cellIs" dxfId="707" priority="416" operator="equal">
      <formula>0</formula>
    </cfRule>
    <cfRule type="cellIs" dxfId="706" priority="417" operator="equal">
      <formula>1</formula>
    </cfRule>
  </conditionalFormatting>
  <conditionalFormatting sqref="T67:U67">
    <cfRule type="cellIs" dxfId="705" priority="608" operator="equal">
      <formula>0</formula>
    </cfRule>
    <cfRule type="cellIs" dxfId="704" priority="609" operator="equal">
      <formula>1</formula>
    </cfRule>
  </conditionalFormatting>
  <conditionalFormatting sqref="T111:U111">
    <cfRule type="cellIs" dxfId="703" priority="92" operator="equal">
      <formula>0</formula>
    </cfRule>
    <cfRule type="cellIs" dxfId="702" priority="93" operator="equal">
      <formula>1</formula>
    </cfRule>
  </conditionalFormatting>
  <conditionalFormatting sqref="T115:U115">
    <cfRule type="cellIs" dxfId="701" priority="86" operator="equal">
      <formula>0</formula>
    </cfRule>
    <cfRule type="cellIs" dxfId="700" priority="87" operator="equal">
      <formula>1</formula>
    </cfRule>
  </conditionalFormatting>
  <conditionalFormatting sqref="T119:U119">
    <cfRule type="cellIs" dxfId="699" priority="80" operator="equal">
      <formula>0</formula>
    </cfRule>
    <cfRule type="cellIs" dxfId="698" priority="81" operator="equal">
      <formula>1</formula>
    </cfRule>
  </conditionalFormatting>
  <conditionalFormatting sqref="T123:U123">
    <cfRule type="cellIs" dxfId="697" priority="74" operator="equal">
      <formula>0</formula>
    </cfRule>
    <cfRule type="cellIs" dxfId="696" priority="75" operator="equal">
      <formula>1</formula>
    </cfRule>
  </conditionalFormatting>
  <conditionalFormatting sqref="T129:U129">
    <cfRule type="cellIs" dxfId="695" priority="66" operator="equal">
      <formula>0</formula>
    </cfRule>
    <cfRule type="cellIs" dxfId="694" priority="67" operator="equal">
      <formula>1</formula>
    </cfRule>
  </conditionalFormatting>
  <conditionalFormatting sqref="T133:U133">
    <cfRule type="cellIs" dxfId="693" priority="60" operator="equal">
      <formula>0</formula>
    </cfRule>
    <cfRule type="cellIs" dxfId="692" priority="61" operator="equal">
      <formula>1</formula>
    </cfRule>
  </conditionalFormatting>
  <conditionalFormatting sqref="T137:U137">
    <cfRule type="cellIs" dxfId="691" priority="54" operator="equal">
      <formula>0</formula>
    </cfRule>
    <cfRule type="cellIs" dxfId="690" priority="55" operator="equal">
      <formula>1</formula>
    </cfRule>
  </conditionalFormatting>
  <conditionalFormatting sqref="T141:U141">
    <cfRule type="cellIs" dxfId="689" priority="48" operator="equal">
      <formula>0</formula>
    </cfRule>
    <cfRule type="cellIs" dxfId="688" priority="49" operator="equal">
      <formula>1</formula>
    </cfRule>
  </conditionalFormatting>
  <conditionalFormatting sqref="T5:V5">
    <cfRule type="cellIs" dxfId="687" priority="418" operator="equal">
      <formula>0</formula>
    </cfRule>
    <cfRule type="cellIs" dxfId="686" priority="419" operator="equal">
      <formula>1</formula>
    </cfRule>
  </conditionalFormatting>
  <conditionalFormatting sqref="U10">
    <cfRule type="cellIs" dxfId="685" priority="424" operator="equal">
      <formula>0</formula>
    </cfRule>
    <cfRule type="cellIs" dxfId="684" priority="425" operator="equal">
      <formula>1</formula>
    </cfRule>
  </conditionalFormatting>
  <conditionalFormatting sqref="U28">
    <cfRule type="cellIs" dxfId="683" priority="630" operator="equal">
      <formula>0</formula>
    </cfRule>
    <cfRule type="cellIs" dxfId="682" priority="631" operator="equal">
      <formula>1</formula>
    </cfRule>
  </conditionalFormatting>
  <conditionalFormatting sqref="U32">
    <cfRule type="cellIs" dxfId="681" priority="576" operator="equal">
      <formula>0</formula>
    </cfRule>
    <cfRule type="cellIs" dxfId="680" priority="577" operator="equal">
      <formula>1</formula>
    </cfRule>
  </conditionalFormatting>
  <conditionalFormatting sqref="U34">
    <cfRule type="cellIs" dxfId="679" priority="578" operator="equal">
      <formula>0</formula>
    </cfRule>
    <cfRule type="cellIs" dxfId="678" priority="579" operator="equal">
      <formula>1</formula>
    </cfRule>
  </conditionalFormatting>
  <conditionalFormatting sqref="U37:U38">
    <cfRule type="cellIs" dxfId="677" priority="566" operator="equal">
      <formula>0</formula>
    </cfRule>
    <cfRule type="cellIs" dxfId="676" priority="567" operator="equal">
      <formula>1</formula>
    </cfRule>
  </conditionalFormatting>
  <conditionalFormatting sqref="U42">
    <cfRule type="cellIs" dxfId="675" priority="590" operator="equal">
      <formula>0</formula>
    </cfRule>
    <cfRule type="cellIs" dxfId="674" priority="591" operator="equal">
      <formula>1</formula>
    </cfRule>
  </conditionalFormatting>
  <conditionalFormatting sqref="U44">
    <cfRule type="cellIs" dxfId="673" priority="592" operator="equal">
      <formula>0</formula>
    </cfRule>
    <cfRule type="cellIs" dxfId="672" priority="593" operator="equal">
      <formula>1</formula>
    </cfRule>
  </conditionalFormatting>
  <conditionalFormatting sqref="U47:U48">
    <cfRule type="cellIs" dxfId="671" priority="580" operator="equal">
      <formula>0</formula>
    </cfRule>
    <cfRule type="cellIs" dxfId="670" priority="581" operator="equal">
      <formula>1</formula>
    </cfRule>
  </conditionalFormatting>
  <conditionalFormatting sqref="U52">
    <cfRule type="cellIs" dxfId="669" priority="604" operator="equal">
      <formula>0</formula>
    </cfRule>
    <cfRule type="cellIs" dxfId="668" priority="605" operator="equal">
      <formula>1</formula>
    </cfRule>
  </conditionalFormatting>
  <conditionalFormatting sqref="U54">
    <cfRule type="cellIs" dxfId="667" priority="606" operator="equal">
      <formula>0</formula>
    </cfRule>
    <cfRule type="cellIs" dxfId="666" priority="607" operator="equal">
      <formula>1</formula>
    </cfRule>
  </conditionalFormatting>
  <conditionalFormatting sqref="U57:U58">
    <cfRule type="cellIs" dxfId="665" priority="594" operator="equal">
      <formula>0</formula>
    </cfRule>
    <cfRule type="cellIs" dxfId="664" priority="595" operator="equal">
      <formula>1</formula>
    </cfRule>
  </conditionalFormatting>
  <conditionalFormatting sqref="U62">
    <cfRule type="cellIs" dxfId="663" priority="618" operator="equal">
      <formula>0</formula>
    </cfRule>
    <cfRule type="cellIs" dxfId="662" priority="619" operator="equal">
      <formula>1</formula>
    </cfRule>
  </conditionalFormatting>
  <conditionalFormatting sqref="U64">
    <cfRule type="cellIs" dxfId="661" priority="620" operator="equal">
      <formula>0</formula>
    </cfRule>
    <cfRule type="cellIs" dxfId="660" priority="621" operator="equal">
      <formula>1</formula>
    </cfRule>
  </conditionalFormatting>
  <conditionalFormatting sqref="U72:X72">
    <cfRule type="cellIs" dxfId="659" priority="628" operator="equal">
      <formula>0</formula>
    </cfRule>
    <cfRule type="cellIs" dxfId="658" priority="629" operator="equal">
      <formula>1</formula>
    </cfRule>
  </conditionalFormatting>
  <conditionalFormatting sqref="U151:X151">
    <cfRule type="cellIs" dxfId="657" priority="32" operator="equal">
      <formula>0</formula>
    </cfRule>
    <cfRule type="cellIs" dxfId="656" priority="33" operator="equal">
      <formula>1</formula>
    </cfRule>
  </conditionalFormatting>
  <conditionalFormatting sqref="V7">
    <cfRule type="cellIs" dxfId="655" priority="434" operator="equal">
      <formula>0</formula>
    </cfRule>
    <cfRule type="cellIs" dxfId="654" priority="435" operator="equal">
      <formula>1</formula>
    </cfRule>
  </conditionalFormatting>
  <conditionalFormatting sqref="V9">
    <cfRule type="cellIs" dxfId="653" priority="436" operator="equal">
      <formula>0</formula>
    </cfRule>
    <cfRule type="cellIs" dxfId="652" priority="437" operator="equal">
      <formula>1</formula>
    </cfRule>
  </conditionalFormatting>
  <conditionalFormatting sqref="W25">
    <cfRule type="cellIs" dxfId="651" priority="624" operator="equal">
      <formula>0</formula>
    </cfRule>
    <cfRule type="cellIs" dxfId="650" priority="625" operator="equal">
      <formula>1</formula>
    </cfRule>
  </conditionalFormatting>
  <conditionalFormatting sqref="Z4">
    <cfRule type="cellIs" dxfId="649" priority="648" operator="equal">
      <formula>0</formula>
    </cfRule>
    <cfRule type="cellIs" dxfId="648" priority="649" operator="equal">
      <formula>1</formula>
    </cfRule>
  </conditionalFormatting>
  <conditionalFormatting sqref="Z16">
    <cfRule type="cellIs" dxfId="647" priority="450" operator="equal">
      <formula>0</formula>
    </cfRule>
    <cfRule type="cellIs" dxfId="646" priority="451" operator="equal">
      <formula>1</formula>
    </cfRule>
  </conditionalFormatting>
  <conditionalFormatting sqref="Z19">
    <cfRule type="cellIs" dxfId="645" priority="454" operator="equal">
      <formula>0</formula>
    </cfRule>
    <cfRule type="cellIs" dxfId="644" priority="455" operator="equal">
      <formula>1</formula>
    </cfRule>
  </conditionalFormatting>
  <conditionalFormatting sqref="Z21">
    <cfRule type="cellIs" dxfId="643" priority="456" operator="equal">
      <formula>0</formula>
    </cfRule>
    <cfRule type="cellIs" dxfId="642" priority="457" operator="equal">
      <formula>1</formula>
    </cfRule>
  </conditionalFormatting>
  <conditionalFormatting sqref="Z23">
    <cfRule type="cellIs" dxfId="641" priority="458" operator="equal">
      <formula>0</formula>
    </cfRule>
    <cfRule type="cellIs" dxfId="640" priority="459" operator="equal">
      <formula>1</formula>
    </cfRule>
  </conditionalFormatting>
  <conditionalFormatting sqref="AA7">
    <cfRule type="cellIs" dxfId="639" priority="638" operator="equal">
      <formula>0</formula>
    </cfRule>
    <cfRule type="cellIs" dxfId="638" priority="639" operator="equal">
      <formula>1</formula>
    </cfRule>
  </conditionalFormatting>
  <conditionalFormatting sqref="AA9">
    <cfRule type="cellIs" dxfId="637" priority="646" operator="equal">
      <formula>0</formula>
    </cfRule>
    <cfRule type="cellIs" dxfId="636" priority="647" operator="equal">
      <formula>1</formula>
    </cfRule>
  </conditionalFormatting>
  <conditionalFormatting sqref="AA12">
    <cfRule type="cellIs" dxfId="635" priority="654" operator="equal">
      <formula>0</formula>
    </cfRule>
    <cfRule type="cellIs" dxfId="634" priority="655" operator="equal">
      <formula>1</formula>
    </cfRule>
  </conditionalFormatting>
  <conditionalFormatting sqref="AA14">
    <cfRule type="cellIs" dxfId="633" priority="660" operator="equal">
      <formula>0</formula>
    </cfRule>
    <cfRule type="cellIs" dxfId="632" priority="661" operator="equal">
      <formula>1</formula>
    </cfRule>
  </conditionalFormatting>
  <conditionalFormatting sqref="AB4">
    <cfRule type="cellIs" dxfId="631" priority="650" operator="equal">
      <formula>0</formula>
    </cfRule>
    <cfRule type="cellIs" dxfId="630" priority="651" operator="equal">
      <formula>1</formula>
    </cfRule>
  </conditionalFormatting>
  <conditionalFormatting sqref="AB10">
    <cfRule type="cellIs" dxfId="629" priority="644" operator="equal">
      <formula>0</formula>
    </cfRule>
    <cfRule type="cellIs" dxfId="628" priority="645" operator="equal">
      <formula>1</formula>
    </cfRule>
  </conditionalFormatting>
  <conditionalFormatting sqref="AB16">
    <cfRule type="cellIs" dxfId="627" priority="452" operator="equal">
      <formula>0</formula>
    </cfRule>
    <cfRule type="cellIs" dxfId="626" priority="453" operator="equal">
      <formula>1</formula>
    </cfRule>
  </conditionalFormatting>
  <conditionalFormatting sqref="AB18">
    <cfRule type="cellIs" dxfId="625" priority="460" operator="equal">
      <formula>0</formula>
    </cfRule>
    <cfRule type="cellIs" dxfId="624" priority="461" operator="equal">
      <formula>1</formula>
    </cfRule>
  </conditionalFormatting>
  <conditionalFormatting sqref="AB23">
    <cfRule type="cellIs" dxfId="623" priority="462" operator="equal">
      <formula>0</formula>
    </cfRule>
    <cfRule type="cellIs" dxfId="622" priority="463" operator="equal">
      <formula>1</formula>
    </cfRule>
  </conditionalFormatting>
  <conditionalFormatting sqref="AB25">
    <cfRule type="cellIs" dxfId="621" priority="382" operator="equal">
      <formula>0</formula>
    </cfRule>
    <cfRule type="cellIs" dxfId="620" priority="383" operator="equal">
      <formula>1</formula>
    </cfRule>
  </conditionalFormatting>
  <conditionalFormatting sqref="AB50">
    <cfRule type="cellIs" dxfId="619" priority="216" operator="equal">
      <formula>0</formula>
    </cfRule>
    <cfRule type="cellIs" dxfId="618" priority="217" operator="equal">
      <formula>1</formula>
    </cfRule>
  </conditionalFormatting>
  <conditionalFormatting sqref="AB52">
    <cfRule type="cellIs" dxfId="617" priority="212" operator="equal">
      <formula>0</formula>
    </cfRule>
    <cfRule type="cellIs" dxfId="616" priority="213" operator="equal">
      <formula>1</formula>
    </cfRule>
  </conditionalFormatting>
  <conditionalFormatting sqref="AB54">
    <cfRule type="cellIs" dxfId="615" priority="192" operator="equal">
      <formula>0</formula>
    </cfRule>
    <cfRule type="cellIs" dxfId="614" priority="193" operator="equal">
      <formula>1</formula>
    </cfRule>
  </conditionalFormatting>
  <conditionalFormatting sqref="AB56">
    <cfRule type="cellIs" dxfId="613" priority="188" operator="equal">
      <formula>0</formula>
    </cfRule>
    <cfRule type="cellIs" dxfId="612" priority="189" operator="equal">
      <formula>1</formula>
    </cfRule>
  </conditionalFormatting>
  <conditionalFormatting sqref="AB58">
    <cfRule type="cellIs" dxfId="611" priority="186" operator="equal">
      <formula>0</formula>
    </cfRule>
    <cfRule type="cellIs" dxfId="610" priority="187" operator="equal">
      <formula>1</formula>
    </cfRule>
  </conditionalFormatting>
  <conditionalFormatting sqref="AB60">
    <cfRule type="cellIs" dxfId="609" priority="182" operator="equal">
      <formula>0</formula>
    </cfRule>
    <cfRule type="cellIs" dxfId="608" priority="183" operator="equal">
      <formula>1</formula>
    </cfRule>
  </conditionalFormatting>
  <conditionalFormatting sqref="AB62">
    <cfRule type="cellIs" dxfId="607" priority="180" operator="equal">
      <formula>0</formula>
    </cfRule>
    <cfRule type="cellIs" dxfId="606" priority="181" operator="equal">
      <formula>1</formula>
    </cfRule>
  </conditionalFormatting>
  <conditionalFormatting sqref="AB64">
    <cfRule type="cellIs" dxfId="605" priority="176" operator="equal">
      <formula>0</formula>
    </cfRule>
    <cfRule type="cellIs" dxfId="604" priority="177" operator="equal">
      <formula>1</formula>
    </cfRule>
  </conditionalFormatting>
  <conditionalFormatting sqref="AB33:AE34">
    <cfRule type="cellIs" dxfId="603" priority="294" operator="equal">
      <formula>0</formula>
    </cfRule>
    <cfRule type="cellIs" dxfId="602" priority="295" operator="equal">
      <formula>1</formula>
    </cfRule>
  </conditionalFormatting>
  <conditionalFormatting sqref="AB36:AE36">
    <cfRule type="cellIs" dxfId="601" priority="224" operator="equal">
      <formula>0</formula>
    </cfRule>
    <cfRule type="cellIs" dxfId="600" priority="225" operator="equal">
      <formula>1</formula>
    </cfRule>
  </conditionalFormatting>
  <conditionalFormatting sqref="AB38:AE38">
    <cfRule type="cellIs" dxfId="599" priority="238" operator="equal">
      <formula>0</formula>
    </cfRule>
    <cfRule type="cellIs" dxfId="598" priority="239" operator="equal">
      <formula>1</formula>
    </cfRule>
  </conditionalFormatting>
  <conditionalFormatting sqref="AB40:AE41">
    <cfRule type="cellIs" dxfId="597" priority="278" operator="equal">
      <formula>0</formula>
    </cfRule>
    <cfRule type="cellIs" dxfId="596" priority="279" operator="equal">
      <formula>1</formula>
    </cfRule>
  </conditionalFormatting>
  <conditionalFormatting sqref="AB43:AE43">
    <cfRule type="cellIs" dxfId="595" priority="244" operator="equal">
      <formula>0</formula>
    </cfRule>
    <cfRule type="cellIs" dxfId="594" priority="245" operator="equal">
      <formula>1</formula>
    </cfRule>
  </conditionalFormatting>
  <conditionalFormatting sqref="AB45:AE45">
    <cfRule type="cellIs" dxfId="593" priority="256" operator="equal">
      <formula>0</formula>
    </cfRule>
    <cfRule type="cellIs" dxfId="592" priority="257" operator="equal">
      <formula>1</formula>
    </cfRule>
  </conditionalFormatting>
  <conditionalFormatting sqref="AB47:AE48">
    <cfRule type="cellIs" dxfId="591" priority="222" operator="equal">
      <formula>0</formula>
    </cfRule>
    <cfRule type="cellIs" dxfId="590" priority="223" operator="equal">
      <formula>1</formula>
    </cfRule>
  </conditionalFormatting>
  <conditionalFormatting sqref="AB66:AE66">
    <cfRule type="cellIs" dxfId="589" priority="218" operator="equal">
      <formula>0</formula>
    </cfRule>
    <cfRule type="cellIs" dxfId="588" priority="219" operator="equal">
      <formula>1</formula>
    </cfRule>
  </conditionalFormatting>
  <conditionalFormatting sqref="AC6">
    <cfRule type="cellIs" dxfId="587" priority="640" operator="equal">
      <formula>0</formula>
    </cfRule>
    <cfRule type="cellIs" dxfId="586" priority="641" operator="equal">
      <formula>1</formula>
    </cfRule>
  </conditionalFormatting>
  <conditionalFormatting sqref="AC8">
    <cfRule type="cellIs" dxfId="585" priority="642" operator="equal">
      <formula>0</formula>
    </cfRule>
    <cfRule type="cellIs" dxfId="584" priority="643" operator="equal">
      <formula>1</formula>
    </cfRule>
  </conditionalFormatting>
  <conditionalFormatting sqref="AC14">
    <cfRule type="cellIs" dxfId="583" priority="658" operator="equal">
      <formula>0</formula>
    </cfRule>
    <cfRule type="cellIs" dxfId="582" priority="659" operator="equal">
      <formula>1</formula>
    </cfRule>
  </conditionalFormatting>
  <conditionalFormatting sqref="AC27">
    <cfRule type="cellIs" dxfId="581" priority="376" operator="equal">
      <formula>0</formula>
    </cfRule>
    <cfRule type="cellIs" dxfId="580" priority="377" operator="equal">
      <formula>1</formula>
    </cfRule>
  </conditionalFormatting>
  <conditionalFormatting sqref="AC29">
    <cfRule type="cellIs" dxfId="579" priority="370" operator="equal">
      <formula>0</formula>
    </cfRule>
    <cfRule type="cellIs" dxfId="578" priority="371" operator="equal">
      <formula>1</formula>
    </cfRule>
  </conditionalFormatting>
  <conditionalFormatting sqref="AC31">
    <cfRule type="cellIs" dxfId="577" priority="368" operator="equal">
      <formula>0</formula>
    </cfRule>
    <cfRule type="cellIs" dxfId="576" priority="369" operator="equal">
      <formula>1</formula>
    </cfRule>
  </conditionalFormatting>
  <conditionalFormatting sqref="AC51:AD51">
    <cfRule type="cellIs" dxfId="575" priority="214" operator="equal">
      <formula>0</formula>
    </cfRule>
    <cfRule type="cellIs" dxfId="574" priority="215" operator="equal">
      <formula>1</formula>
    </cfRule>
  </conditionalFormatting>
  <conditionalFormatting sqref="AC55:AD55">
    <cfRule type="cellIs" dxfId="573" priority="190" operator="equal">
      <formula>0</formula>
    </cfRule>
    <cfRule type="cellIs" dxfId="572" priority="191" operator="equal">
      <formula>1</formula>
    </cfRule>
  </conditionalFormatting>
  <conditionalFormatting sqref="AC59:AD59">
    <cfRule type="cellIs" dxfId="571" priority="184" operator="equal">
      <formula>0</formula>
    </cfRule>
    <cfRule type="cellIs" dxfId="570" priority="185" operator="equal">
      <formula>1</formula>
    </cfRule>
  </conditionalFormatting>
  <conditionalFormatting sqref="AC63:AD63">
    <cfRule type="cellIs" dxfId="569" priority="178" operator="equal">
      <formula>0</formula>
    </cfRule>
    <cfRule type="cellIs" dxfId="568" priority="179" operator="equal">
      <formula>1</formula>
    </cfRule>
  </conditionalFormatting>
  <conditionalFormatting sqref="AD4">
    <cfRule type="cellIs" dxfId="567" priority="652" operator="equal">
      <formula>0</formula>
    </cfRule>
    <cfRule type="cellIs" dxfId="566" priority="653" operator="equal">
      <formula>1</formula>
    </cfRule>
  </conditionalFormatting>
  <conditionalFormatting sqref="AD7">
    <cfRule type="cellIs" dxfId="565" priority="656" operator="equal">
      <formula>0</formula>
    </cfRule>
    <cfRule type="cellIs" dxfId="564" priority="657" operator="equal">
      <formula>1</formula>
    </cfRule>
  </conditionalFormatting>
  <conditionalFormatting sqref="AD25">
    <cfRule type="cellIs" dxfId="563" priority="380" operator="equal">
      <formula>0</formula>
    </cfRule>
    <cfRule type="cellIs" dxfId="562" priority="381" operator="equal">
      <formula>1</formula>
    </cfRule>
  </conditionalFormatting>
  <conditionalFormatting sqref="AD28:AE28">
    <cfRule type="cellIs" dxfId="561" priority="372" operator="equal">
      <formula>0</formula>
    </cfRule>
    <cfRule type="cellIs" dxfId="560" priority="373" operator="equal">
      <formula>1</formula>
    </cfRule>
  </conditionalFormatting>
  <conditionalFormatting sqref="AF25">
    <cfRule type="cellIs" dxfId="559" priority="378" operator="equal">
      <formula>0</formula>
    </cfRule>
    <cfRule type="cellIs" dxfId="558" priority="379" operator="equal">
      <formula>1</formula>
    </cfRule>
  </conditionalFormatting>
  <conditionalFormatting sqref="AG47">
    <cfRule type="cellIs" dxfId="557" priority="220" operator="equal">
      <formula>0</formula>
    </cfRule>
    <cfRule type="cellIs" dxfId="556" priority="221" operator="equal">
      <formula>1</formula>
    </cfRule>
  </conditionalFormatting>
  <conditionalFormatting sqref="H88">
    <cfRule type="cellIs" dxfId="555" priority="22" operator="equal">
      <formula>0</formula>
    </cfRule>
    <cfRule type="cellIs" dxfId="554" priority="23" operator="equal">
      <formula>1</formula>
    </cfRule>
  </conditionalFormatting>
  <conditionalFormatting sqref="H87">
    <cfRule type="cellIs" dxfId="553" priority="20" operator="equal">
      <formula>0</formula>
    </cfRule>
    <cfRule type="cellIs" dxfId="552" priority="21" operator="equal">
      <formula>1</formula>
    </cfRule>
  </conditionalFormatting>
  <conditionalFormatting sqref="F87">
    <cfRule type="cellIs" dxfId="551" priority="18" operator="equal">
      <formula>0</formula>
    </cfRule>
    <cfRule type="cellIs" dxfId="550" priority="19" operator="equal">
      <formula>1</formula>
    </cfRule>
  </conditionalFormatting>
  <conditionalFormatting sqref="I87:K87">
    <cfRule type="cellIs" dxfId="549" priority="16" operator="equal">
      <formula>0</formula>
    </cfRule>
    <cfRule type="cellIs" dxfId="548" priority="17" operator="equal">
      <formula>1</formula>
    </cfRule>
  </conditionalFormatting>
  <conditionalFormatting sqref="I88:K88">
    <cfRule type="cellIs" dxfId="547" priority="14" operator="equal">
      <formula>0</formula>
    </cfRule>
    <cfRule type="cellIs" dxfId="546" priority="15" operator="equal">
      <formula>1</formula>
    </cfRule>
  </conditionalFormatting>
  <conditionalFormatting sqref="F91">
    <cfRule type="containsText" dxfId="544" priority="11" operator="containsText" text="0000">
      <formula>NOT(ISERROR(SEARCH("0000",F91)))</formula>
    </cfRule>
    <cfRule type="cellIs" dxfId="545" priority="12" operator="greaterThan">
      <formula>0</formula>
    </cfRule>
  </conditionalFormatting>
  <conditionalFormatting sqref="G91:K91">
    <cfRule type="containsText" dxfId="59" priority="9" operator="containsText" text="0000">
      <formula>NOT(ISERROR(SEARCH("0000",G91)))</formula>
    </cfRule>
    <cfRule type="cellIs" dxfId="58" priority="10" operator="greaterThan">
      <formula>0</formula>
    </cfRule>
  </conditionalFormatting>
  <conditionalFormatting sqref="F92:K92">
    <cfRule type="containsText" dxfId="57" priority="7" operator="containsText" text="0000">
      <formula>NOT(ISERROR(SEARCH("0000",F92)))</formula>
    </cfRule>
    <cfRule type="cellIs" dxfId="56" priority="8" operator="greaterThan">
      <formula>0</formula>
    </cfRule>
  </conditionalFormatting>
  <conditionalFormatting sqref="F93:K93">
    <cfRule type="containsText" dxfId="55" priority="5" operator="containsText" text="0000">
      <formula>NOT(ISERROR(SEARCH("0000",F93)))</formula>
    </cfRule>
    <cfRule type="cellIs" dxfId="54" priority="6" operator="greaterThan">
      <formula>0</formula>
    </cfRule>
  </conditionalFormatting>
  <conditionalFormatting sqref="F94:K94">
    <cfRule type="containsText" dxfId="53" priority="3" operator="containsText" text="0000">
      <formula>NOT(ISERROR(SEARCH("0000",F94)))</formula>
    </cfRule>
    <cfRule type="cellIs" dxfId="52" priority="4" operator="greaterThan">
      <formula>0</formula>
    </cfRule>
  </conditionalFormatting>
  <conditionalFormatting sqref="F95:K95">
    <cfRule type="containsText" dxfId="51" priority="1" operator="containsText" text="0000">
      <formula>NOT(ISERROR(SEARCH("0000",F95)))</formula>
    </cfRule>
    <cfRule type="cellIs" dxfId="50" priority="2" operator="greaterThan">
      <formula>0</formula>
    </cfRule>
  </conditionalFormatting>
  <pageMargins left="0.7" right="0.7" top="0.75" bottom="0.75" header="0" footer="0"/>
  <pageSetup orientation="portrait" r:id="rId1"/>
  <ignoredErrors>
    <ignoredError sqref="G82:H82 H81 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A7" sqref="A1:G7"/>
    </sheetView>
  </sheetViews>
  <sheetFormatPr defaultRowHeight="15" x14ac:dyDescent="0.25"/>
  <cols>
    <col min="6" max="7" width="9.1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spans="1:15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Logic Gate Sheet</vt:lpstr>
      <vt:lpstr>Memory</vt:lpstr>
      <vt:lpstr>Board</vt:lpstr>
      <vt:lpstr>AND.1</vt:lpstr>
      <vt:lpstr>AND.2</vt:lpstr>
      <vt:lpstr>CLOCK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2024-03-21T19:51:56Z</dcterms:modified>
</cp:coreProperties>
</file>