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1254b2adda01ee9/Documents/"/>
    </mc:Choice>
  </mc:AlternateContent>
  <xr:revisionPtr revIDLastSave="94" documentId="8_{820F9D10-77B0-4709-9628-15C6E1201238}" xr6:coauthVersionLast="47" xr6:coauthVersionMax="47" xr10:uidLastSave="{3CF32E0E-0592-4BA1-B680-FBC02A7EA0BE}"/>
  <bookViews>
    <workbookView xWindow="-108" yWindow="-108" windowWidth="23256" windowHeight="13176" xr2:uid="{00000000-000D-0000-FFFF-FFFF00000000}"/>
  </bookViews>
  <sheets>
    <sheet name="Logic Gate Sheet" sheetId="1" r:id="rId1"/>
    <sheet name="Memory" sheetId="3" r:id="rId2"/>
    <sheet name="Board" sheetId="2" r:id="rId3"/>
  </sheets>
  <definedNames>
    <definedName name="AND.1">'Logic Gate Sheet'!$K$6</definedName>
    <definedName name="AND.2">'Logic Gate Sheet'!$K$8</definedName>
    <definedName name="CLOCK">'Logic Gate Sheet'!$A$1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RESET">'Logic Gate Sheet'!$E$1</definedName>
  </definedNames>
  <calcPr calcId="191029" iterate="1" iterateCount="1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U87" i="1" l="1"/>
  <c r="H83" i="1"/>
  <c r="H84" i="1"/>
  <c r="H79" i="1" a="1"/>
  <c r="H79" i="1" l="1"/>
  <c r="L130" i="1"/>
  <c r="L132" i="1" s="1"/>
  <c r="L120" i="1"/>
  <c r="L122" i="1" s="1"/>
  <c r="U141" i="1"/>
  <c r="U137" i="1"/>
  <c r="U133" i="1"/>
  <c r="U129" i="1"/>
  <c r="U123" i="1"/>
  <c r="U119" i="1"/>
  <c r="T119" i="1" s="1"/>
  <c r="U115" i="1"/>
  <c r="U111" i="1"/>
  <c r="T111" i="1" s="1"/>
  <c r="L100" i="1"/>
  <c r="L102" i="1" s="1"/>
  <c r="K102" i="1"/>
  <c r="AC59" i="1"/>
  <c r="AD59" i="1"/>
  <c r="T123" i="1"/>
  <c r="T115" i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J102" i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I37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S116" i="1" l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 l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V81" i="1" a="1"/>
  <c r="V81" i="1"/>
  <c r="P85" i="1"/>
  <c r="R85" i="1"/>
  <c r="P89" i="1"/>
  <c r="R8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<sst xmlns="http://schemas.openxmlformats.org/spreadsheetml/2006/main" count="205" uniqueCount="69">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</sst>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5" fillId="0" borderId="0" xfId="0" applyFont="1" applyAlignment="1">
      <alignment horizontal="center"/>
    </xf>
    <xf numFmtId="0" fontId="6" fillId="0" borderId="0" xfId="0" applyFont="1"/>
    <xf numFmtId="0" fontId="5" fillId="2" borderId="1" xfId="0" applyFont="1" applyFill="1" applyBorder="1"/>
    <xf numFmtId="0" fontId="5" fillId="2" borderId="2" xfId="0" applyFont="1" applyFill="1" applyBorder="1"/>
    <xf numFmtId="0" fontId="5" fillId="3" borderId="2" xfId="0" applyFont="1" applyFill="1" applyBorder="1"/>
    <xf numFmtId="0" fontId="5" fillId="0" borderId="3" xfId="0" applyFont="1" applyBorder="1" applyAlignment="1">
      <alignment horizontal="center"/>
    </xf>
    <xf numFmtId="0" fontId="5" fillId="2" borderId="4" xfId="0" applyFont="1" applyFill="1" applyBorder="1"/>
    <xf numFmtId="0" fontId="5" fillId="2" borderId="5" xfId="0" applyFont="1" applyFill="1" applyBorder="1"/>
    <xf numFmtId="0" fontId="5" fillId="0" borderId="6" xfId="0" applyFont="1" applyBorder="1" applyAlignment="1">
      <alignment horizontal="center"/>
    </xf>
    <xf numFmtId="0" fontId="5" fillId="2" borderId="7" xfId="0" applyFont="1" applyFill="1" applyBorder="1"/>
    <xf numFmtId="0" fontId="5" fillId="2" borderId="8" xfId="0" applyFont="1" applyFill="1" applyBorder="1"/>
    <xf numFmtId="0" fontId="5" fillId="3" borderId="9" xfId="0" applyFont="1" applyFill="1" applyBorder="1"/>
    <xf numFmtId="0" fontId="5" fillId="2" borderId="10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4" xfId="0" applyFont="1" applyFill="1" applyBorder="1"/>
    <xf numFmtId="0" fontId="5" fillId="2" borderId="15" xfId="0" applyFont="1" applyFill="1" applyBorder="1"/>
    <xf numFmtId="0" fontId="5" fillId="2" borderId="18" xfId="0" applyFont="1" applyFill="1" applyBorder="1"/>
    <xf numFmtId="0" fontId="5" fillId="2" borderId="19" xfId="0" applyFont="1" applyFill="1" applyBorder="1"/>
    <xf numFmtId="0" fontId="5" fillId="2" borderId="22" xfId="0" applyFont="1" applyFill="1" applyBorder="1"/>
    <xf numFmtId="0" fontId="5" fillId="2" borderId="27" xfId="0" applyFont="1" applyFill="1" applyBorder="1"/>
    <xf numFmtId="0" fontId="5" fillId="2" borderId="9" xfId="0" applyFont="1" applyFill="1" applyBorder="1"/>
    <xf numFmtId="0" fontId="5" fillId="2" borderId="28" xfId="0" applyFont="1" applyFill="1" applyBorder="1"/>
    <xf numFmtId="0" fontId="5" fillId="2" borderId="29" xfId="0" applyFont="1" applyFill="1" applyBorder="1"/>
    <xf numFmtId="0" fontId="5" fillId="0" borderId="30" xfId="0" applyFont="1" applyBorder="1" applyAlignment="1">
      <alignment horizontal="center"/>
    </xf>
    <xf numFmtId="0" fontId="5" fillId="2" borderId="34" xfId="0" applyFont="1" applyFill="1" applyBorder="1"/>
    <xf numFmtId="0" fontId="5" fillId="3" borderId="35" xfId="0" applyFont="1" applyFill="1" applyBorder="1"/>
    <xf numFmtId="0" fontId="5" fillId="0" borderId="36" xfId="0" applyFont="1" applyBorder="1" applyAlignment="1">
      <alignment horizontal="center"/>
    </xf>
    <xf numFmtId="0" fontId="5" fillId="2" borderId="37" xfId="0" applyFont="1" applyFill="1" applyBorder="1"/>
    <xf numFmtId="0" fontId="5" fillId="0" borderId="40" xfId="0" applyFont="1" applyBorder="1" applyAlignment="1">
      <alignment horizontal="center"/>
    </xf>
    <xf numFmtId="0" fontId="5" fillId="2" borderId="43" xfId="0" applyFont="1" applyFill="1" applyBorder="1"/>
    <xf numFmtId="0" fontId="5" fillId="2" borderId="44" xfId="0" applyFont="1" applyFill="1" applyBorder="1"/>
    <xf numFmtId="0" fontId="5" fillId="2" borderId="45" xfId="0" applyFont="1" applyFill="1" applyBorder="1"/>
    <xf numFmtId="0" fontId="5" fillId="2" borderId="46" xfId="0" applyFont="1" applyFill="1" applyBorder="1"/>
    <xf numFmtId="0" fontId="5" fillId="2" borderId="48" xfId="0" applyFont="1" applyFill="1" applyBorder="1"/>
    <xf numFmtId="0" fontId="5" fillId="2" borderId="49" xfId="0" applyFont="1" applyFill="1" applyBorder="1"/>
    <xf numFmtId="0" fontId="5" fillId="2" borderId="51" xfId="0" applyFont="1" applyFill="1" applyBorder="1"/>
    <xf numFmtId="0" fontId="5" fillId="2" borderId="54" xfId="0" applyFont="1" applyFill="1" applyBorder="1"/>
    <xf numFmtId="0" fontId="5" fillId="2" borderId="35" xfId="0" applyFont="1" applyFill="1" applyBorder="1"/>
    <xf numFmtId="0" fontId="5" fillId="2" borderId="56" xfId="0" applyFont="1" applyFill="1" applyBorder="1"/>
    <xf numFmtId="0" fontId="5" fillId="2" borderId="57" xfId="0" applyFont="1" applyFill="1" applyBorder="1"/>
    <xf numFmtId="0" fontId="5" fillId="2" borderId="58" xfId="0" applyFont="1" applyFill="1" applyBorder="1"/>
    <xf numFmtId="0" fontId="5" fillId="2" borderId="59" xfId="0" applyFont="1" applyFill="1" applyBorder="1"/>
    <xf numFmtId="0" fontId="5" fillId="2" borderId="60" xfId="0" applyFont="1" applyFill="1" applyBorder="1"/>
    <xf numFmtId="0" fontId="7" fillId="3" borderId="57" xfId="0" applyFont="1" applyFill="1" applyBorder="1"/>
    <xf numFmtId="0" fontId="5" fillId="0" borderId="64" xfId="0" applyFont="1" applyBorder="1" applyAlignment="1">
      <alignment horizontal="center"/>
    </xf>
    <xf numFmtId="0" fontId="5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5" fillId="0" borderId="65" xfId="0" applyFont="1" applyBorder="1" applyAlignment="1">
      <alignment horizontal="center"/>
    </xf>
    <xf numFmtId="0" fontId="5" fillId="0" borderId="61" xfId="0" applyFont="1" applyBorder="1" applyAlignment="1">
      <alignment horizontal="center"/>
    </xf>
    <xf numFmtId="0" fontId="5" fillId="2" borderId="72" xfId="0" applyFont="1" applyFill="1" applyBorder="1"/>
    <xf numFmtId="0" fontId="5" fillId="2" borderId="73" xfId="0" applyFont="1" applyFill="1" applyBorder="1"/>
    <xf numFmtId="0" fontId="5" fillId="3" borderId="74" xfId="0" applyFont="1" applyFill="1" applyBorder="1"/>
    <xf numFmtId="0" fontId="5" fillId="3" borderId="47" xfId="0" applyFont="1" applyFill="1" applyBorder="1"/>
    <xf numFmtId="0" fontId="5" fillId="0" borderId="58" xfId="0" applyFont="1" applyBorder="1" applyAlignment="1">
      <alignment horizontal="center"/>
    </xf>
    <xf numFmtId="0" fontId="5" fillId="2" borderId="76" xfId="0" applyFont="1" applyFill="1" applyBorder="1"/>
    <xf numFmtId="0" fontId="5" fillId="2" borderId="65" xfId="0" applyFont="1" applyFill="1" applyBorder="1"/>
    <xf numFmtId="0" fontId="5" fillId="2" borderId="30" xfId="0" applyFont="1" applyFill="1" applyBorder="1"/>
    <xf numFmtId="0" fontId="5" fillId="2" borderId="61" xfId="0" applyFont="1" applyFill="1" applyBorder="1"/>
    <xf numFmtId="0" fontId="5" fillId="2" borderId="75" xfId="0" applyFont="1" applyFill="1" applyBorder="1"/>
    <xf numFmtId="0" fontId="5" fillId="2" borderId="77" xfId="0" applyFont="1" applyFill="1" applyBorder="1"/>
    <xf numFmtId="0" fontId="4" fillId="0" borderId="0" xfId="0" applyFont="1"/>
    <xf numFmtId="0" fontId="9" fillId="0" borderId="65" xfId="0" applyFont="1" applyBorder="1" applyAlignment="1">
      <alignment horizontal="center"/>
    </xf>
    <xf numFmtId="0" fontId="3" fillId="0" borderId="61" xfId="0" applyFont="1" applyBorder="1"/>
    <xf numFmtId="0" fontId="2" fillId="0" borderId="61" xfId="0" applyFont="1" applyBorder="1"/>
    <xf numFmtId="16" fontId="5" fillId="3" borderId="53" xfId="0" applyNumberFormat="1" applyFont="1" applyFill="1" applyBorder="1" applyAlignment="1">
      <alignment horizontal="center" vertical="center" wrapText="1"/>
    </xf>
    <xf numFmtId="0" fontId="8" fillId="0" borderId="25" xfId="0" applyFont="1" applyBorder="1"/>
    <xf numFmtId="0" fontId="8" fillId="0" borderId="55" xfId="0" applyFont="1" applyBorder="1"/>
    <xf numFmtId="0" fontId="7" fillId="3" borderId="75" xfId="0" applyFont="1" applyFill="1" applyBorder="1" applyAlignment="1">
      <alignment horizontal="center" vertical="center" wrapText="1"/>
    </xf>
    <xf numFmtId="0" fontId="8" fillId="0" borderId="26" xfId="0" applyFont="1" applyBorder="1"/>
    <xf numFmtId="0" fontId="5" fillId="3" borderId="17" xfId="0" applyFont="1" applyFill="1" applyBorder="1" applyAlignment="1">
      <alignment horizontal="center" vertical="center" wrapText="1"/>
    </xf>
    <xf numFmtId="0" fontId="8" fillId="0" borderId="21" xfId="0" applyFont="1" applyBorder="1"/>
    <xf numFmtId="0" fontId="8" fillId="0" borderId="23" xfId="0" applyFont="1" applyBorder="1"/>
    <xf numFmtId="0" fontId="10" fillId="3" borderId="68" xfId="0" applyFont="1" applyFill="1" applyBorder="1" applyAlignment="1">
      <alignment horizontal="center" vertical="center" wrapText="1"/>
    </xf>
    <xf numFmtId="0" fontId="10" fillId="3" borderId="66" xfId="0" applyFont="1" applyFill="1" applyBorder="1" applyAlignment="1">
      <alignment horizontal="center" vertical="center" wrapText="1"/>
    </xf>
    <xf numFmtId="0" fontId="9" fillId="3" borderId="68" xfId="0" applyFont="1" applyFill="1" applyBorder="1" applyAlignment="1">
      <alignment horizontal="center" vertical="center" wrapText="1"/>
    </xf>
    <xf numFmtId="0" fontId="9" fillId="3" borderId="6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/>
    </xf>
    <xf numFmtId="0" fontId="8" fillId="0" borderId="61" xfId="0" applyFont="1" applyBorder="1"/>
    <xf numFmtId="0" fontId="5" fillId="3" borderId="62" xfId="0" applyFont="1" applyFill="1" applyBorder="1" applyAlignment="1">
      <alignment horizontal="center" vertical="center" wrapText="1"/>
    </xf>
    <xf numFmtId="0" fontId="8" fillId="0" borderId="63" xfId="0" applyFont="1" applyBorder="1"/>
    <xf numFmtId="0" fontId="5" fillId="3" borderId="24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8" fillId="0" borderId="32" xfId="0" applyFont="1" applyBorder="1"/>
    <xf numFmtId="0" fontId="8" fillId="0" borderId="33" xfId="0" applyFont="1" applyBorder="1"/>
    <xf numFmtId="0" fontId="8" fillId="0" borderId="38" xfId="0" applyFont="1" applyBorder="1"/>
    <xf numFmtId="0" fontId="0" fillId="0" borderId="0" xfId="0"/>
    <xf numFmtId="0" fontId="8" fillId="0" borderId="39" xfId="0" applyFont="1" applyBorder="1"/>
    <xf numFmtId="0" fontId="8" fillId="0" borderId="41" xfId="0" applyFont="1" applyBorder="1"/>
    <xf numFmtId="0" fontId="8" fillId="0" borderId="36" xfId="0" applyFont="1" applyBorder="1"/>
    <xf numFmtId="0" fontId="8" fillId="0" borderId="42" xfId="0" applyFont="1" applyBorder="1"/>
    <xf numFmtId="0" fontId="5" fillId="3" borderId="47" xfId="0" applyFont="1" applyFill="1" applyBorder="1" applyAlignment="1">
      <alignment horizontal="center" vertical="center" wrapText="1"/>
    </xf>
    <xf numFmtId="0" fontId="8" fillId="0" borderId="50" xfId="0" applyFont="1" applyBorder="1"/>
    <xf numFmtId="0" fontId="8" fillId="0" borderId="52" xfId="0" applyFont="1" applyBorder="1"/>
    <xf numFmtId="0" fontId="5" fillId="3" borderId="53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 wrapText="1"/>
    </xf>
    <xf numFmtId="0" fontId="8" fillId="0" borderId="16" xfId="0" applyFont="1" applyBorder="1"/>
    <xf numFmtId="0" fontId="8" fillId="0" borderId="20" xfId="0" applyFont="1" applyBorder="1"/>
    <xf numFmtId="0" fontId="10" fillId="3" borderId="66" xfId="0" applyFont="1" applyFill="1" applyBorder="1" applyAlignment="1">
      <alignment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5" fillId="3" borderId="64" xfId="0" applyFont="1" applyFill="1" applyBorder="1" applyAlignment="1">
      <alignment horizontal="center"/>
    </xf>
    <xf numFmtId="0" fontId="5" fillId="3" borderId="61" xfId="0" applyFont="1" applyFill="1" applyBorder="1" applyAlignment="1">
      <alignment horizontal="center"/>
    </xf>
    <xf numFmtId="0" fontId="5" fillId="3" borderId="27" xfId="0" applyFont="1" applyFill="1" applyBorder="1" applyAlignment="1">
      <alignment horizontal="center"/>
    </xf>
    <xf numFmtId="0" fontId="11" fillId="3" borderId="65" xfId="0" applyFont="1" applyFill="1" applyBorder="1" applyAlignment="1">
      <alignment horizontal="center" vertical="center" wrapText="1"/>
    </xf>
    <xf numFmtId="0" fontId="11" fillId="3" borderId="61" xfId="0" applyFont="1" applyFill="1" applyBorder="1" applyAlignment="1">
      <alignment horizontal="center" vertical="center" wrapText="1"/>
    </xf>
    <xf numFmtId="0" fontId="1" fillId="0" borderId="61" xfId="0" applyFont="1" applyBorder="1"/>
    <xf numFmtId="0" fontId="1" fillId="0" borderId="0" xfId="0" applyFont="1"/>
    <xf numFmtId="0" fontId="1" fillId="0" borderId="69" xfId="0" applyFont="1" applyBorder="1"/>
    <xf numFmtId="0" fontId="1" fillId="0" borderId="70" xfId="0" applyFont="1" applyBorder="1" applyAlignment="1">
      <alignment horizontal="center" vertical="center"/>
    </xf>
    <xf numFmtId="0" fontId="1" fillId="0" borderId="71" xfId="0" applyFon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" fillId="0" borderId="67" xfId="0" applyFont="1" applyBorder="1"/>
    <xf numFmtId="0" fontId="2" fillId="0" borderId="65" xfId="0" applyFont="1" applyBorder="1"/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1" fillId="0" borderId="70" xfId="0" applyNumberFormat="1" applyFont="1" applyBorder="1"/>
    <xf numFmtId="49" fontId="1" fillId="0" borderId="64" xfId="0" applyNumberFormat="1" applyFont="1" applyBorder="1"/>
    <xf numFmtId="49" fontId="0" fillId="0" borderId="68" xfId="0" applyNumberFormat="1" applyBorder="1"/>
  </cellXfs>
  <cellStyles count="1">
    <cellStyle name="Normal" xfId="0" builtinId="0"/>
  </cellStyles>
  <dxfs count="472"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17/10/relationships/person" Target="persons/perso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3"/>
  <sheetViews>
    <sheetView tabSelected="1" topLeftCell="A73" zoomScale="82" zoomScaleNormal="100" workbookViewId="0">
      <selection activeCell="F90" sqref="F90"/>
    </sheetView>
  </sheetViews>
  <sheetFormatPr defaultColWidth="8.6640625" defaultRowHeight="15" customHeight="1" x14ac:dyDescent="0.3"/>
  <cols>
    <col min="10" max="11" width="8.6640625" customWidth="1"/>
  </cols>
  <sheetData>
    <row r="1" spans="1:32" ht="15" customHeight="1" x14ac:dyDescent="0.3">
      <c r="A1" s="1">
        <f ca="1">IF(A1 = 1, 0, IF(A1 = 0, 1))</f>
        <v>1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3">
      <c r="A2" s="1"/>
      <c r="C2" s="1"/>
    </row>
    <row r="3" spans="1:32" ht="15" customHeight="1" x14ac:dyDescent="0.3">
      <c r="A3" s="1">
        <f ca="1">IF(A1=1, 1, 0)</f>
        <v>1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3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1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3">
      <c r="A5" s="1">
        <f ca="1">IF(A3 = 1, 0, 1)</f>
        <v>0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0</v>
      </c>
      <c r="K5" s="12"/>
      <c r="L5" s="13"/>
      <c r="M5" s="104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3">
      <c r="A6" s="1"/>
      <c r="G6" s="15"/>
      <c r="H6" s="11"/>
      <c r="I6" s="12"/>
      <c r="J6" s="12"/>
      <c r="K6" s="1">
        <f ca="1">IF(AND(JK.1 = 1, JK.2 = 1), 1, 0)</f>
        <v>0</v>
      </c>
      <c r="L6" s="13"/>
      <c r="M6" s="105"/>
      <c r="N6" s="13"/>
      <c r="O6" s="13"/>
      <c r="P6" s="13"/>
      <c r="Q6" s="14"/>
      <c r="S6" s="15"/>
      <c r="T6" s="13"/>
      <c r="U6" s="13"/>
      <c r="V6" s="13"/>
      <c r="W6" s="13"/>
      <c r="X6" s="79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3">
      <c r="A7" s="1">
        <f ca="1">IF(AND(A3 = 1, C3 = 1), 1, 0)</f>
        <v>1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1</v>
      </c>
      <c r="K7" s="12"/>
      <c r="L7" s="13"/>
      <c r="M7" s="106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80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3">
      <c r="A8" s="1"/>
      <c r="G8" s="20"/>
      <c r="H8" s="19"/>
      <c r="I8" s="12"/>
      <c r="J8" s="12"/>
      <c r="K8" s="1">
        <f t="array" aca="1" ref="K8" ca="1">IF(AND(AND.1 = 1, JK.3 = 1), 1, 0)</f>
        <v>0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81"/>
      <c r="Z8" s="18"/>
      <c r="AA8" s="12"/>
      <c r="AB8" s="12"/>
      <c r="AC8" s="1">
        <f>IF(AC6 = 1, 0, 1)</f>
        <v>1</v>
      </c>
      <c r="AD8" s="12"/>
      <c r="AE8" s="17"/>
      <c r="AF8" s="90" t="s">
        <v>12</v>
      </c>
    </row>
    <row r="9" spans="1:32" ht="15" customHeight="1" x14ac:dyDescent="0.3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0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75"/>
    </row>
    <row r="10" spans="1:32" ht="15" customHeight="1" x14ac:dyDescent="0.3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78"/>
    </row>
    <row r="11" spans="1:32" ht="15" customHeight="1" x14ac:dyDescent="0.3">
      <c r="A11" s="1">
        <f ca="1">IF(_xlfn.XOR(A3 = 1, C3 = 1), 1, 0)</f>
        <v>0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3">
      <c r="A12" s="1"/>
      <c r="G12" s="25">
        <f ca="1">IF(JK.4 = 1, 0, 1)</f>
        <v>1</v>
      </c>
      <c r="H12" s="12" t="s">
        <v>8</v>
      </c>
      <c r="I12" s="1">
        <f ca="1">IF(JK.3 = 1, 0, 1)</f>
        <v>0</v>
      </c>
      <c r="J12" s="12" t="s">
        <v>8</v>
      </c>
      <c r="K12" s="1">
        <f ca="1">IF(JK.2 = 1, 0, 1)</f>
        <v>1</v>
      </c>
      <c r="L12" s="12" t="s">
        <v>8</v>
      </c>
      <c r="M12" s="1">
        <f ca="1">IF(JK.1 = 1, 0, 1)</f>
        <v>0</v>
      </c>
      <c r="N12" s="12" t="s">
        <v>8</v>
      </c>
      <c r="O12" s="91" t="s">
        <v>15</v>
      </c>
      <c r="P12" s="92"/>
      <c r="Q12" s="93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3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94"/>
      <c r="P13" s="95"/>
      <c r="Q13" s="96"/>
      <c r="Z13" s="16"/>
      <c r="AA13" s="17"/>
      <c r="AB13" s="17"/>
      <c r="AC13" s="17"/>
      <c r="AD13" s="17"/>
      <c r="AE13" s="17"/>
      <c r="AF13" s="14"/>
    </row>
    <row r="14" spans="1:32" ht="15" customHeight="1" x14ac:dyDescent="0.3">
      <c r="A14" s="1"/>
      <c r="G14" s="30">
        <f ca="1">NOT.4</f>
        <v>1</v>
      </c>
      <c r="H14" s="27" t="s">
        <v>18</v>
      </c>
      <c r="I14" s="28">
        <f ca="1">NOT.3</f>
        <v>0</v>
      </c>
      <c r="J14" s="27" t="s">
        <v>19</v>
      </c>
      <c r="K14" s="28">
        <f ca="1">NOT.2</f>
        <v>1</v>
      </c>
      <c r="L14" s="27" t="s">
        <v>20</v>
      </c>
      <c r="M14" s="28">
        <f ca="1">NOT.1</f>
        <v>0</v>
      </c>
      <c r="N14" s="27" t="s">
        <v>21</v>
      </c>
      <c r="O14" s="97"/>
      <c r="P14" s="98"/>
      <c r="Q14" s="99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3">
      <c r="A15" s="1">
        <f ca="1">IF(AND(A3 = 1, C3 = 1), 0, 1)</f>
        <v>0</v>
      </c>
      <c r="B15" s="2" t="s">
        <v>22</v>
      </c>
    </row>
    <row r="16" spans="1:32" ht="15" customHeight="1" x14ac:dyDescent="0.3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00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3">
      <c r="A17" s="1">
        <f ca="1">IF(OR(AND(A3 = 1, C3 = 1), AND(A3 = 0, C3 = 0)), 1, 0)</f>
        <v>1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01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3">
      <c r="G18" s="16"/>
      <c r="H18" s="17"/>
      <c r="I18" s="17"/>
      <c r="J18" s="17"/>
      <c r="K18" s="17"/>
      <c r="L18" s="17"/>
      <c r="M18" s="17"/>
      <c r="N18" s="102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79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03" t="s">
        <v>26</v>
      </c>
    </row>
    <row r="19" spans="1:34" ht="15" customHeight="1" x14ac:dyDescent="0.3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80"/>
      <c r="Y19" s="18"/>
      <c r="Z19" s="1">
        <f>IF(Z16 = 1, 0, 1)</f>
        <v>1</v>
      </c>
      <c r="AA19" s="12"/>
      <c r="AB19" s="12"/>
      <c r="AC19" s="12"/>
      <c r="AD19" s="22"/>
      <c r="AE19" s="75"/>
    </row>
    <row r="20" spans="1:34" ht="15" customHeight="1" x14ac:dyDescent="0.3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81"/>
      <c r="Y20" s="18"/>
      <c r="Z20" s="12"/>
      <c r="AA20" s="12"/>
      <c r="AB20" s="12"/>
      <c r="AC20" s="12"/>
      <c r="AD20" s="22"/>
      <c r="AE20" s="76"/>
    </row>
    <row r="21" spans="1:34" ht="15" customHeight="1" x14ac:dyDescent="0.3">
      <c r="A21" s="1">
        <f ca="1">IF(A1 = 0, A21, IF(AND(A1 = 1, C1 = 1, E1 = 0), 1, IF(AND(A1 = 1, C1 = 0, E1 = 1), 0, IF(AND(A1 = 1, C1 = 0, E1 = 0), A21, IF(AND(A1 = 1, C1 = 1, E1 = 1), IF(A21 = 1, 0, 1))))))</f>
        <v>0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3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3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3">
      <c r="G24" s="16"/>
      <c r="H24" s="18"/>
      <c r="I24" s="12"/>
      <c r="J24" s="12"/>
      <c r="K24" s="1">
        <f>IF(K22 = 1, 0, 1)</f>
        <v>1</v>
      </c>
      <c r="L24" s="12"/>
      <c r="M24" s="17"/>
      <c r="N24" s="90" t="s">
        <v>12</v>
      </c>
      <c r="O24" s="14"/>
    </row>
    <row r="25" spans="1:34" ht="15" customHeight="1" x14ac:dyDescent="0.3">
      <c r="G25" s="16"/>
      <c r="H25" s="18"/>
      <c r="I25" s="1">
        <f>IF(AND(J20 = 1, I23 = 1), 1, 0)</f>
        <v>0</v>
      </c>
      <c r="J25" s="12"/>
      <c r="K25" s="12"/>
      <c r="L25" s="12"/>
      <c r="M25" s="17"/>
      <c r="N25" s="75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3">
      <c r="G26" s="16"/>
      <c r="H26" s="18"/>
      <c r="I26" s="12"/>
      <c r="J26" s="1">
        <f>IF(AND(H20 = 1, K24 = 1), 1, 0)</f>
        <v>0</v>
      </c>
      <c r="K26" s="12"/>
      <c r="L26" s="12"/>
      <c r="M26" s="17"/>
      <c r="N26" s="78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3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74" t="s">
        <v>51</v>
      </c>
    </row>
    <row r="28" spans="1:34" ht="15" customHeight="1" x14ac:dyDescent="0.3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08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75"/>
    </row>
    <row r="29" spans="1:34" ht="15" customHeight="1" x14ac:dyDescent="0.3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75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76"/>
    </row>
    <row r="30" spans="1:34" ht="15" customHeight="1" x14ac:dyDescent="0.3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78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3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79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3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80"/>
      <c r="X32" s="17"/>
      <c r="Y32" s="14"/>
    </row>
    <row r="33" spans="7:35" ht="15" customHeight="1" x14ac:dyDescent="0.3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81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3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3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85" t="s">
        <v>35</v>
      </c>
    </row>
    <row r="36" spans="7:35" ht="15" customHeight="1" x14ac:dyDescent="0.3">
      <c r="G36" s="16"/>
      <c r="H36" s="18"/>
      <c r="I36" s="12"/>
      <c r="J36" s="12"/>
      <c r="K36" s="1">
        <f>IF(K34 = 1, 0, 1)</f>
        <v>1</v>
      </c>
      <c r="L36" s="12"/>
      <c r="M36" s="17"/>
      <c r="N36" s="90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85"/>
    </row>
    <row r="37" spans="7:35" ht="15" customHeight="1" x14ac:dyDescent="0.3">
      <c r="G37" s="16"/>
      <c r="H37" s="18"/>
      <c r="I37" s="1">
        <f>IF(AND(J32 = 1, I35 = 1), 1, 0)</f>
        <v>0</v>
      </c>
      <c r="J37" s="12"/>
      <c r="K37" s="12"/>
      <c r="L37" s="12"/>
      <c r="M37" s="17"/>
      <c r="N37" s="75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85"/>
    </row>
    <row r="38" spans="7:35" ht="15" customHeight="1" x14ac:dyDescent="0.3">
      <c r="G38" s="16"/>
      <c r="H38" s="18"/>
      <c r="I38" s="12"/>
      <c r="J38" s="1">
        <f>IF(AND(H32 = 1, K36 = 1), 1, 0)</f>
        <v>0</v>
      </c>
      <c r="K38" s="12"/>
      <c r="L38" s="12"/>
      <c r="M38" s="17"/>
      <c r="N38" s="78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3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3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3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79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3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80"/>
      <c r="X42" s="17"/>
      <c r="Y42" s="14"/>
      <c r="AA42" s="18"/>
      <c r="AB42" s="22"/>
      <c r="AC42" s="22"/>
      <c r="AD42" s="22"/>
      <c r="AE42" s="22"/>
      <c r="AF42" s="22"/>
      <c r="AG42" s="107" t="s">
        <v>36</v>
      </c>
    </row>
    <row r="43" spans="7:35" ht="15" customHeight="1" x14ac:dyDescent="0.3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81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07"/>
    </row>
    <row r="44" spans="7:35" ht="15" customHeight="1" x14ac:dyDescent="0.3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07"/>
    </row>
    <row r="45" spans="7:35" ht="15" customHeight="1" x14ac:dyDescent="0.3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3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3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3">
      <c r="G48" s="16"/>
      <c r="H48" s="18"/>
      <c r="I48" s="12"/>
      <c r="J48" s="12"/>
      <c r="K48" s="1">
        <f>IF(K46 = 1, 0, 1)</f>
        <v>1</v>
      </c>
      <c r="L48" s="12"/>
      <c r="M48" s="17"/>
      <c r="N48" s="90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3">
      <c r="G49" s="16"/>
      <c r="H49" s="18"/>
      <c r="I49" s="1">
        <f>IF(AND(J44 = 1, I47 = 1), 1, 0)</f>
        <v>0</v>
      </c>
      <c r="J49" s="12"/>
      <c r="K49" s="12"/>
      <c r="L49" s="12"/>
      <c r="M49" s="17"/>
      <c r="N49" s="75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3">
      <c r="G50" s="16"/>
      <c r="H50" s="18"/>
      <c r="I50" s="12"/>
      <c r="J50" s="1">
        <f>IF(AND(H44 = 1, K48 = 1), 1, 0)</f>
        <v>0</v>
      </c>
      <c r="K50" s="12"/>
      <c r="L50" s="12"/>
      <c r="M50" s="17"/>
      <c r="N50" s="78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3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79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3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80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3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81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3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3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3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74" t="s">
        <v>50</v>
      </c>
    </row>
    <row r="57" spans="7:35" ht="15" customHeight="1" x14ac:dyDescent="0.3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75"/>
    </row>
    <row r="58" spans="7:35" ht="15" customHeight="1" x14ac:dyDescent="0.3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76"/>
    </row>
    <row r="59" spans="7:35" ht="15" customHeight="1" x14ac:dyDescent="0.3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3">
      <c r="G60" s="16"/>
      <c r="H60" s="18"/>
      <c r="I60" s="12"/>
      <c r="J60" s="12"/>
      <c r="K60" s="1">
        <f>IF(K58 = 1, 0, 1)</f>
        <v>1</v>
      </c>
      <c r="L60" s="12"/>
      <c r="M60" s="17"/>
      <c r="N60" s="90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3">
      <c r="G61" s="16"/>
      <c r="H61" s="18"/>
      <c r="I61" s="1">
        <f>IF(AND(J56 = 1, I59 = 1), 1, 0)</f>
        <v>0</v>
      </c>
      <c r="J61" s="12"/>
      <c r="K61" s="12"/>
      <c r="L61" s="12"/>
      <c r="M61" s="17"/>
      <c r="N61" s="75"/>
      <c r="O61" s="14"/>
      <c r="Q61" s="16"/>
      <c r="R61" s="15"/>
      <c r="S61" s="13"/>
      <c r="T61" s="13"/>
      <c r="U61" s="13"/>
      <c r="V61" s="13"/>
      <c r="W61" s="79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3">
      <c r="G62" s="16"/>
      <c r="H62" s="18"/>
      <c r="I62" s="12"/>
      <c r="J62" s="1">
        <f>IF(AND(H56 = 1, K60 = 1), 1, 0)</f>
        <v>0</v>
      </c>
      <c r="K62" s="12"/>
      <c r="L62" s="12"/>
      <c r="M62" s="17"/>
      <c r="N62" s="78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80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3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81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3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5" ht="15" customHeight="1" x14ac:dyDescent="0.3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5" ht="15" customHeight="1" x14ac:dyDescent="0.3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5" ht="15" customHeight="1" x14ac:dyDescent="0.3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5" ht="15" customHeight="1" x14ac:dyDescent="0.3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5" ht="15" customHeight="1" x14ac:dyDescent="0.3">
      <c r="Q69" s="16"/>
      <c r="R69" s="17"/>
      <c r="S69" s="17"/>
      <c r="T69" s="17"/>
      <c r="U69" s="17"/>
      <c r="V69" s="17"/>
      <c r="W69" s="17"/>
      <c r="X69" s="17"/>
      <c r="Y69" s="14"/>
    </row>
    <row r="70" spans="4:35" ht="15" customHeight="1" x14ac:dyDescent="0.3">
      <c r="Q70" s="16"/>
      <c r="R70" s="17"/>
      <c r="S70" s="17"/>
      <c r="T70" s="17"/>
      <c r="U70" s="17"/>
      <c r="V70" s="17"/>
      <c r="W70" s="17"/>
      <c r="X70" s="17"/>
      <c r="Y70" s="14"/>
    </row>
    <row r="71" spans="4:35" ht="15" customHeight="1" x14ac:dyDescent="0.3">
      <c r="Q71" s="16"/>
      <c r="R71" s="1">
        <f>IF(_xlfn.XOR(T67 = 1, T57 = 1), 1, 0)</f>
        <v>0</v>
      </c>
      <c r="S71" s="86" t="s">
        <v>32</v>
      </c>
      <c r="T71" s="87"/>
      <c r="U71" s="17"/>
      <c r="V71" s="17"/>
      <c r="W71" s="17"/>
      <c r="X71" s="17"/>
      <c r="Y71" s="14"/>
    </row>
    <row r="72" spans="4:35" ht="15" customHeight="1" x14ac:dyDescent="0.3">
      <c r="Q72" s="31"/>
      <c r="R72" s="28">
        <f>T67</f>
        <v>0</v>
      </c>
      <c r="S72" s="88" t="s">
        <v>33</v>
      </c>
      <c r="T72" s="89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5" ht="15" customHeight="1" x14ac:dyDescent="0.3">
      <c r="E78" s="115" t="s">
        <v>66</v>
      </c>
    </row>
    <row r="79" spans="4:35" ht="15" customHeight="1" x14ac:dyDescent="0.3">
      <c r="D79" s="52"/>
      <c r="E79" s="52"/>
      <c r="F79" s="52"/>
      <c r="G79" s="114" t="s">
        <v>64</v>
      </c>
      <c r="H79" s="127" cm="1">
        <f t="array" aca="1" ref="H79" ca="1">INDIRECT(ADDRESS(J83 + H83, J84 + H84))</f>
        <v>1011</v>
      </c>
      <c r="I79" s="52"/>
      <c r="J79" s="52"/>
      <c r="K79" s="52"/>
      <c r="L79" s="52"/>
      <c r="N79" t="s">
        <v>42</v>
      </c>
    </row>
    <row r="80" spans="4:35" ht="15" customHeight="1" x14ac:dyDescent="0.3">
      <c r="D80" s="52"/>
      <c r="E80" s="52"/>
      <c r="F80" s="52"/>
      <c r="G80" s="123" t="s">
        <v>49</v>
      </c>
      <c r="H80" s="124"/>
      <c r="I80" s="124"/>
      <c r="J80" s="125"/>
      <c r="K80" s="52"/>
      <c r="L80" s="52"/>
      <c r="N80" s="48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</row>
    <row r="81" spans="4:24" ht="15" customHeight="1" x14ac:dyDescent="0.3">
      <c r="D81" s="52"/>
      <c r="E81" s="52"/>
      <c r="F81" s="52"/>
      <c r="G81" s="126">
        <v>1011</v>
      </c>
      <c r="H81" s="127">
        <v>0</v>
      </c>
      <c r="I81" s="127">
        <v>1</v>
      </c>
      <c r="J81" s="128">
        <v>1</v>
      </c>
      <c r="K81" s="52"/>
      <c r="L81" s="52"/>
      <c r="N81" s="51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t="str" cm="1">
        <f t="array" aca="1" ref="V81" ca="1">INDIRECT(ADDRESS(U84, U83 + R85))</f>
        <v xml:space="preserve"> </v>
      </c>
      <c r="W81" s="52" t="s">
        <v>46</v>
      </c>
      <c r="X81" s="53"/>
    </row>
    <row r="82" spans="4:24" ht="15" customHeight="1" x14ac:dyDescent="0.3">
      <c r="F82" s="52"/>
      <c r="G82" s="131" t="s">
        <v>67</v>
      </c>
      <c r="H82" s="132" t="s">
        <v>68</v>
      </c>
      <c r="I82" s="129">
        <v>1</v>
      </c>
      <c r="J82" s="130">
        <v>1</v>
      </c>
      <c r="K82" s="52"/>
      <c r="L82" s="52"/>
      <c r="N82" s="51"/>
      <c r="O82" s="52"/>
      <c r="P82" s="52"/>
      <c r="Q82" s="52"/>
      <c r="R82" s="52"/>
      <c r="S82" s="52"/>
      <c r="T82" s="52"/>
      <c r="U82" s="52"/>
      <c r="V82" s="52"/>
      <c r="W82" s="52"/>
      <c r="X82" s="53"/>
    </row>
    <row r="83" spans="4:24" ht="15" customHeight="1" x14ac:dyDescent="0.3">
      <c r="E83" s="121" t="s">
        <v>60</v>
      </c>
      <c r="F83" s="133">
        <v>0</v>
      </c>
      <c r="G83" s="48" t="s">
        <v>56</v>
      </c>
      <c r="H83" s="122">
        <f>BIN2DEC(F83)</f>
        <v>0</v>
      </c>
      <c r="I83" s="122" t="s">
        <v>58</v>
      </c>
      <c r="J83" s="50">
        <v>81</v>
      </c>
      <c r="K83" s="52"/>
      <c r="L83" s="52"/>
      <c r="N83" s="51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</row>
    <row r="84" spans="4:24" ht="15" customHeight="1" x14ac:dyDescent="0.3">
      <c r="E84" s="116" t="s">
        <v>61</v>
      </c>
      <c r="F84" s="128">
        <v>0</v>
      </c>
      <c r="G84" s="51" t="s">
        <v>57</v>
      </c>
      <c r="H84" s="52">
        <f>BIN2DEC(F84)</f>
        <v>0</v>
      </c>
      <c r="I84" s="73" t="s">
        <v>59</v>
      </c>
      <c r="J84" s="53">
        <v>7</v>
      </c>
      <c r="K84" s="52"/>
      <c r="L84" s="52"/>
      <c r="N84" s="51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4:24" ht="15" customHeight="1" x14ac:dyDescent="0.3">
      <c r="E85" s="117" t="s">
        <v>62</v>
      </c>
      <c r="F85" s="118"/>
      <c r="G85" s="117" t="s">
        <v>63</v>
      </c>
      <c r="H85" s="119"/>
      <c r="I85" s="119"/>
      <c r="J85" s="120"/>
      <c r="K85" s="52"/>
      <c r="L85" s="52"/>
      <c r="N85" s="51" t="s">
        <v>47</v>
      </c>
      <c r="O85" s="52"/>
      <c r="P85" s="52" t="str">
        <f ca="1">MID(P83, R85, 1)</f>
        <v/>
      </c>
      <c r="Q85" s="52"/>
      <c r="R85" s="52">
        <f ca="1">IF(CLOCK = 1, IF(R85 = (LEN(P83) + 1), 1, R85 + 1),  R85)</f>
        <v>1</v>
      </c>
      <c r="S85" s="52" t="s">
        <v>48</v>
      </c>
      <c r="T85" s="52"/>
      <c r="U85" s="52"/>
      <c r="V85" s="52"/>
      <c r="W85" s="52"/>
      <c r="X85" s="53"/>
    </row>
    <row r="86" spans="4:24" ht="15" customHeight="1" x14ac:dyDescent="0.3">
      <c r="D86" s="52"/>
      <c r="E86" s="52"/>
      <c r="F86" s="52"/>
      <c r="G86" s="52"/>
      <c r="H86" s="52"/>
      <c r="I86" s="52"/>
      <c r="J86" s="52"/>
      <c r="K86" s="52"/>
      <c r="L86" s="52"/>
      <c r="N86" s="51"/>
      <c r="O86" s="52"/>
      <c r="P86" s="52"/>
      <c r="Q86" s="52"/>
      <c r="R86" s="52"/>
      <c r="S86" s="52"/>
      <c r="T86" s="52"/>
      <c r="U86" s="52"/>
      <c r="V86" s="52"/>
      <c r="W86" s="52"/>
      <c r="X86" s="53"/>
    </row>
    <row r="87" spans="4:24" ht="15" customHeight="1" x14ac:dyDescent="0.3">
      <c r="D87" s="52"/>
      <c r="E87" s="52"/>
      <c r="F87" s="72"/>
      <c r="G87" s="52"/>
      <c r="H87" s="114"/>
      <c r="I87" s="52"/>
      <c r="J87" s="52"/>
      <c r="K87" s="52"/>
      <c r="L87" s="52"/>
      <c r="N87" s="51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114" t="s">
        <v>65</v>
      </c>
      <c r="W87" s="52"/>
      <c r="X87" s="53"/>
    </row>
    <row r="88" spans="4:24" ht="15" customHeight="1" x14ac:dyDescent="0.3">
      <c r="D88" s="52"/>
      <c r="E88" s="52"/>
      <c r="F88" s="52"/>
      <c r="G88" s="52"/>
      <c r="H88" s="52"/>
      <c r="I88" s="52"/>
      <c r="J88" s="52"/>
      <c r="K88" s="52"/>
      <c r="L88" s="52"/>
      <c r="N88" s="51"/>
      <c r="O88" s="52"/>
      <c r="P88" s="52"/>
      <c r="Q88" s="52"/>
      <c r="R88" s="52"/>
      <c r="S88" s="52"/>
      <c r="T88" s="52"/>
      <c r="U88" s="52"/>
      <c r="V88" s="52"/>
      <c r="W88" s="52"/>
      <c r="X88" s="53"/>
    </row>
    <row r="89" spans="4:24" ht="15" customHeight="1" x14ac:dyDescent="0.3">
      <c r="D89" s="52"/>
      <c r="E89" s="52"/>
      <c r="F89" s="52"/>
      <c r="G89" s="52"/>
      <c r="H89" s="52"/>
      <c r="I89" s="52"/>
      <c r="J89" s="52"/>
      <c r="K89" s="52"/>
      <c r="L89" s="52"/>
      <c r="N89" s="51"/>
      <c r="O89" s="52"/>
      <c r="P89" s="52">
        <f ca="1">IF(CLOCK = 1, IF(P89 &gt;= P87, 0, P89 + 1), P89)</f>
        <v>0</v>
      </c>
      <c r="Q89" s="52"/>
      <c r="R89" s="52" t="str">
        <f ca="1">IF(P89 = P87, IF(LEN(R89) = LEN(P83), "", R89 &amp; P85), R89)</f>
        <v/>
      </c>
      <c r="S89" s="52"/>
      <c r="T89" s="52"/>
      <c r="U89" s="52"/>
      <c r="V89" s="52"/>
      <c r="W89" s="52"/>
      <c r="X89" s="53"/>
    </row>
    <row r="90" spans="4:24" ht="15" customHeight="1" x14ac:dyDescent="0.3">
      <c r="D90" s="52"/>
      <c r="E90" s="52"/>
      <c r="F90" s="52"/>
      <c r="G90" s="52"/>
      <c r="H90" s="52"/>
      <c r="I90" s="52"/>
      <c r="J90" s="52"/>
      <c r="K90" s="52"/>
      <c r="L90" s="52"/>
      <c r="N90" s="54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</row>
    <row r="91" spans="4:24" ht="15" customHeight="1" x14ac:dyDescent="0.3">
      <c r="D91" s="52"/>
      <c r="E91" s="52"/>
      <c r="F91" s="52"/>
      <c r="G91" s="52"/>
      <c r="H91" s="52"/>
      <c r="I91" s="52"/>
      <c r="J91" s="52"/>
      <c r="K91" s="52"/>
      <c r="L91" s="52"/>
    </row>
    <row r="92" spans="4:24" ht="15" customHeight="1" x14ac:dyDescent="0.3">
      <c r="D92" s="52"/>
      <c r="E92" s="52"/>
      <c r="F92" s="52"/>
      <c r="G92" s="52"/>
      <c r="H92" s="52"/>
      <c r="I92" s="52"/>
      <c r="J92" s="52"/>
      <c r="K92" s="52"/>
      <c r="L92" s="52"/>
    </row>
    <row r="93" spans="4:24" ht="15" customHeight="1" x14ac:dyDescent="0.3">
      <c r="D93" s="52"/>
      <c r="E93" s="52"/>
      <c r="F93" s="52"/>
      <c r="G93" s="52"/>
      <c r="H93" s="52"/>
      <c r="I93" s="52"/>
      <c r="J93" s="52"/>
      <c r="K93" s="52"/>
      <c r="L93" s="52"/>
    </row>
    <row r="95" spans="4:24" ht="15" customHeight="1" x14ac:dyDescent="0.3">
      <c r="N95" s="70"/>
    </row>
    <row r="97" spans="7:27" ht="15" customHeight="1" x14ac:dyDescent="0.3">
      <c r="G97" s="59"/>
      <c r="H97" s="71">
        <v>0</v>
      </c>
      <c r="I97" s="65"/>
      <c r="J97" s="57">
        <v>0</v>
      </c>
      <c r="K97" s="112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</row>
    <row r="98" spans="7:27" ht="15" customHeight="1" x14ac:dyDescent="0.3">
      <c r="G98" s="16"/>
      <c r="H98" s="110" t="s">
        <v>54</v>
      </c>
      <c r="I98" s="111"/>
      <c r="J98" s="17"/>
      <c r="K98" s="113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</row>
    <row r="99" spans="7:27" ht="15" customHeight="1" x14ac:dyDescent="0.3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</row>
    <row r="100" spans="7:27" ht="15" customHeight="1" x14ac:dyDescent="0.3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77" t="s">
        <v>30</v>
      </c>
      <c r="Q100" s="13"/>
      <c r="R100" s="64"/>
      <c r="S100" s="65"/>
      <c r="T100" s="65"/>
      <c r="U100" s="65"/>
      <c r="V100" s="65"/>
      <c r="W100" s="65"/>
      <c r="X100" s="82" t="s">
        <v>36</v>
      </c>
      <c r="Y100" s="13"/>
      <c r="Z100" s="22"/>
      <c r="AA100" s="37"/>
    </row>
    <row r="101" spans="7:27" ht="15" customHeight="1" x14ac:dyDescent="0.3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76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83"/>
      <c r="Y101" s="13"/>
      <c r="Z101" s="22"/>
      <c r="AA101" s="37"/>
    </row>
    <row r="102" spans="7:27" ht="15" customHeight="1" x14ac:dyDescent="0.3">
      <c r="G102" s="16"/>
      <c r="H102" s="16"/>
      <c r="I102" s="15"/>
      <c r="J102" s="63">
        <f>N97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78"/>
      <c r="Q102" s="13"/>
      <c r="R102" s="66"/>
      <c r="S102" s="67"/>
      <c r="T102" s="67"/>
      <c r="U102" s="67"/>
      <c r="V102" s="67"/>
      <c r="W102" s="67"/>
      <c r="X102" s="83"/>
      <c r="Y102" s="13"/>
      <c r="Z102" s="22"/>
      <c r="AA102" s="37"/>
    </row>
    <row r="103" spans="7:27" ht="15" customHeight="1" x14ac:dyDescent="0.3">
      <c r="G103" s="16"/>
      <c r="H103" s="16"/>
      <c r="I103" s="15"/>
      <c r="J103" s="13"/>
      <c r="K103" s="13"/>
      <c r="L103" s="13"/>
      <c r="M103" s="13"/>
      <c r="N103" s="79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85" t="s">
        <v>53</v>
      </c>
    </row>
    <row r="104" spans="7:27" ht="15" customHeight="1" x14ac:dyDescent="0.3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80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85"/>
    </row>
    <row r="105" spans="7:27" ht="15" customHeight="1" x14ac:dyDescent="0.3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81"/>
      <c r="O105" s="17"/>
      <c r="P105" s="14"/>
      <c r="Q105" s="13"/>
      <c r="R105" s="64"/>
      <c r="S105" s="65"/>
      <c r="T105" s="65"/>
      <c r="U105" s="65"/>
      <c r="V105" s="65"/>
      <c r="W105" s="65"/>
      <c r="X105" s="84" t="s">
        <v>35</v>
      </c>
      <c r="Y105" s="13"/>
      <c r="Z105" s="22"/>
      <c r="AA105" s="85"/>
    </row>
    <row r="106" spans="7:27" ht="15" customHeight="1" x14ac:dyDescent="0.3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85"/>
      <c r="Y106" s="13"/>
      <c r="Z106" s="22"/>
      <c r="AA106" s="37"/>
    </row>
    <row r="107" spans="7:27" ht="15" customHeight="1" x14ac:dyDescent="0.3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85"/>
      <c r="Y107" s="13"/>
      <c r="Z107" s="22"/>
      <c r="AA107" s="37"/>
    </row>
    <row r="108" spans="7:27" ht="15" customHeight="1" x14ac:dyDescent="0.3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27" ht="15" customHeight="1" x14ac:dyDescent="0.3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27" ht="15" customHeight="1" x14ac:dyDescent="0.3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27" ht="15" customHeight="1" x14ac:dyDescent="0.3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27" ht="15" customHeight="1" x14ac:dyDescent="0.3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3">
      <c r="G113" s="16"/>
      <c r="H113" s="16"/>
      <c r="I113" s="15"/>
      <c r="J113" s="13"/>
      <c r="K113" s="13"/>
      <c r="L113" s="13"/>
      <c r="M113" s="13"/>
      <c r="N113" s="79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3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80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3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81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3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74" t="s">
        <v>50</v>
      </c>
      <c r="AA116" s="37"/>
    </row>
    <row r="117" spans="7:27" ht="15" customHeight="1" x14ac:dyDescent="0.3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75"/>
      <c r="AA117" s="37"/>
    </row>
    <row r="118" spans="7:27" ht="15" customHeight="1" x14ac:dyDescent="0.3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76"/>
      <c r="AA118" s="37"/>
    </row>
    <row r="119" spans="7:27" ht="15" customHeight="1" x14ac:dyDescent="0.3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3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3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3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3">
      <c r="G123" s="16"/>
      <c r="H123" s="16"/>
      <c r="I123" s="15"/>
      <c r="J123" s="13"/>
      <c r="K123" s="13"/>
      <c r="L123" s="13"/>
      <c r="M123" s="13"/>
      <c r="N123" s="79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3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80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3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81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3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3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3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3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3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3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3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3">
      <c r="G133" s="16"/>
      <c r="H133" s="16"/>
      <c r="I133" s="15"/>
      <c r="J133" s="13"/>
      <c r="K133" s="13"/>
      <c r="L133" s="13"/>
      <c r="M133" s="13"/>
      <c r="N133" s="79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3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80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74" t="s">
        <v>50</v>
      </c>
      <c r="AA134" s="37"/>
    </row>
    <row r="135" spans="7:27" ht="15" customHeight="1" x14ac:dyDescent="0.3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81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75"/>
      <c r="AA135" s="37"/>
    </row>
    <row r="136" spans="7:27" ht="15" customHeight="1" x14ac:dyDescent="0.3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76"/>
      <c r="AA136" s="37"/>
    </row>
    <row r="137" spans="7:27" ht="15" customHeight="1" x14ac:dyDescent="0.3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3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3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3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3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3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3">
      <c r="G143" s="16"/>
      <c r="H143" s="16"/>
      <c r="I143" s="1">
        <f>IF(_xlfn.XOR(K139 = 1, K129 = 1), 1, 0)</f>
        <v>0</v>
      </c>
      <c r="J143" s="86" t="s">
        <v>32</v>
      </c>
      <c r="K143" s="87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3">
      <c r="G144" s="16"/>
      <c r="H144" s="31"/>
      <c r="I144" s="28">
        <f>K139</f>
        <v>0</v>
      </c>
      <c r="J144" s="88" t="s">
        <v>33</v>
      </c>
      <c r="K144" s="89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3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3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3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3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3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3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3">
      <c r="G151" s="40"/>
      <c r="H151" s="39"/>
      <c r="I151" s="39"/>
      <c r="J151" s="46">
        <f>S144</f>
        <v>0</v>
      </c>
      <c r="K151" s="109" t="s">
        <v>52</v>
      </c>
      <c r="L151" s="109"/>
      <c r="M151" s="28">
        <f>I144</f>
        <v>0</v>
      </c>
      <c r="N151" s="88" t="s">
        <v>33</v>
      </c>
      <c r="O151" s="89"/>
      <c r="P151" s="28">
        <f>I143</f>
        <v>0</v>
      </c>
      <c r="Q151" s="88" t="s">
        <v>32</v>
      </c>
      <c r="R151" s="89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3">
      <c r="P153" s="70" t="s">
        <v>45</v>
      </c>
    </row>
  </sheetData>
  <mergeCells count="42">
    <mergeCell ref="G85:J85"/>
    <mergeCell ref="E85:F85"/>
    <mergeCell ref="G80:J80"/>
    <mergeCell ref="Q151:R151"/>
    <mergeCell ref="N151:O151"/>
    <mergeCell ref="K151:L151"/>
    <mergeCell ref="AA103:AA105"/>
    <mergeCell ref="H98:I98"/>
    <mergeCell ref="K97:K98"/>
    <mergeCell ref="Z134:Z136"/>
    <mergeCell ref="N133:N135"/>
    <mergeCell ref="J143:K143"/>
    <mergeCell ref="J144:K144"/>
    <mergeCell ref="W51:W53"/>
    <mergeCell ref="AG42:AG44"/>
    <mergeCell ref="AH27:AH29"/>
    <mergeCell ref="Y28:Y30"/>
    <mergeCell ref="AG35:AG37"/>
    <mergeCell ref="W31:W33"/>
    <mergeCell ref="M5:M7"/>
    <mergeCell ref="N36:N38"/>
    <mergeCell ref="W41:W43"/>
    <mergeCell ref="N48:N50"/>
    <mergeCell ref="N24:N26"/>
    <mergeCell ref="X6:X8"/>
    <mergeCell ref="AF8:AF10"/>
    <mergeCell ref="O12:Q14"/>
    <mergeCell ref="N16:N18"/>
    <mergeCell ref="AE18:AE20"/>
    <mergeCell ref="W18:W20"/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</mergeCells>
  <conditionalFormatting sqref="A1 U12:V12">
    <cfRule type="cellIs" dxfId="471" priority="361" operator="equal">
      <formula>0</formula>
    </cfRule>
    <cfRule type="cellIs" dxfId="470" priority="362" operator="equal">
      <formula>1</formula>
    </cfRule>
  </conditionalFormatting>
  <conditionalFormatting sqref="A3">
    <cfRule type="cellIs" dxfId="469" priority="363" operator="equal">
      <formula>0</formula>
    </cfRule>
    <cfRule type="cellIs" dxfId="468" priority="364" operator="equal">
      <formula>1</formula>
    </cfRule>
  </conditionalFormatting>
  <conditionalFormatting sqref="A5">
    <cfRule type="cellIs" dxfId="467" priority="365" operator="equal">
      <formula>0</formula>
    </cfRule>
    <cfRule type="cellIs" dxfId="466" priority="366" operator="equal">
      <formula>1</formula>
    </cfRule>
  </conditionalFormatting>
  <conditionalFormatting sqref="A7">
    <cfRule type="cellIs" dxfId="465" priority="367" operator="equal">
      <formula>0</formula>
    </cfRule>
    <cfRule type="cellIs" dxfId="464" priority="368" operator="equal">
      <formula>1</formula>
    </cfRule>
  </conditionalFormatting>
  <conditionalFormatting sqref="A9">
    <cfRule type="cellIs" dxfId="463" priority="369" operator="equal">
      <formula>0</formula>
    </cfRule>
    <cfRule type="cellIs" dxfId="462" priority="370" operator="equal">
      <formula>1</formula>
    </cfRule>
  </conditionalFormatting>
  <conditionalFormatting sqref="A11 R71:R72">
    <cfRule type="cellIs" dxfId="461" priority="371" operator="equal">
      <formula>0</formula>
    </cfRule>
    <cfRule type="cellIs" dxfId="460" priority="372" operator="equal">
      <formula>1</formula>
    </cfRule>
  </conditionalFormatting>
  <conditionalFormatting sqref="A13">
    <cfRule type="cellIs" dxfId="459" priority="373" operator="equal">
      <formula>0</formula>
    </cfRule>
    <cfRule type="cellIs" dxfId="458" priority="374" operator="equal">
      <formula>1</formula>
    </cfRule>
  </conditionalFormatting>
  <conditionalFormatting sqref="A15">
    <cfRule type="cellIs" dxfId="457" priority="375" operator="equal">
      <formula>0</formula>
    </cfRule>
    <cfRule type="cellIs" dxfId="456" priority="376" operator="equal">
      <formula>1</formula>
    </cfRule>
  </conditionalFormatting>
  <conditionalFormatting sqref="A17">
    <cfRule type="cellIs" dxfId="455" priority="377" operator="equal">
      <formula>0</formula>
    </cfRule>
    <cfRule type="cellIs" dxfId="454" priority="378" operator="equal">
      <formula>1</formula>
    </cfRule>
  </conditionalFormatting>
  <conditionalFormatting sqref="A19">
    <cfRule type="cellIs" dxfId="453" priority="379" operator="equal">
      <formula>0</formula>
    </cfRule>
    <cfRule type="cellIs" dxfId="452" priority="380" operator="equal">
      <formula>1</formula>
    </cfRule>
  </conditionalFormatting>
  <conditionalFormatting sqref="A21">
    <cfRule type="cellIs" dxfId="451" priority="381" operator="equal">
      <formula>0</formula>
    </cfRule>
    <cfRule type="cellIs" dxfId="450" priority="382" operator="equal">
      <formula>1</formula>
    </cfRule>
  </conditionalFormatting>
  <conditionalFormatting sqref="C1">
    <cfRule type="cellIs" dxfId="449" priority="383" operator="equal">
      <formula>0</formula>
    </cfRule>
    <cfRule type="cellIs" dxfId="448" priority="384" operator="equal">
      <formula>1</formula>
    </cfRule>
  </conditionalFormatting>
  <conditionalFormatting sqref="C3">
    <cfRule type="cellIs" dxfId="447" priority="385" operator="equal">
      <formula>0</formula>
    </cfRule>
    <cfRule type="cellIs" dxfId="446" priority="386" operator="equal">
      <formula>1</formula>
    </cfRule>
  </conditionalFormatting>
  <conditionalFormatting sqref="E1">
    <cfRule type="cellIs" dxfId="445" priority="387" operator="equal">
      <formula>0</formula>
    </cfRule>
    <cfRule type="cellIs" dxfId="444" priority="388" operator="equal">
      <formula>1</formula>
    </cfRule>
  </conditionalFormatting>
  <conditionalFormatting sqref="G12">
    <cfRule type="cellIs" dxfId="443" priority="389" operator="equal">
      <formula>0</formula>
    </cfRule>
    <cfRule type="cellIs" dxfId="442" priority="390" operator="equal">
      <formula>1</formula>
    </cfRule>
  </conditionalFormatting>
  <conditionalFormatting sqref="G14">
    <cfRule type="cellIs" dxfId="441" priority="391" operator="equal">
      <formula>0</formula>
    </cfRule>
    <cfRule type="cellIs" dxfId="440" priority="392" operator="equal">
      <formula>1</formula>
    </cfRule>
  </conditionalFormatting>
  <conditionalFormatting sqref="H20">
    <cfRule type="cellIs" dxfId="439" priority="451" operator="equal">
      <formula>0</formula>
    </cfRule>
    <cfRule type="cellIs" dxfId="438" priority="452" operator="equal">
      <formula>1</formula>
    </cfRule>
  </conditionalFormatting>
  <conditionalFormatting sqref="H32">
    <cfRule type="cellIs" dxfId="437" priority="475" operator="equal">
      <formula>0</formula>
    </cfRule>
    <cfRule type="cellIs" dxfId="436" priority="476" operator="equal">
      <formula>1</formula>
    </cfRule>
  </conditionalFormatting>
  <conditionalFormatting sqref="H44">
    <cfRule type="cellIs" dxfId="435" priority="499" operator="equal">
      <formula>0</formula>
    </cfRule>
    <cfRule type="cellIs" dxfId="434" priority="500" operator="equal">
      <formula>1</formula>
    </cfRule>
  </conditionalFormatting>
  <conditionalFormatting sqref="H56">
    <cfRule type="cellIs" dxfId="433" priority="523" operator="equal">
      <formula>0</formula>
    </cfRule>
    <cfRule type="cellIs" dxfId="432" priority="524" operator="equal">
      <formula>1</formula>
    </cfRule>
  </conditionalFormatting>
  <conditionalFormatting sqref="H68">
    <cfRule type="cellIs" dxfId="431" priority="539" operator="equal">
      <formula>0</formula>
    </cfRule>
    <cfRule type="cellIs" dxfId="430" priority="540" operator="equal">
      <formula>1</formula>
    </cfRule>
  </conditionalFormatting>
  <conditionalFormatting sqref="H97">
    <cfRule type="cellIs" dxfId="429" priority="149" operator="equal">
      <formula>0</formula>
    </cfRule>
    <cfRule type="cellIs" dxfId="428" priority="150" operator="equal">
      <formula>1</formula>
    </cfRule>
  </conditionalFormatting>
  <conditionalFormatting sqref="H16:K17">
    <cfRule type="cellIs" dxfId="427" priority="537" operator="equal">
      <formula>0</formula>
    </cfRule>
    <cfRule type="cellIs" dxfId="426" priority="538" operator="equal">
      <formula>1</formula>
    </cfRule>
  </conditionalFormatting>
  <conditionalFormatting sqref="I12">
    <cfRule type="cellIs" dxfId="425" priority="397" operator="equal">
      <formula>0</formula>
    </cfRule>
    <cfRule type="cellIs" dxfId="424" priority="398" operator="equal">
      <formula>1</formula>
    </cfRule>
  </conditionalFormatting>
  <conditionalFormatting sqref="I14">
    <cfRule type="cellIs" dxfId="423" priority="399" operator="equal">
      <formula>0</formula>
    </cfRule>
    <cfRule type="cellIs" dxfId="422" priority="400" operator="equal">
      <formula>1</formula>
    </cfRule>
  </conditionalFormatting>
  <conditionalFormatting sqref="I23">
    <cfRule type="cellIs" dxfId="421" priority="441" operator="equal">
      <formula>0</formula>
    </cfRule>
    <cfRule type="cellIs" dxfId="420" priority="442" operator="equal">
      <formula>1</formula>
    </cfRule>
  </conditionalFormatting>
  <conditionalFormatting sqref="I25">
    <cfRule type="cellIs" dxfId="419" priority="449" operator="equal">
      <formula>0</formula>
    </cfRule>
    <cfRule type="cellIs" dxfId="418" priority="450" operator="equal">
      <formula>1</formula>
    </cfRule>
  </conditionalFormatting>
  <conditionalFormatting sqref="I28">
    <cfRule type="cellIs" dxfId="417" priority="457" operator="equal">
      <formula>0</formula>
    </cfRule>
    <cfRule type="cellIs" dxfId="416" priority="458" operator="equal">
      <formula>1</formula>
    </cfRule>
  </conditionalFormatting>
  <conditionalFormatting sqref="I30">
    <cfRule type="cellIs" dxfId="415" priority="463" operator="equal">
      <formula>0</formula>
    </cfRule>
    <cfRule type="cellIs" dxfId="414" priority="464" operator="equal">
      <formula>1</formula>
    </cfRule>
  </conditionalFormatting>
  <conditionalFormatting sqref="I35">
    <cfRule type="cellIs" dxfId="413" priority="465" operator="equal">
      <formula>0</formula>
    </cfRule>
    <cfRule type="cellIs" dxfId="412" priority="466" operator="equal">
      <formula>1</formula>
    </cfRule>
  </conditionalFormatting>
  <conditionalFormatting sqref="I37">
    <cfRule type="cellIs" dxfId="411" priority="473" operator="equal">
      <formula>0</formula>
    </cfRule>
    <cfRule type="cellIs" dxfId="410" priority="474" operator="equal">
      <formula>1</formula>
    </cfRule>
  </conditionalFormatting>
  <conditionalFormatting sqref="I40">
    <cfRule type="cellIs" dxfId="409" priority="481" operator="equal">
      <formula>0</formula>
    </cfRule>
    <cfRule type="cellIs" dxfId="408" priority="482" operator="equal">
      <formula>1</formula>
    </cfRule>
  </conditionalFormatting>
  <conditionalFormatting sqref="I42">
    <cfRule type="cellIs" dxfId="407" priority="487" operator="equal">
      <formula>0</formula>
    </cfRule>
    <cfRule type="cellIs" dxfId="406" priority="488" operator="equal">
      <formula>1</formula>
    </cfRule>
  </conditionalFormatting>
  <conditionalFormatting sqref="I47">
    <cfRule type="cellIs" dxfId="405" priority="489" operator="equal">
      <formula>0</formula>
    </cfRule>
    <cfRule type="cellIs" dxfId="404" priority="490" operator="equal">
      <formula>1</formula>
    </cfRule>
  </conditionalFormatting>
  <conditionalFormatting sqref="I49">
    <cfRule type="cellIs" dxfId="403" priority="497" operator="equal">
      <formula>0</formula>
    </cfRule>
    <cfRule type="cellIs" dxfId="402" priority="498" operator="equal">
      <formula>1</formula>
    </cfRule>
  </conditionalFormatting>
  <conditionalFormatting sqref="I52">
    <cfRule type="cellIs" dxfId="401" priority="505" operator="equal">
      <formula>0</formula>
    </cfRule>
    <cfRule type="cellIs" dxfId="400" priority="506" operator="equal">
      <formula>1</formula>
    </cfRule>
  </conditionalFormatting>
  <conditionalFormatting sqref="I54">
    <cfRule type="cellIs" dxfId="399" priority="511" operator="equal">
      <formula>0</formula>
    </cfRule>
    <cfRule type="cellIs" dxfId="398" priority="512" operator="equal">
      <formula>1</formula>
    </cfRule>
  </conditionalFormatting>
  <conditionalFormatting sqref="I59">
    <cfRule type="cellIs" dxfId="397" priority="513" operator="equal">
      <formula>0</formula>
    </cfRule>
    <cfRule type="cellIs" dxfId="396" priority="514" operator="equal">
      <formula>1</formula>
    </cfRule>
  </conditionalFormatting>
  <conditionalFormatting sqref="I61">
    <cfRule type="cellIs" dxfId="395" priority="521" operator="equal">
      <formula>0</formula>
    </cfRule>
    <cfRule type="cellIs" dxfId="394" priority="522" operator="equal">
      <formula>1</formula>
    </cfRule>
  </conditionalFormatting>
  <conditionalFormatting sqref="I64">
    <cfRule type="cellIs" dxfId="393" priority="529" operator="equal">
      <formula>0</formula>
    </cfRule>
    <cfRule type="cellIs" dxfId="392" priority="530" operator="equal">
      <formula>1</formula>
    </cfRule>
  </conditionalFormatting>
  <conditionalFormatting sqref="I66">
    <cfRule type="cellIs" dxfId="391" priority="535" operator="equal">
      <formula>0</formula>
    </cfRule>
    <cfRule type="cellIs" dxfId="390" priority="536" operator="equal">
      <formula>1</formula>
    </cfRule>
  </conditionalFormatting>
  <conditionalFormatting sqref="I143:I144">
    <cfRule type="cellIs" dxfId="389" priority="87" operator="equal">
      <formula>0</formula>
    </cfRule>
    <cfRule type="cellIs" dxfId="388" priority="88" operator="equal">
      <formula>1</formula>
    </cfRule>
  </conditionalFormatting>
  <conditionalFormatting sqref="J4:J5">
    <cfRule type="cellIs" dxfId="387" priority="405" operator="equal">
      <formula>0</formula>
    </cfRule>
    <cfRule type="cellIs" dxfId="386" priority="406" operator="equal">
      <formula>1</formula>
    </cfRule>
  </conditionalFormatting>
  <conditionalFormatting sqref="J7">
    <cfRule type="cellIs" dxfId="385" priority="407" operator="equal">
      <formula>0</formula>
    </cfRule>
    <cfRule type="cellIs" dxfId="384" priority="408" operator="equal">
      <formula>1</formula>
    </cfRule>
  </conditionalFormatting>
  <conditionalFormatting sqref="J9">
    <cfRule type="cellIs" dxfId="383" priority="409" operator="equal">
      <formula>0</formula>
    </cfRule>
    <cfRule type="cellIs" dxfId="382" priority="410" operator="equal">
      <formula>1</formula>
    </cfRule>
  </conditionalFormatting>
  <conditionalFormatting sqref="J20">
    <cfRule type="cellIs" dxfId="381" priority="453" operator="equal">
      <formula>0</formula>
    </cfRule>
    <cfRule type="cellIs" dxfId="380" priority="454" operator="equal">
      <formula>1</formula>
    </cfRule>
  </conditionalFormatting>
  <conditionalFormatting sqref="J26">
    <cfRule type="cellIs" dxfId="379" priority="447" operator="equal">
      <formula>0</formula>
    </cfRule>
    <cfRule type="cellIs" dxfId="378" priority="448" operator="equal">
      <formula>1</formula>
    </cfRule>
  </conditionalFormatting>
  <conditionalFormatting sqref="J32">
    <cfRule type="cellIs" dxfId="377" priority="477" operator="equal">
      <formula>0</formula>
    </cfRule>
    <cfRule type="cellIs" dxfId="376" priority="478" operator="equal">
      <formula>1</formula>
    </cfRule>
  </conditionalFormatting>
  <conditionalFormatting sqref="J38">
    <cfRule type="cellIs" dxfId="375" priority="471" operator="equal">
      <formula>0</formula>
    </cfRule>
    <cfRule type="cellIs" dxfId="374" priority="472" operator="equal">
      <formula>1</formula>
    </cfRule>
  </conditionalFormatting>
  <conditionalFormatting sqref="J44">
    <cfRule type="cellIs" dxfId="373" priority="501" operator="equal">
      <formula>0</formula>
    </cfRule>
    <cfRule type="cellIs" dxfId="372" priority="502" operator="equal">
      <formula>1</formula>
    </cfRule>
  </conditionalFormatting>
  <conditionalFormatting sqref="J50">
    <cfRule type="cellIs" dxfId="371" priority="495" operator="equal">
      <formula>0</formula>
    </cfRule>
    <cfRule type="cellIs" dxfId="370" priority="496" operator="equal">
      <formula>1</formula>
    </cfRule>
  </conditionalFormatting>
  <conditionalFormatting sqref="J56">
    <cfRule type="cellIs" dxfId="369" priority="525" operator="equal">
      <formula>0</formula>
    </cfRule>
    <cfRule type="cellIs" dxfId="368" priority="526" operator="equal">
      <formula>1</formula>
    </cfRule>
  </conditionalFormatting>
  <conditionalFormatting sqref="J62">
    <cfRule type="cellIs" dxfId="367" priority="519" operator="equal">
      <formula>0</formula>
    </cfRule>
    <cfRule type="cellIs" dxfId="366" priority="520" operator="equal">
      <formula>1</formula>
    </cfRule>
  </conditionalFormatting>
  <conditionalFormatting sqref="J97">
    <cfRule type="cellIs" dxfId="365" priority="147" operator="equal">
      <formula>0</formula>
    </cfRule>
    <cfRule type="cellIs" dxfId="364" priority="148" operator="equal">
      <formula>1</formula>
    </cfRule>
  </conditionalFormatting>
  <conditionalFormatting sqref="J151">
    <cfRule type="cellIs" dxfId="363" priority="1" operator="equal">
      <formula>0</formula>
    </cfRule>
    <cfRule type="cellIs" dxfId="362" priority="2" operator="equal">
      <formula>1</formula>
    </cfRule>
  </conditionalFormatting>
  <conditionalFormatting sqref="J105:K105">
    <cfRule type="cellIs" dxfId="361" priority="91" operator="equal">
      <formula>0</formula>
    </cfRule>
    <cfRule type="cellIs" dxfId="360" priority="92" operator="equal">
      <formula>1</formula>
    </cfRule>
  </conditionalFormatting>
  <conditionalFormatting sqref="J115:K115">
    <cfRule type="cellIs" dxfId="359" priority="105" operator="equal">
      <formula>0</formula>
    </cfRule>
    <cfRule type="cellIs" dxfId="358" priority="106" operator="equal">
      <formula>1</formula>
    </cfRule>
  </conditionalFormatting>
  <conditionalFormatting sqref="J125:K125">
    <cfRule type="cellIs" dxfId="357" priority="119" operator="equal">
      <formula>0</formula>
    </cfRule>
    <cfRule type="cellIs" dxfId="356" priority="120" operator="equal">
      <formula>1</formula>
    </cfRule>
  </conditionalFormatting>
  <conditionalFormatting sqref="J135:K135">
    <cfRule type="cellIs" dxfId="355" priority="133" operator="equal">
      <formula>0</formula>
    </cfRule>
    <cfRule type="cellIs" dxfId="354" priority="134" operator="equal">
      <formula>1</formula>
    </cfRule>
  </conditionalFormatting>
  <conditionalFormatting sqref="J102:L102">
    <cfRule type="cellIs" dxfId="353" priority="93" operator="equal">
      <formula>0</formula>
    </cfRule>
    <cfRule type="cellIs" dxfId="352" priority="94" operator="equal">
      <formula>1</formula>
    </cfRule>
  </conditionalFormatting>
  <conditionalFormatting sqref="J112:L112">
    <cfRule type="cellIs" dxfId="351" priority="107" operator="equal">
      <formula>0</formula>
    </cfRule>
    <cfRule type="cellIs" dxfId="350" priority="108" operator="equal">
      <formula>1</formula>
    </cfRule>
  </conditionalFormatting>
  <conditionalFormatting sqref="J122:L122">
    <cfRule type="cellIs" dxfId="349" priority="121" operator="equal">
      <formula>0</formula>
    </cfRule>
    <cfRule type="cellIs" dxfId="348" priority="122" operator="equal">
      <formula>1</formula>
    </cfRule>
  </conditionalFormatting>
  <conditionalFormatting sqref="J132:L132">
    <cfRule type="cellIs" dxfId="347" priority="135" operator="equal">
      <formula>0</formula>
    </cfRule>
    <cfRule type="cellIs" dxfId="346" priority="136" operator="equal">
      <formula>1</formula>
    </cfRule>
  </conditionalFormatting>
  <conditionalFormatting sqref="J68:M68">
    <cfRule type="cellIs" dxfId="345" priority="541" operator="equal">
      <formula>0</formula>
    </cfRule>
    <cfRule type="cellIs" dxfId="344" priority="542" operator="equal">
      <formula>1</formula>
    </cfRule>
  </conditionalFormatting>
  <conditionalFormatting sqref="K6">
    <cfRule type="cellIs" dxfId="343" priority="415" operator="equal">
      <formula>0</formula>
    </cfRule>
    <cfRule type="cellIs" dxfId="342" priority="416" operator="equal">
      <formula>1</formula>
    </cfRule>
  </conditionalFormatting>
  <conditionalFormatting sqref="K8">
    <cfRule type="cellIs" dxfId="341" priority="417" operator="equal">
      <formula>0</formula>
    </cfRule>
    <cfRule type="cellIs" dxfId="340" priority="418" operator="equal">
      <formula>1</formula>
    </cfRule>
  </conditionalFormatting>
  <conditionalFormatting sqref="K12">
    <cfRule type="cellIs" dxfId="339" priority="419" operator="equal">
      <formula>0</formula>
    </cfRule>
    <cfRule type="cellIs" dxfId="338" priority="420" operator="equal">
      <formula>1</formula>
    </cfRule>
  </conditionalFormatting>
  <conditionalFormatting sqref="K14">
    <cfRule type="cellIs" dxfId="337" priority="421" operator="equal">
      <formula>0</formula>
    </cfRule>
    <cfRule type="cellIs" dxfId="336" priority="422" operator="equal">
      <formula>1</formula>
    </cfRule>
  </conditionalFormatting>
  <conditionalFormatting sqref="K22">
    <cfRule type="cellIs" dxfId="335" priority="443" operator="equal">
      <formula>0</formula>
    </cfRule>
    <cfRule type="cellIs" dxfId="334" priority="444" operator="equal">
      <formula>1</formula>
    </cfRule>
  </conditionalFormatting>
  <conditionalFormatting sqref="K24">
    <cfRule type="cellIs" dxfId="333" priority="445" operator="equal">
      <formula>0</formula>
    </cfRule>
    <cfRule type="cellIs" dxfId="332" priority="446" operator="equal">
      <formula>1</formula>
    </cfRule>
  </conditionalFormatting>
  <conditionalFormatting sqref="K30">
    <cfRule type="cellIs" dxfId="331" priority="461" operator="equal">
      <formula>0</formula>
    </cfRule>
    <cfRule type="cellIs" dxfId="330" priority="462" operator="equal">
      <formula>1</formula>
    </cfRule>
  </conditionalFormatting>
  <conditionalFormatting sqref="K34">
    <cfRule type="cellIs" dxfId="329" priority="467" operator="equal">
      <formula>0</formula>
    </cfRule>
    <cfRule type="cellIs" dxfId="328" priority="468" operator="equal">
      <formula>1</formula>
    </cfRule>
  </conditionalFormatting>
  <conditionalFormatting sqref="K36">
    <cfRule type="cellIs" dxfId="327" priority="469" operator="equal">
      <formula>0</formula>
    </cfRule>
    <cfRule type="cellIs" dxfId="326" priority="470" operator="equal">
      <formula>1</formula>
    </cfRule>
  </conditionalFormatting>
  <conditionalFormatting sqref="K42">
    <cfRule type="cellIs" dxfId="325" priority="485" operator="equal">
      <formula>0</formula>
    </cfRule>
    <cfRule type="cellIs" dxfId="324" priority="486" operator="equal">
      <formula>1</formula>
    </cfRule>
  </conditionalFormatting>
  <conditionalFormatting sqref="K46">
    <cfRule type="cellIs" dxfId="323" priority="491" operator="equal">
      <formula>0</formula>
    </cfRule>
    <cfRule type="cellIs" dxfId="322" priority="492" operator="equal">
      <formula>1</formula>
    </cfRule>
  </conditionalFormatting>
  <conditionalFormatting sqref="K48">
    <cfRule type="cellIs" dxfId="321" priority="493" operator="equal">
      <formula>0</formula>
    </cfRule>
    <cfRule type="cellIs" dxfId="320" priority="494" operator="equal">
      <formula>1</formula>
    </cfRule>
  </conditionalFormatting>
  <conditionalFormatting sqref="K54">
    <cfRule type="cellIs" dxfId="319" priority="509" operator="equal">
      <formula>0</formula>
    </cfRule>
    <cfRule type="cellIs" dxfId="318" priority="510" operator="equal">
      <formula>1</formula>
    </cfRule>
  </conditionalFormatting>
  <conditionalFormatting sqref="K58">
    <cfRule type="cellIs" dxfId="317" priority="515" operator="equal">
      <formula>0</formula>
    </cfRule>
    <cfRule type="cellIs" dxfId="316" priority="516" operator="equal">
      <formula>1</formula>
    </cfRule>
  </conditionalFormatting>
  <conditionalFormatting sqref="K60">
    <cfRule type="cellIs" dxfId="315" priority="517" operator="equal">
      <formula>0</formula>
    </cfRule>
    <cfRule type="cellIs" dxfId="314" priority="518" operator="equal">
      <formula>1</formula>
    </cfRule>
  </conditionalFormatting>
  <conditionalFormatting sqref="K66">
    <cfRule type="cellIs" dxfId="313" priority="533" operator="equal">
      <formula>0</formula>
    </cfRule>
    <cfRule type="cellIs" dxfId="312" priority="534" operator="equal">
      <formula>1</formula>
    </cfRule>
  </conditionalFormatting>
  <conditionalFormatting sqref="K107">
    <cfRule type="cellIs" dxfId="311" priority="95" operator="equal">
      <formula>0</formula>
    </cfRule>
    <cfRule type="cellIs" dxfId="310" priority="96" operator="equal">
      <formula>1</formula>
    </cfRule>
  </conditionalFormatting>
  <conditionalFormatting sqref="K109">
    <cfRule type="cellIs" dxfId="309" priority="97" operator="equal">
      <formula>0</formula>
    </cfRule>
    <cfRule type="cellIs" dxfId="308" priority="98" operator="equal">
      <formula>1</formula>
    </cfRule>
  </conditionalFormatting>
  <conditionalFormatting sqref="K117">
    <cfRule type="cellIs" dxfId="307" priority="109" operator="equal">
      <formula>0</formula>
    </cfRule>
    <cfRule type="cellIs" dxfId="306" priority="110" operator="equal">
      <formula>1</formula>
    </cfRule>
  </conditionalFormatting>
  <conditionalFormatting sqref="K119">
    <cfRule type="cellIs" dxfId="305" priority="111" operator="equal">
      <formula>0</formula>
    </cfRule>
    <cfRule type="cellIs" dxfId="304" priority="112" operator="equal">
      <formula>1</formula>
    </cfRule>
  </conditionalFormatting>
  <conditionalFormatting sqref="K127">
    <cfRule type="cellIs" dxfId="303" priority="123" operator="equal">
      <formula>0</formula>
    </cfRule>
    <cfRule type="cellIs" dxfId="302" priority="124" operator="equal">
      <formula>1</formula>
    </cfRule>
  </conditionalFormatting>
  <conditionalFormatting sqref="K129">
    <cfRule type="cellIs" dxfId="301" priority="125" operator="equal">
      <formula>0</formula>
    </cfRule>
    <cfRule type="cellIs" dxfId="300" priority="126" operator="equal">
      <formula>1</formula>
    </cfRule>
  </conditionalFormatting>
  <conditionalFormatting sqref="K137">
    <cfRule type="cellIs" dxfId="299" priority="137" operator="equal">
      <formula>0</formula>
    </cfRule>
    <cfRule type="cellIs" dxfId="298" priority="138" operator="equal">
      <formula>1</formula>
    </cfRule>
  </conditionalFormatting>
  <conditionalFormatting sqref="K139:L139">
    <cfRule type="cellIs" dxfId="297" priority="131" operator="equal">
      <formula>0</formula>
    </cfRule>
    <cfRule type="cellIs" dxfId="296" priority="132" operator="equal">
      <formula>1</formula>
    </cfRule>
  </conditionalFormatting>
  <conditionalFormatting sqref="L20">
    <cfRule type="cellIs" dxfId="295" priority="455" operator="equal">
      <formula>0</formula>
    </cfRule>
    <cfRule type="cellIs" dxfId="294" priority="456" operator="equal">
      <formula>1</formula>
    </cfRule>
  </conditionalFormatting>
  <conditionalFormatting sqref="L23">
    <cfRule type="cellIs" dxfId="293" priority="459" operator="equal">
      <formula>0</formula>
    </cfRule>
    <cfRule type="cellIs" dxfId="292" priority="460" operator="equal">
      <formula>1</formula>
    </cfRule>
  </conditionalFormatting>
  <conditionalFormatting sqref="L32">
    <cfRule type="cellIs" dxfId="291" priority="479" operator="equal">
      <formula>0</formula>
    </cfRule>
    <cfRule type="cellIs" dxfId="290" priority="480" operator="equal">
      <formula>1</formula>
    </cfRule>
  </conditionalFormatting>
  <conditionalFormatting sqref="L35">
    <cfRule type="cellIs" dxfId="289" priority="483" operator="equal">
      <formula>0</formula>
    </cfRule>
    <cfRule type="cellIs" dxfId="288" priority="484" operator="equal">
      <formula>1</formula>
    </cfRule>
  </conditionalFormatting>
  <conditionalFormatting sqref="L44">
    <cfRule type="cellIs" dxfId="287" priority="503" operator="equal">
      <formula>0</formula>
    </cfRule>
    <cfRule type="cellIs" dxfId="286" priority="504" operator="equal">
      <formula>1</formula>
    </cfRule>
  </conditionalFormatting>
  <conditionalFormatting sqref="L47">
    <cfRule type="cellIs" dxfId="285" priority="507" operator="equal">
      <formula>0</formula>
    </cfRule>
    <cfRule type="cellIs" dxfId="284" priority="508" operator="equal">
      <formula>1</formula>
    </cfRule>
  </conditionalFormatting>
  <conditionalFormatting sqref="L56">
    <cfRule type="cellIs" dxfId="283" priority="527" operator="equal">
      <formula>0</formula>
    </cfRule>
    <cfRule type="cellIs" dxfId="282" priority="528" operator="equal">
      <formula>1</formula>
    </cfRule>
  </conditionalFormatting>
  <conditionalFormatting sqref="L59">
    <cfRule type="cellIs" dxfId="281" priority="531" operator="equal">
      <formula>0</formula>
    </cfRule>
    <cfRule type="cellIs" dxfId="280" priority="532" operator="equal">
      <formula>1</formula>
    </cfRule>
  </conditionalFormatting>
  <conditionalFormatting sqref="L100">
    <cfRule type="cellIs" dxfId="279" priority="145" operator="equal">
      <formula>0</formula>
    </cfRule>
    <cfRule type="cellIs" dxfId="278" priority="146" operator="equal">
      <formula>1</formula>
    </cfRule>
  </conditionalFormatting>
  <conditionalFormatting sqref="L104">
    <cfRule type="cellIs" dxfId="277" priority="99" operator="equal">
      <formula>0</formula>
    </cfRule>
    <cfRule type="cellIs" dxfId="276" priority="100" operator="equal">
      <formula>1</formula>
    </cfRule>
  </conditionalFormatting>
  <conditionalFormatting sqref="L106">
    <cfRule type="cellIs" dxfId="275" priority="101" operator="equal">
      <formula>0</formula>
    </cfRule>
    <cfRule type="cellIs" dxfId="274" priority="102" operator="equal">
      <formula>1</formula>
    </cfRule>
  </conditionalFormatting>
  <conditionalFormatting sqref="L109:L110">
    <cfRule type="cellIs" dxfId="273" priority="89" operator="equal">
      <formula>0</formula>
    </cfRule>
    <cfRule type="cellIs" dxfId="272" priority="90" operator="equal">
      <formula>1</formula>
    </cfRule>
  </conditionalFormatting>
  <conditionalFormatting sqref="L114">
    <cfRule type="cellIs" dxfId="271" priority="113" operator="equal">
      <formula>0</formula>
    </cfRule>
    <cfRule type="cellIs" dxfId="270" priority="114" operator="equal">
      <formula>1</formula>
    </cfRule>
  </conditionalFormatting>
  <conditionalFormatting sqref="L116">
    <cfRule type="cellIs" dxfId="269" priority="115" operator="equal">
      <formula>0</formula>
    </cfRule>
    <cfRule type="cellIs" dxfId="268" priority="116" operator="equal">
      <formula>1</formula>
    </cfRule>
  </conditionalFormatting>
  <conditionalFormatting sqref="L119:L120">
    <cfRule type="cellIs" dxfId="267" priority="103" operator="equal">
      <formula>0</formula>
    </cfRule>
    <cfRule type="cellIs" dxfId="266" priority="104" operator="equal">
      <formula>1</formula>
    </cfRule>
  </conditionalFormatting>
  <conditionalFormatting sqref="L124">
    <cfRule type="cellIs" dxfId="265" priority="127" operator="equal">
      <formula>0</formula>
    </cfRule>
    <cfRule type="cellIs" dxfId="264" priority="128" operator="equal">
      <formula>1</formula>
    </cfRule>
  </conditionalFormatting>
  <conditionalFormatting sqref="L126">
    <cfRule type="cellIs" dxfId="263" priority="129" operator="equal">
      <formula>0</formula>
    </cfRule>
    <cfRule type="cellIs" dxfId="262" priority="130" operator="equal">
      <formula>1</formula>
    </cfRule>
  </conditionalFormatting>
  <conditionalFormatting sqref="L129:L130">
    <cfRule type="cellIs" dxfId="261" priority="117" operator="equal">
      <formula>0</formula>
    </cfRule>
    <cfRule type="cellIs" dxfId="260" priority="118" operator="equal">
      <formula>1</formula>
    </cfRule>
  </conditionalFormatting>
  <conditionalFormatting sqref="L134">
    <cfRule type="cellIs" dxfId="259" priority="139" operator="equal">
      <formula>0</formula>
    </cfRule>
    <cfRule type="cellIs" dxfId="258" priority="140" operator="equal">
      <formula>1</formula>
    </cfRule>
  </conditionalFormatting>
  <conditionalFormatting sqref="L136">
    <cfRule type="cellIs" dxfId="257" priority="141" operator="equal">
      <formula>0</formula>
    </cfRule>
    <cfRule type="cellIs" dxfId="256" priority="142" operator="equal">
      <formula>1</formula>
    </cfRule>
  </conditionalFormatting>
  <conditionalFormatting sqref="L97:O98">
    <cfRule type="cellIs" dxfId="255" priority="151" operator="equal">
      <formula>0</formula>
    </cfRule>
    <cfRule type="cellIs" dxfId="254" priority="152" operator="equal">
      <formula>1</formula>
    </cfRule>
  </conditionalFormatting>
  <conditionalFormatting sqref="L144:O144">
    <cfRule type="cellIs" dxfId="253" priority="143" operator="equal">
      <formula>0</formula>
    </cfRule>
    <cfRule type="cellIs" dxfId="252" priority="144" operator="equal">
      <formula>1</formula>
    </cfRule>
  </conditionalFormatting>
  <conditionalFormatting sqref="M12">
    <cfRule type="cellIs" dxfId="251" priority="423" operator="equal">
      <formula>0</formula>
    </cfRule>
    <cfRule type="cellIs" dxfId="250" priority="424" operator="equal">
      <formula>1</formula>
    </cfRule>
  </conditionalFormatting>
  <conditionalFormatting sqref="M14">
    <cfRule type="cellIs" dxfId="249" priority="425" operator="equal">
      <formula>0</formula>
    </cfRule>
    <cfRule type="cellIs" dxfId="248" priority="426" operator="equal">
      <formula>1</formula>
    </cfRule>
  </conditionalFormatting>
  <conditionalFormatting sqref="M151">
    <cfRule type="cellIs" dxfId="247" priority="3" operator="equal">
      <formula>0</formula>
    </cfRule>
    <cfRule type="cellIs" dxfId="246" priority="4" operator="equal">
      <formula>1</formula>
    </cfRule>
  </conditionalFormatting>
  <conditionalFormatting sqref="P151">
    <cfRule type="cellIs" dxfId="245" priority="5" operator="equal">
      <formula>0</formula>
    </cfRule>
    <cfRule type="cellIs" dxfId="244" priority="6" operator="equal">
      <formula>1</formula>
    </cfRule>
  </conditionalFormatting>
  <conditionalFormatting sqref="R16">
    <cfRule type="cellIs" dxfId="243" priority="343" operator="equal">
      <formula>0</formula>
    </cfRule>
    <cfRule type="cellIs" dxfId="242" priority="344" operator="equal">
      <formula>1</formula>
    </cfRule>
  </conditionalFormatting>
  <conditionalFormatting sqref="R23">
    <cfRule type="cellIs" dxfId="241" priority="639" operator="equal">
      <formula>0</formula>
    </cfRule>
    <cfRule type="cellIs" dxfId="240" priority="640" operator="equal">
      <formula>1</formula>
    </cfRule>
  </conditionalFormatting>
  <conditionalFormatting sqref="R25:U26">
    <cfRule type="cellIs" dxfId="239" priority="599" operator="equal">
      <formula>0</formula>
    </cfRule>
    <cfRule type="cellIs" dxfId="238" priority="600" operator="equal">
      <formula>1</formula>
    </cfRule>
  </conditionalFormatting>
  <conditionalFormatting sqref="S20">
    <cfRule type="cellIs" dxfId="237" priority="643" operator="equal">
      <formula>0</formula>
    </cfRule>
    <cfRule type="cellIs" dxfId="236" priority="644" operator="equal">
      <formula>1</formula>
    </cfRule>
  </conditionalFormatting>
  <conditionalFormatting sqref="S110">
    <cfRule type="cellIs" dxfId="235" priority="71" operator="equal">
      <formula>0</formula>
    </cfRule>
    <cfRule type="cellIs" dxfId="234" priority="72" operator="equal">
      <formula>1</formula>
    </cfRule>
  </conditionalFormatting>
  <conditionalFormatting sqref="S112">
    <cfRule type="cellIs" dxfId="233" priority="67" operator="equal">
      <formula>0</formula>
    </cfRule>
    <cfRule type="cellIs" dxfId="232" priority="68" operator="equal">
      <formula>1</formula>
    </cfRule>
  </conditionalFormatting>
  <conditionalFormatting sqref="S114">
    <cfRule type="cellIs" dxfId="231" priority="65" operator="equal">
      <formula>0</formula>
    </cfRule>
    <cfRule type="cellIs" dxfId="230" priority="66" operator="equal">
      <formula>1</formula>
    </cfRule>
  </conditionalFormatting>
  <conditionalFormatting sqref="S116">
    <cfRule type="cellIs" dxfId="229" priority="61" operator="equal">
      <formula>0</formula>
    </cfRule>
    <cfRule type="cellIs" dxfId="228" priority="62" operator="equal">
      <formula>1</formula>
    </cfRule>
  </conditionalFormatting>
  <conditionalFormatting sqref="S118">
    <cfRule type="cellIs" dxfId="227" priority="59" operator="equal">
      <formula>0</formula>
    </cfRule>
    <cfRule type="cellIs" dxfId="226" priority="60" operator="equal">
      <formula>1</formula>
    </cfRule>
  </conditionalFormatting>
  <conditionalFormatting sqref="S120">
    <cfRule type="cellIs" dxfId="225" priority="55" operator="equal">
      <formula>0</formula>
    </cfRule>
    <cfRule type="cellIs" dxfId="224" priority="56" operator="equal">
      <formula>1</formula>
    </cfRule>
  </conditionalFormatting>
  <conditionalFormatting sqref="S122">
    <cfRule type="cellIs" dxfId="223" priority="53" operator="equal">
      <formula>0</formula>
    </cfRule>
    <cfRule type="cellIs" dxfId="222" priority="54" operator="equal">
      <formula>1</formula>
    </cfRule>
  </conditionalFormatting>
  <conditionalFormatting sqref="S124">
    <cfRule type="cellIs" dxfId="221" priority="49" operator="equal">
      <formula>0</formula>
    </cfRule>
    <cfRule type="cellIs" dxfId="220" priority="50" operator="equal">
      <formula>1</formula>
    </cfRule>
  </conditionalFormatting>
  <conditionalFormatting sqref="S128">
    <cfRule type="cellIs" dxfId="219" priority="45" operator="equal">
      <formula>0</formula>
    </cfRule>
    <cfRule type="cellIs" dxfId="218" priority="46" operator="equal">
      <formula>1</formula>
    </cfRule>
  </conditionalFormatting>
  <conditionalFormatting sqref="S130">
    <cfRule type="cellIs" dxfId="217" priority="41" operator="equal">
      <formula>0</formula>
    </cfRule>
    <cfRule type="cellIs" dxfId="216" priority="42" operator="equal">
      <formula>1</formula>
    </cfRule>
  </conditionalFormatting>
  <conditionalFormatting sqref="S132">
    <cfRule type="cellIs" dxfId="215" priority="39" operator="equal">
      <formula>0</formula>
    </cfRule>
    <cfRule type="cellIs" dxfId="214" priority="40" operator="equal">
      <formula>1</formula>
    </cfRule>
  </conditionalFormatting>
  <conditionalFormatting sqref="S134">
    <cfRule type="cellIs" dxfId="213" priority="35" operator="equal">
      <formula>0</formula>
    </cfRule>
    <cfRule type="cellIs" dxfId="212" priority="36" operator="equal">
      <formula>1</formula>
    </cfRule>
  </conditionalFormatting>
  <conditionalFormatting sqref="S136">
    <cfRule type="cellIs" dxfId="211" priority="33" operator="equal">
      <formula>0</formula>
    </cfRule>
    <cfRule type="cellIs" dxfId="210" priority="34" operator="equal">
      <formula>1</formula>
    </cfRule>
  </conditionalFormatting>
  <conditionalFormatting sqref="S138">
    <cfRule type="cellIs" dxfId="209" priority="29" operator="equal">
      <formula>0</formula>
    </cfRule>
    <cfRule type="cellIs" dxfId="208" priority="30" operator="equal">
      <formula>1</formula>
    </cfRule>
  </conditionalFormatting>
  <conditionalFormatting sqref="S140">
    <cfRule type="cellIs" dxfId="207" priority="27" operator="equal">
      <formula>0</formula>
    </cfRule>
    <cfRule type="cellIs" dxfId="206" priority="28" operator="equal">
      <formula>1</formula>
    </cfRule>
  </conditionalFormatting>
  <conditionalFormatting sqref="S142">
    <cfRule type="cellIs" dxfId="205" priority="23" operator="equal">
      <formula>0</formula>
    </cfRule>
    <cfRule type="cellIs" dxfId="204" priority="24" operator="equal">
      <formula>1</formula>
    </cfRule>
  </conditionalFormatting>
  <conditionalFormatting sqref="S146:S149">
    <cfRule type="cellIs" dxfId="203" priority="13" operator="equal">
      <formula>0</formula>
    </cfRule>
    <cfRule type="cellIs" dxfId="202" priority="14" operator="equal">
      <formula>1</formula>
    </cfRule>
  </conditionalFormatting>
  <conditionalFormatting sqref="S151">
    <cfRule type="cellIs" dxfId="201" priority="11" operator="equal">
      <formula>0</formula>
    </cfRule>
    <cfRule type="cellIs" dxfId="200" priority="12" operator="equal">
      <formula>1</formula>
    </cfRule>
  </conditionalFormatting>
  <conditionalFormatting sqref="S33:T33">
    <cfRule type="cellIs" dxfId="199" priority="545" operator="equal">
      <formula>0</formula>
    </cfRule>
    <cfRule type="cellIs" dxfId="198" priority="546" operator="equal">
      <formula>1</formula>
    </cfRule>
  </conditionalFormatting>
  <conditionalFormatting sqref="S43:T43">
    <cfRule type="cellIs" dxfId="197" priority="559" operator="equal">
      <formula>0</formula>
    </cfRule>
    <cfRule type="cellIs" dxfId="196" priority="560" operator="equal">
      <formula>1</formula>
    </cfRule>
  </conditionalFormatting>
  <conditionalFormatting sqref="S53:T53">
    <cfRule type="cellIs" dxfId="195" priority="573" operator="equal">
      <formula>0</formula>
    </cfRule>
    <cfRule type="cellIs" dxfId="194" priority="574" operator="equal">
      <formula>1</formula>
    </cfRule>
  </conditionalFormatting>
  <conditionalFormatting sqref="S63:T63">
    <cfRule type="cellIs" dxfId="193" priority="587" operator="equal">
      <formula>0</formula>
    </cfRule>
    <cfRule type="cellIs" dxfId="192" priority="588" operator="equal">
      <formula>1</formula>
    </cfRule>
  </conditionalFormatting>
  <conditionalFormatting sqref="S30:U30">
    <cfRule type="cellIs" dxfId="191" priority="547" operator="equal">
      <formula>0</formula>
    </cfRule>
    <cfRule type="cellIs" dxfId="190" priority="548" operator="equal">
      <formula>1</formula>
    </cfRule>
  </conditionalFormatting>
  <conditionalFormatting sqref="S40:U40">
    <cfRule type="cellIs" dxfId="189" priority="561" operator="equal">
      <formula>0</formula>
    </cfRule>
    <cfRule type="cellIs" dxfId="188" priority="562" operator="equal">
      <formula>1</formula>
    </cfRule>
  </conditionalFormatting>
  <conditionalFormatting sqref="S50:U50">
    <cfRule type="cellIs" dxfId="187" priority="575" operator="equal">
      <formula>0</formula>
    </cfRule>
    <cfRule type="cellIs" dxfId="186" priority="576" operator="equal">
      <formula>1</formula>
    </cfRule>
  </conditionalFormatting>
  <conditionalFormatting sqref="S60:U60">
    <cfRule type="cellIs" dxfId="185" priority="589" operator="equal">
      <formula>0</formula>
    </cfRule>
    <cfRule type="cellIs" dxfId="184" priority="590" operator="equal">
      <formula>1</formula>
    </cfRule>
  </conditionalFormatting>
  <conditionalFormatting sqref="S101:V101">
    <cfRule type="cellIs" dxfId="183" priority="81" operator="equal">
      <formula>0</formula>
    </cfRule>
    <cfRule type="cellIs" dxfId="182" priority="82" operator="equal">
      <formula>1</formula>
    </cfRule>
  </conditionalFormatting>
  <conditionalFormatting sqref="S103:V103">
    <cfRule type="cellIs" dxfId="181" priority="83" operator="equal">
      <formula>0</formula>
    </cfRule>
    <cfRule type="cellIs" dxfId="180" priority="84" operator="equal">
      <formula>1</formula>
    </cfRule>
  </conditionalFormatting>
  <conditionalFormatting sqref="S106:V106">
    <cfRule type="cellIs" dxfId="179" priority="75" operator="equal">
      <formula>0</formula>
    </cfRule>
    <cfRule type="cellIs" dxfId="178" priority="76" operator="equal">
      <formula>1</formula>
    </cfRule>
  </conditionalFormatting>
  <conditionalFormatting sqref="S108:V108">
    <cfRule type="cellIs" dxfId="177" priority="77" operator="equal">
      <formula>0</formula>
    </cfRule>
    <cfRule type="cellIs" dxfId="176" priority="78" operator="equal">
      <formula>1</formula>
    </cfRule>
  </conditionalFormatting>
  <conditionalFormatting sqref="S126:V126">
    <cfRule type="cellIs" dxfId="175" priority="73" operator="equal">
      <formula>0</formula>
    </cfRule>
    <cfRule type="cellIs" dxfId="174" priority="74" operator="equal">
      <formula>1</formula>
    </cfRule>
  </conditionalFormatting>
  <conditionalFormatting sqref="S144:V144">
    <cfRule type="cellIs" dxfId="173" priority="47" operator="equal">
      <formula>0</formula>
    </cfRule>
    <cfRule type="cellIs" dxfId="172" priority="48" operator="equal">
      <formula>1</formula>
    </cfRule>
  </conditionalFormatting>
  <conditionalFormatting sqref="T16">
    <cfRule type="cellIs" dxfId="171" priority="341" operator="equal">
      <formula>0</formula>
    </cfRule>
    <cfRule type="cellIs" dxfId="170" priority="342" operator="equal">
      <formula>1</formula>
    </cfRule>
  </conditionalFormatting>
  <conditionalFormatting sqref="T18">
    <cfRule type="cellIs" dxfId="169" priority="645" operator="equal">
      <formula>0</formula>
    </cfRule>
    <cfRule type="cellIs" dxfId="168" priority="646" operator="equal">
      <formula>1</formula>
    </cfRule>
  </conditionalFormatting>
  <conditionalFormatting sqref="T23">
    <cfRule type="cellIs" dxfId="167" priority="641" operator="equal">
      <formula>0</formula>
    </cfRule>
    <cfRule type="cellIs" dxfId="166" priority="642" operator="equal">
      <formula>1</formula>
    </cfRule>
  </conditionalFormatting>
  <conditionalFormatting sqref="T35">
    <cfRule type="cellIs" dxfId="165" priority="549" operator="equal">
      <formula>0</formula>
    </cfRule>
    <cfRule type="cellIs" dxfId="164" priority="550" operator="equal">
      <formula>1</formula>
    </cfRule>
  </conditionalFormatting>
  <conditionalFormatting sqref="T37">
    <cfRule type="cellIs" dxfId="163" priority="551" operator="equal">
      <formula>0</formula>
    </cfRule>
    <cfRule type="cellIs" dxfId="162" priority="552" operator="equal">
      <formula>1</formula>
    </cfRule>
  </conditionalFormatting>
  <conditionalFormatting sqref="T45">
    <cfRule type="cellIs" dxfId="161" priority="563" operator="equal">
      <formula>0</formula>
    </cfRule>
    <cfRule type="cellIs" dxfId="160" priority="564" operator="equal">
      <formula>1</formula>
    </cfRule>
  </conditionalFormatting>
  <conditionalFormatting sqref="T47">
    <cfRule type="cellIs" dxfId="159" priority="565" operator="equal">
      <formula>0</formula>
    </cfRule>
    <cfRule type="cellIs" dxfId="158" priority="566" operator="equal">
      <formula>1</formula>
    </cfRule>
  </conditionalFormatting>
  <conditionalFormatting sqref="T55">
    <cfRule type="cellIs" dxfId="157" priority="577" operator="equal">
      <formula>0</formula>
    </cfRule>
    <cfRule type="cellIs" dxfId="156" priority="578" operator="equal">
      <formula>1</formula>
    </cfRule>
  </conditionalFormatting>
  <conditionalFormatting sqref="T57">
    <cfRule type="cellIs" dxfId="155" priority="579" operator="equal">
      <formula>0</formula>
    </cfRule>
    <cfRule type="cellIs" dxfId="154" priority="580" operator="equal">
      <formula>1</formula>
    </cfRule>
  </conditionalFormatting>
  <conditionalFormatting sqref="T65">
    <cfRule type="cellIs" dxfId="153" priority="591" operator="equal">
      <formula>0</formula>
    </cfRule>
    <cfRule type="cellIs" dxfId="152" priority="592" operator="equal">
      <formula>1</formula>
    </cfRule>
  </conditionalFormatting>
  <conditionalFormatting sqref="T8:U8">
    <cfRule type="cellIs" dxfId="151" priority="393" operator="equal">
      <formula>0</formula>
    </cfRule>
    <cfRule type="cellIs" dxfId="150" priority="394" operator="equal">
      <formula>1</formula>
    </cfRule>
  </conditionalFormatting>
  <conditionalFormatting sqref="T67:U67">
    <cfRule type="cellIs" dxfId="149" priority="585" operator="equal">
      <formula>0</formula>
    </cfRule>
    <cfRule type="cellIs" dxfId="148" priority="586" operator="equal">
      <formula>1</formula>
    </cfRule>
  </conditionalFormatting>
  <conditionalFormatting sqref="T111:U111">
    <cfRule type="cellIs" dxfId="147" priority="69" operator="equal">
      <formula>0</formula>
    </cfRule>
    <cfRule type="cellIs" dxfId="146" priority="70" operator="equal">
      <formula>1</formula>
    </cfRule>
  </conditionalFormatting>
  <conditionalFormatting sqref="T115:U115">
    <cfRule type="cellIs" dxfId="145" priority="63" operator="equal">
      <formula>0</formula>
    </cfRule>
    <cfRule type="cellIs" dxfId="144" priority="64" operator="equal">
      <formula>1</formula>
    </cfRule>
  </conditionalFormatting>
  <conditionalFormatting sqref="T119:U119">
    <cfRule type="cellIs" dxfId="143" priority="57" operator="equal">
      <formula>0</formula>
    </cfRule>
    <cfRule type="cellIs" dxfId="142" priority="58" operator="equal">
      <formula>1</formula>
    </cfRule>
  </conditionalFormatting>
  <conditionalFormatting sqref="T123:U123">
    <cfRule type="cellIs" dxfId="141" priority="51" operator="equal">
      <formula>0</formula>
    </cfRule>
    <cfRule type="cellIs" dxfId="140" priority="52" operator="equal">
      <formula>1</formula>
    </cfRule>
  </conditionalFormatting>
  <conditionalFormatting sqref="T129:U129">
    <cfRule type="cellIs" dxfId="139" priority="43" operator="equal">
      <formula>0</formula>
    </cfRule>
    <cfRule type="cellIs" dxfId="138" priority="44" operator="equal">
      <formula>1</formula>
    </cfRule>
  </conditionalFormatting>
  <conditionalFormatting sqref="T133:U133">
    <cfRule type="cellIs" dxfId="137" priority="37" operator="equal">
      <formula>0</formula>
    </cfRule>
    <cfRule type="cellIs" dxfId="136" priority="38" operator="equal">
      <formula>1</formula>
    </cfRule>
  </conditionalFormatting>
  <conditionalFormatting sqref="T137:U137">
    <cfRule type="cellIs" dxfId="135" priority="31" operator="equal">
      <formula>0</formula>
    </cfRule>
    <cfRule type="cellIs" dxfId="134" priority="32" operator="equal">
      <formula>1</formula>
    </cfRule>
  </conditionalFormatting>
  <conditionalFormatting sqref="T141:U141">
    <cfRule type="cellIs" dxfId="133" priority="25" operator="equal">
      <formula>0</formula>
    </cfRule>
    <cfRule type="cellIs" dxfId="132" priority="26" operator="equal">
      <formula>1</formula>
    </cfRule>
  </conditionalFormatting>
  <conditionalFormatting sqref="T5:V5">
    <cfRule type="cellIs" dxfId="131" priority="395" operator="equal">
      <formula>0</formula>
    </cfRule>
    <cfRule type="cellIs" dxfId="130" priority="396" operator="equal">
      <formula>1</formula>
    </cfRule>
  </conditionalFormatting>
  <conditionalFormatting sqref="U10">
    <cfRule type="cellIs" dxfId="129" priority="401" operator="equal">
      <formula>0</formula>
    </cfRule>
    <cfRule type="cellIs" dxfId="128" priority="402" operator="equal">
      <formula>1</formula>
    </cfRule>
  </conditionalFormatting>
  <conditionalFormatting sqref="U28">
    <cfRule type="cellIs" dxfId="127" priority="607" operator="equal">
      <formula>0</formula>
    </cfRule>
    <cfRule type="cellIs" dxfId="126" priority="608" operator="equal">
      <formula>1</formula>
    </cfRule>
  </conditionalFormatting>
  <conditionalFormatting sqref="U32">
    <cfRule type="cellIs" dxfId="125" priority="553" operator="equal">
      <formula>0</formula>
    </cfRule>
    <cfRule type="cellIs" dxfId="124" priority="554" operator="equal">
      <formula>1</formula>
    </cfRule>
  </conditionalFormatting>
  <conditionalFormatting sqref="U34">
    <cfRule type="cellIs" dxfId="123" priority="555" operator="equal">
      <formula>0</formula>
    </cfRule>
    <cfRule type="cellIs" dxfId="122" priority="556" operator="equal">
      <formula>1</formula>
    </cfRule>
  </conditionalFormatting>
  <conditionalFormatting sqref="U37:U38">
    <cfRule type="cellIs" dxfId="121" priority="543" operator="equal">
      <formula>0</formula>
    </cfRule>
    <cfRule type="cellIs" dxfId="120" priority="544" operator="equal">
      <formula>1</formula>
    </cfRule>
  </conditionalFormatting>
  <conditionalFormatting sqref="U42">
    <cfRule type="cellIs" dxfId="119" priority="567" operator="equal">
      <formula>0</formula>
    </cfRule>
    <cfRule type="cellIs" dxfId="118" priority="568" operator="equal">
      <formula>1</formula>
    </cfRule>
  </conditionalFormatting>
  <conditionalFormatting sqref="U44">
    <cfRule type="cellIs" dxfId="117" priority="569" operator="equal">
      <formula>0</formula>
    </cfRule>
    <cfRule type="cellIs" dxfId="116" priority="570" operator="equal">
      <formula>1</formula>
    </cfRule>
  </conditionalFormatting>
  <conditionalFormatting sqref="U47:U48">
    <cfRule type="cellIs" dxfId="115" priority="557" operator="equal">
      <formula>0</formula>
    </cfRule>
    <cfRule type="cellIs" dxfId="114" priority="558" operator="equal">
      <formula>1</formula>
    </cfRule>
  </conditionalFormatting>
  <conditionalFormatting sqref="U52">
    <cfRule type="cellIs" dxfId="113" priority="581" operator="equal">
      <formula>0</formula>
    </cfRule>
    <cfRule type="cellIs" dxfId="112" priority="582" operator="equal">
      <formula>1</formula>
    </cfRule>
  </conditionalFormatting>
  <conditionalFormatting sqref="U54">
    <cfRule type="cellIs" dxfId="111" priority="583" operator="equal">
      <formula>0</formula>
    </cfRule>
    <cfRule type="cellIs" dxfId="110" priority="584" operator="equal">
      <formula>1</formula>
    </cfRule>
  </conditionalFormatting>
  <conditionalFormatting sqref="U57:U58">
    <cfRule type="cellIs" dxfId="109" priority="571" operator="equal">
      <formula>0</formula>
    </cfRule>
    <cfRule type="cellIs" dxfId="108" priority="572" operator="equal">
      <formula>1</formula>
    </cfRule>
  </conditionalFormatting>
  <conditionalFormatting sqref="U62">
    <cfRule type="cellIs" dxfId="107" priority="595" operator="equal">
      <formula>0</formula>
    </cfRule>
    <cfRule type="cellIs" dxfId="106" priority="596" operator="equal">
      <formula>1</formula>
    </cfRule>
  </conditionalFormatting>
  <conditionalFormatting sqref="U64">
    <cfRule type="cellIs" dxfId="105" priority="597" operator="equal">
      <formula>0</formula>
    </cfRule>
    <cfRule type="cellIs" dxfId="104" priority="598" operator="equal">
      <formula>1</formula>
    </cfRule>
  </conditionalFormatting>
  <conditionalFormatting sqref="U72:X72">
    <cfRule type="cellIs" dxfId="103" priority="605" operator="equal">
      <formula>0</formula>
    </cfRule>
    <cfRule type="cellIs" dxfId="102" priority="606" operator="equal">
      <formula>1</formula>
    </cfRule>
  </conditionalFormatting>
  <conditionalFormatting sqref="U151:X151">
    <cfRule type="cellIs" dxfId="101" priority="9" operator="equal">
      <formula>0</formula>
    </cfRule>
    <cfRule type="cellIs" dxfId="100" priority="10" operator="equal">
      <formula>1</formula>
    </cfRule>
  </conditionalFormatting>
  <conditionalFormatting sqref="V7">
    <cfRule type="cellIs" dxfId="99" priority="411" operator="equal">
      <formula>0</formula>
    </cfRule>
    <cfRule type="cellIs" dxfId="98" priority="412" operator="equal">
      <formula>1</formula>
    </cfRule>
  </conditionalFormatting>
  <conditionalFormatting sqref="V9">
    <cfRule type="cellIs" dxfId="97" priority="413" operator="equal">
      <formula>0</formula>
    </cfRule>
    <cfRule type="cellIs" dxfId="96" priority="414" operator="equal">
      <formula>1</formula>
    </cfRule>
  </conditionalFormatting>
  <conditionalFormatting sqref="W25">
    <cfRule type="cellIs" dxfId="95" priority="601" operator="equal">
      <formula>0</formula>
    </cfRule>
    <cfRule type="cellIs" dxfId="94" priority="602" operator="equal">
      <formula>1</formula>
    </cfRule>
  </conditionalFormatting>
  <conditionalFormatting sqref="Z4">
    <cfRule type="cellIs" dxfId="93" priority="625" operator="equal">
      <formula>0</formula>
    </cfRule>
    <cfRule type="cellIs" dxfId="92" priority="626" operator="equal">
      <formula>1</formula>
    </cfRule>
  </conditionalFormatting>
  <conditionalFormatting sqref="Z16">
    <cfRule type="cellIs" dxfId="91" priority="427" operator="equal">
      <formula>0</formula>
    </cfRule>
    <cfRule type="cellIs" dxfId="90" priority="428" operator="equal">
      <formula>1</formula>
    </cfRule>
  </conditionalFormatting>
  <conditionalFormatting sqref="Z19">
    <cfRule type="cellIs" dxfId="89" priority="431" operator="equal">
      <formula>0</formula>
    </cfRule>
    <cfRule type="cellIs" dxfId="88" priority="432" operator="equal">
      <formula>1</formula>
    </cfRule>
  </conditionalFormatting>
  <conditionalFormatting sqref="Z21">
    <cfRule type="cellIs" dxfId="87" priority="433" operator="equal">
      <formula>0</formula>
    </cfRule>
    <cfRule type="cellIs" dxfId="86" priority="434" operator="equal">
      <formula>1</formula>
    </cfRule>
  </conditionalFormatting>
  <conditionalFormatting sqref="Z23">
    <cfRule type="cellIs" dxfId="85" priority="435" operator="equal">
      <formula>0</formula>
    </cfRule>
    <cfRule type="cellIs" dxfId="84" priority="436" operator="equal">
      <formula>1</formula>
    </cfRule>
  </conditionalFormatting>
  <conditionalFormatting sqref="AA7">
    <cfRule type="cellIs" dxfId="83" priority="615" operator="equal">
      <formula>0</formula>
    </cfRule>
    <cfRule type="cellIs" dxfId="82" priority="616" operator="equal">
      <formula>1</formula>
    </cfRule>
  </conditionalFormatting>
  <conditionalFormatting sqref="AA9">
    <cfRule type="cellIs" dxfId="81" priority="623" operator="equal">
      <formula>0</formula>
    </cfRule>
    <cfRule type="cellIs" dxfId="80" priority="624" operator="equal">
      <formula>1</formula>
    </cfRule>
  </conditionalFormatting>
  <conditionalFormatting sqref="AA12">
    <cfRule type="cellIs" dxfId="79" priority="631" operator="equal">
      <formula>0</formula>
    </cfRule>
    <cfRule type="cellIs" dxfId="78" priority="632" operator="equal">
      <formula>1</formula>
    </cfRule>
  </conditionalFormatting>
  <conditionalFormatting sqref="AA14">
    <cfRule type="cellIs" dxfId="77" priority="637" operator="equal">
      <formula>0</formula>
    </cfRule>
    <cfRule type="cellIs" dxfId="76" priority="638" operator="equal">
      <formula>1</formula>
    </cfRule>
  </conditionalFormatting>
  <conditionalFormatting sqref="AB4">
    <cfRule type="cellIs" dxfId="75" priority="627" operator="equal">
      <formula>0</formula>
    </cfRule>
    <cfRule type="cellIs" dxfId="74" priority="628" operator="equal">
      <formula>1</formula>
    </cfRule>
  </conditionalFormatting>
  <conditionalFormatting sqref="AB10">
    <cfRule type="cellIs" dxfId="73" priority="621" operator="equal">
      <formula>0</formula>
    </cfRule>
    <cfRule type="cellIs" dxfId="72" priority="622" operator="equal">
      <formula>1</formula>
    </cfRule>
  </conditionalFormatting>
  <conditionalFormatting sqref="AB16">
    <cfRule type="cellIs" dxfId="71" priority="429" operator="equal">
      <formula>0</formula>
    </cfRule>
    <cfRule type="cellIs" dxfId="70" priority="430" operator="equal">
      <formula>1</formula>
    </cfRule>
  </conditionalFormatting>
  <conditionalFormatting sqref="AB18">
    <cfRule type="cellIs" dxfId="69" priority="437" operator="equal">
      <formula>0</formula>
    </cfRule>
    <cfRule type="cellIs" dxfId="68" priority="438" operator="equal">
      <formula>1</formula>
    </cfRule>
  </conditionalFormatting>
  <conditionalFormatting sqref="AB23">
    <cfRule type="cellIs" dxfId="67" priority="439" operator="equal">
      <formula>0</formula>
    </cfRule>
    <cfRule type="cellIs" dxfId="66" priority="440" operator="equal">
      <formula>1</formula>
    </cfRule>
  </conditionalFormatting>
  <conditionalFormatting sqref="AB25">
    <cfRule type="cellIs" dxfId="65" priority="359" operator="equal">
      <formula>0</formula>
    </cfRule>
    <cfRule type="cellIs" dxfId="64" priority="360" operator="equal">
      <formula>1</formula>
    </cfRule>
  </conditionalFormatting>
  <conditionalFormatting sqref="AB50">
    <cfRule type="cellIs" dxfId="63" priority="193" operator="equal">
      <formula>0</formula>
    </cfRule>
    <cfRule type="cellIs" dxfId="62" priority="194" operator="equal">
      <formula>1</formula>
    </cfRule>
  </conditionalFormatting>
  <conditionalFormatting sqref="AB52">
    <cfRule type="cellIs" dxfId="61" priority="189" operator="equal">
      <formula>0</formula>
    </cfRule>
    <cfRule type="cellIs" dxfId="60" priority="190" operator="equal">
      <formula>1</formula>
    </cfRule>
  </conditionalFormatting>
  <conditionalFormatting sqref="AB54">
    <cfRule type="cellIs" dxfId="59" priority="169" operator="equal">
      <formula>0</formula>
    </cfRule>
    <cfRule type="cellIs" dxfId="58" priority="170" operator="equal">
      <formula>1</formula>
    </cfRule>
  </conditionalFormatting>
  <conditionalFormatting sqref="AB56">
    <cfRule type="cellIs" dxfId="57" priority="165" operator="equal">
      <formula>0</formula>
    </cfRule>
    <cfRule type="cellIs" dxfId="56" priority="166" operator="equal">
      <formula>1</formula>
    </cfRule>
  </conditionalFormatting>
  <conditionalFormatting sqref="AB58">
    <cfRule type="cellIs" dxfId="55" priority="163" operator="equal">
      <formula>0</formula>
    </cfRule>
    <cfRule type="cellIs" dxfId="54" priority="164" operator="equal">
      <formula>1</formula>
    </cfRule>
  </conditionalFormatting>
  <conditionalFormatting sqref="AB60">
    <cfRule type="cellIs" dxfId="53" priority="159" operator="equal">
      <formula>0</formula>
    </cfRule>
    <cfRule type="cellIs" dxfId="52" priority="160" operator="equal">
      <formula>1</formula>
    </cfRule>
  </conditionalFormatting>
  <conditionalFormatting sqref="AB62">
    <cfRule type="cellIs" dxfId="51" priority="157" operator="equal">
      <formula>0</formula>
    </cfRule>
    <cfRule type="cellIs" dxfId="50" priority="158" operator="equal">
      <formula>1</formula>
    </cfRule>
  </conditionalFormatting>
  <conditionalFormatting sqref="AB64">
    <cfRule type="cellIs" dxfId="49" priority="153" operator="equal">
      <formula>0</formula>
    </cfRule>
    <cfRule type="cellIs" dxfId="48" priority="154" operator="equal">
      <formula>1</formula>
    </cfRule>
  </conditionalFormatting>
  <conditionalFormatting sqref="AB33:AE34">
    <cfRule type="cellIs" dxfId="47" priority="271" operator="equal">
      <formula>0</formula>
    </cfRule>
    <cfRule type="cellIs" dxfId="46" priority="272" operator="equal">
      <formula>1</formula>
    </cfRule>
  </conditionalFormatting>
  <conditionalFormatting sqref="AB36:AE36">
    <cfRule type="cellIs" dxfId="45" priority="201" operator="equal">
      <formula>0</formula>
    </cfRule>
    <cfRule type="cellIs" dxfId="44" priority="202" operator="equal">
      <formula>1</formula>
    </cfRule>
  </conditionalFormatting>
  <conditionalFormatting sqref="AB38:AE38">
    <cfRule type="cellIs" dxfId="43" priority="215" operator="equal">
      <formula>0</formula>
    </cfRule>
    <cfRule type="cellIs" dxfId="42" priority="216" operator="equal">
      <formula>1</formula>
    </cfRule>
  </conditionalFormatting>
  <conditionalFormatting sqref="AB40:AE41">
    <cfRule type="cellIs" dxfId="41" priority="255" operator="equal">
      <formula>0</formula>
    </cfRule>
    <cfRule type="cellIs" dxfId="40" priority="256" operator="equal">
      <formula>1</formula>
    </cfRule>
  </conditionalFormatting>
  <conditionalFormatting sqref="AB43:AE43">
    <cfRule type="cellIs" dxfId="39" priority="221" operator="equal">
      <formula>0</formula>
    </cfRule>
    <cfRule type="cellIs" dxfId="38" priority="222" operator="equal">
      <formula>1</formula>
    </cfRule>
  </conditionalFormatting>
  <conditionalFormatting sqref="AB45:AE45">
    <cfRule type="cellIs" dxfId="37" priority="233" operator="equal">
      <formula>0</formula>
    </cfRule>
    <cfRule type="cellIs" dxfId="36" priority="234" operator="equal">
      <formula>1</formula>
    </cfRule>
  </conditionalFormatting>
  <conditionalFormatting sqref="AB47:AE48">
    <cfRule type="cellIs" dxfId="35" priority="199" operator="equal">
      <formula>0</formula>
    </cfRule>
    <cfRule type="cellIs" dxfId="34" priority="200" operator="equal">
      <formula>1</formula>
    </cfRule>
  </conditionalFormatting>
  <conditionalFormatting sqref="AB66:AE66">
    <cfRule type="cellIs" dxfId="33" priority="195" operator="equal">
      <formula>0</formula>
    </cfRule>
    <cfRule type="cellIs" dxfId="32" priority="196" operator="equal">
      <formula>1</formula>
    </cfRule>
  </conditionalFormatting>
  <conditionalFormatting sqref="AC6">
    <cfRule type="cellIs" dxfId="31" priority="617" operator="equal">
      <formula>0</formula>
    </cfRule>
    <cfRule type="cellIs" dxfId="30" priority="618" operator="equal">
      <formula>1</formula>
    </cfRule>
  </conditionalFormatting>
  <conditionalFormatting sqref="AC8">
    <cfRule type="cellIs" dxfId="29" priority="619" operator="equal">
      <formula>0</formula>
    </cfRule>
    <cfRule type="cellIs" dxfId="28" priority="620" operator="equal">
      <formula>1</formula>
    </cfRule>
  </conditionalFormatting>
  <conditionalFormatting sqref="AC14">
    <cfRule type="cellIs" dxfId="27" priority="635" operator="equal">
      <formula>0</formula>
    </cfRule>
    <cfRule type="cellIs" dxfId="26" priority="636" operator="equal">
      <formula>1</formula>
    </cfRule>
  </conditionalFormatting>
  <conditionalFormatting sqref="AC27">
    <cfRule type="cellIs" dxfId="25" priority="353" operator="equal">
      <formula>0</formula>
    </cfRule>
    <cfRule type="cellIs" dxfId="24" priority="354" operator="equal">
      <formula>1</formula>
    </cfRule>
  </conditionalFormatting>
  <conditionalFormatting sqref="AC29">
    <cfRule type="cellIs" dxfId="23" priority="347" operator="equal">
      <formula>0</formula>
    </cfRule>
    <cfRule type="cellIs" dxfId="22" priority="348" operator="equal">
      <formula>1</formula>
    </cfRule>
  </conditionalFormatting>
  <conditionalFormatting sqref="AC31">
    <cfRule type="cellIs" dxfId="21" priority="345" operator="equal">
      <formula>0</formula>
    </cfRule>
    <cfRule type="cellIs" dxfId="20" priority="346" operator="equal">
      <formula>1</formula>
    </cfRule>
  </conditionalFormatting>
  <conditionalFormatting sqref="AC51:AD51">
    <cfRule type="cellIs" dxfId="19" priority="191" operator="equal">
      <formula>0</formula>
    </cfRule>
    <cfRule type="cellIs" dxfId="18" priority="192" operator="equal">
      <formula>1</formula>
    </cfRule>
  </conditionalFormatting>
  <conditionalFormatting sqref="AC55:AD55">
    <cfRule type="cellIs" dxfId="17" priority="167" operator="equal">
      <formula>0</formula>
    </cfRule>
    <cfRule type="cellIs" dxfId="16" priority="168" operator="equal">
      <formula>1</formula>
    </cfRule>
  </conditionalFormatting>
  <conditionalFormatting sqref="AC59:AD59">
    <cfRule type="cellIs" dxfId="15" priority="161" operator="equal">
      <formula>0</formula>
    </cfRule>
    <cfRule type="cellIs" dxfId="14" priority="162" operator="equal">
      <formula>1</formula>
    </cfRule>
  </conditionalFormatting>
  <conditionalFormatting sqref="AC63:AD63">
    <cfRule type="cellIs" dxfId="13" priority="155" operator="equal">
      <formula>0</formula>
    </cfRule>
    <cfRule type="cellIs" dxfId="12" priority="156" operator="equal">
      <formula>1</formula>
    </cfRule>
  </conditionalFormatting>
  <conditionalFormatting sqref="AD4">
    <cfRule type="cellIs" dxfId="11" priority="629" operator="equal">
      <formula>0</formula>
    </cfRule>
    <cfRule type="cellIs" dxfId="10" priority="630" operator="equal">
      <formula>1</formula>
    </cfRule>
  </conditionalFormatting>
  <conditionalFormatting sqref="AD7">
    <cfRule type="cellIs" dxfId="9" priority="633" operator="equal">
      <formula>0</formula>
    </cfRule>
    <cfRule type="cellIs" dxfId="8" priority="634" operator="equal">
      <formula>1</formula>
    </cfRule>
  </conditionalFormatting>
  <conditionalFormatting sqref="AD25">
    <cfRule type="cellIs" dxfId="7" priority="357" operator="equal">
      <formula>0</formula>
    </cfRule>
    <cfRule type="cellIs" dxfId="6" priority="358" operator="equal">
      <formula>1</formula>
    </cfRule>
  </conditionalFormatting>
  <conditionalFormatting sqref="AD28:AE28">
    <cfRule type="cellIs" dxfId="5" priority="349" operator="equal">
      <formula>0</formula>
    </cfRule>
    <cfRule type="cellIs" dxfId="4" priority="350" operator="equal">
      <formula>1</formula>
    </cfRule>
  </conditionalFormatting>
  <conditionalFormatting sqref="AF25">
    <cfRule type="cellIs" dxfId="3" priority="355" operator="equal">
      <formula>0</formula>
    </cfRule>
    <cfRule type="cellIs" dxfId="2" priority="356" operator="equal">
      <formula>1</formula>
    </cfRule>
  </conditionalFormatting>
  <conditionalFormatting sqref="AG47">
    <cfRule type="cellIs" dxfId="1" priority="197" operator="equal">
      <formula>0</formula>
    </cfRule>
    <cfRule type="cellIs" dxfId="0" priority="198" operator="equal">
      <formula>1</formula>
    </cfRule>
  </conditionalFormatting>
  <pageMargins left="0.7" right="0.7" top="0.75" bottom="0.75" header="0" footer="0"/>
  <pageSetup orientation="portrait" r:id="rId1"/>
  <ignoredErrors>
    <ignoredError sqref="G82:H8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5" ht="14.4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ht="14.4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ht="14.4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ht="14.4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ht="14.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ht="14.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ht="14.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ht="14.4" x14ac:dyDescent="0.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ht="14.4" x14ac:dyDescent="0.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ht="14.4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ht="14.4" x14ac:dyDescent="0.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ht="14.4" x14ac:dyDescent="0.3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ht="14.4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ht="14.4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ht="14.4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ht="14.4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ht="14.4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ht="14.4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ht="14.4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ht="14.4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3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3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Logic Gate Sheet</vt:lpstr>
      <vt:lpstr>Memory</vt:lpstr>
      <vt:lpstr>Board</vt:lpstr>
      <vt:lpstr>AND.1</vt:lpstr>
      <vt:lpstr>AND.2</vt:lpstr>
      <vt:lpstr>CLOCK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2024-03-20T14:37:22Z</dcterms:modified>
</cp:coreProperties>
</file>